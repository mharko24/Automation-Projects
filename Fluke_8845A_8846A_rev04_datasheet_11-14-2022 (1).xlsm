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Mark Files\All VB Program Project\8846A\"/>
    </mc:Choice>
  </mc:AlternateContent>
  <xr:revisionPtr revIDLastSave="0" documentId="13_ncr:1_{9B0760D2-540F-47C4-A6AB-CA45BD051C40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TECH DATA ENTRY" sheetId="72" r:id="rId1"/>
    <sheet name="ACC CAL WITH GB - Method 6" sheetId="73" r:id="rId2"/>
    <sheet name="UNC_CALCULATION" sheetId="62" state="hidden" r:id="rId3"/>
    <sheet name="UNC BDGT" sheetId="115" state="hidden" r:id="rId4"/>
    <sheet name="AUX TABLES" sheetId="42" state="hidden" r:id="rId5"/>
    <sheet name="TOL" sheetId="105" state="hidden" r:id="rId6"/>
    <sheet name="AMENDMENT" sheetId="98" state="hidden" r:id="rId7"/>
  </sheets>
  <functionGroups builtInGroupCount="19"/>
  <externalReferences>
    <externalReference r:id="rId8"/>
    <externalReference r:id="rId9"/>
    <externalReference r:id="rId10"/>
    <externalReference r:id="rId11"/>
  </externalReferences>
  <definedNames>
    <definedName name="_xlnm._FilterDatabase" localSheetId="3" hidden="1">'UNC BDGT'!$A$7:$I$7</definedName>
    <definedName name="a" localSheetId="5">[1]Data!#REF!</definedName>
    <definedName name="aa" localSheetId="4">[2]Data!#REF!</definedName>
    <definedName name="aa" localSheetId="5">[2]Data!#REF!</definedName>
    <definedName name="aa_2" localSheetId="5">[3]DATA!#REF!</definedName>
    <definedName name="aa_4" localSheetId="4">[2]Data!#REF!</definedName>
    <definedName name="aa_6" localSheetId="4">[2]Data!#REF!</definedName>
    <definedName name="aa_7" localSheetId="4">[2]Data!#REF!</definedName>
    <definedName name="ASSET" localSheetId="4">[2]Data!#REF!</definedName>
    <definedName name="ASSET_2" localSheetId="4">[1]Data!#REF!</definedName>
    <definedName name="ASSET_3" localSheetId="4">[1]Data!#REF!</definedName>
    <definedName name="ASSET_4" localSheetId="4">[1]Data!#REF!</definedName>
    <definedName name="ASSET_5" localSheetId="4">[1]Data!#REF!</definedName>
    <definedName name="ASSET_6" localSheetId="4">[1]Data!#REF!</definedName>
    <definedName name="ASSET_7" localSheetId="4">[1]Data!#REF!</definedName>
    <definedName name="CAP" localSheetId="4">#REF!</definedName>
    <definedName name="CAP" localSheetId="5">#REF!</definedName>
    <definedName name="CAP_2" localSheetId="4">[1]Data!#REF!</definedName>
    <definedName name="CAP_2" localSheetId="5">[1]Data!#REF!</definedName>
    <definedName name="CAP_3" localSheetId="4">[1]Data!#REF!</definedName>
    <definedName name="CAP_4" localSheetId="4">[1]Data!#REF!</definedName>
    <definedName name="CAP_5" localSheetId="4">[1]Data!#REF!</definedName>
    <definedName name="CAP_6" localSheetId="4">[1]Data!#REF!</definedName>
    <definedName name="CAP_7" localSheetId="4">[1]Data!#REF!</definedName>
    <definedName name="CAP_8" localSheetId="5">#REF!</definedName>
    <definedName name="CAP_9" localSheetId="5">#REF!</definedName>
    <definedName name="DATE" localSheetId="4">[2]Data!#REF!</definedName>
    <definedName name="DATE" localSheetId="5">[2]Data!#REF!</definedName>
    <definedName name="DATE_2" localSheetId="4">[1]Data!#REF!</definedName>
    <definedName name="DATE_3" localSheetId="4">[1]Data!#REF!</definedName>
    <definedName name="DATE_4" localSheetId="4">[1]Data!#REF!</definedName>
    <definedName name="DATE_5" localSheetId="4">[1]Data!#REF!</definedName>
    <definedName name="DATE_6" localSheetId="4">[1]Data!#REF!</definedName>
    <definedName name="DATE_7" localSheetId="4">[1]Data!#REF!</definedName>
    <definedName name="HC" localSheetId="5">#REF!</definedName>
    <definedName name="HCF" localSheetId="5">#REF!</definedName>
    <definedName name="Instrument" localSheetId="5">#REF!</definedName>
    <definedName name="JOB" localSheetId="4">[2]Data!#REF!</definedName>
    <definedName name="JOB" localSheetId="5">[2]Data!#REF!</definedName>
    <definedName name="JOB_2" localSheetId="4">[1]Data!#REF!</definedName>
    <definedName name="JOB_2" localSheetId="5">[1]Data!#REF!</definedName>
    <definedName name="JOB_3" localSheetId="4">[1]Data!#REF!</definedName>
    <definedName name="JOB_4" localSheetId="4">[1]Data!#REF!</definedName>
    <definedName name="JOB_5" localSheetId="4">[1]Data!#REF!</definedName>
    <definedName name="JOB_6" localSheetId="4">[1]Data!#REF!</definedName>
    <definedName name="JOB_7" localSheetId="4">[1]Data!#REF!</definedName>
    <definedName name="kilo" localSheetId="5">#REF!</definedName>
    <definedName name="MFG" localSheetId="4">[2]Data!#REF!</definedName>
    <definedName name="MFG_2" localSheetId="4">[1]Data!#REF!</definedName>
    <definedName name="MFG_3" localSheetId="4">[1]Data!#REF!</definedName>
    <definedName name="MFG_4" localSheetId="4">[1]Data!#REF!</definedName>
    <definedName name="MFG_5" localSheetId="4">[1]Data!#REF!</definedName>
    <definedName name="MFG_6" localSheetId="4">[1]Data!#REF!</definedName>
    <definedName name="MFG_7" localSheetId="4">[1]Data!#REF!</definedName>
    <definedName name="Model" localSheetId="5">#REF!</definedName>
    <definedName name="_xlnm.Print_Area" localSheetId="1">'ACC CAL WITH GB - Method 6'!$A$1:$J$347</definedName>
    <definedName name="_xlnm.Print_Area" localSheetId="3">'UNC BDGT'!$A$1:$J$25</definedName>
    <definedName name="_xlnm.Print_Titles" localSheetId="1">'ACC CAL WITH GB - Method 6'!$1:$13</definedName>
    <definedName name="Serial" localSheetId="5">#REF!</definedName>
    <definedName name="set" localSheetId="4">#REF!</definedName>
    <definedName name="set" localSheetId="5">#REF!</definedName>
    <definedName name="set_5" localSheetId="5">#REF!</definedName>
    <definedName name="set_6" localSheetId="5">#REF!</definedName>
    <definedName name="set_7" localSheetId="5">#REF!</definedName>
    <definedName name="set_8" localSheetId="5">#REF!</definedName>
    <definedName name="set_9" localSheetId="5">#REF!</definedName>
    <definedName name="SN" localSheetId="4">#REF!</definedName>
    <definedName name="SN" localSheetId="5">#REF!</definedName>
    <definedName name="SN_2" localSheetId="4">[1]Data!#REF!</definedName>
    <definedName name="SN_2" localSheetId="5">[1]Data!#REF!</definedName>
    <definedName name="SN_2_1" localSheetId="5">[4]Data!#REF!</definedName>
    <definedName name="SN_2_5" localSheetId="5">[4]Data!#REF!</definedName>
    <definedName name="SN_3" localSheetId="4">[1]Data!#REF!</definedName>
    <definedName name="SN_4" localSheetId="4">[1]Data!#REF!</definedName>
    <definedName name="SN_5" localSheetId="4">[1]Data!#REF!</definedName>
    <definedName name="SN_6" localSheetId="4">[1]Data!#REF!</definedName>
    <definedName name="SN_7" localSheetId="4">[1]Data!#REF!</definedName>
    <definedName name="SN_8" localSheetId="5">#REF!</definedName>
    <definedName name="SN_9" localSheetId="5">#REF!</definedName>
    <definedName name="Standard" localSheetId="5">#REF!</definedName>
    <definedName name="Student_t" localSheetId="5">#REF!</definedName>
    <definedName name="t" localSheetId="5">#REF!</definedName>
    <definedName name="table1" localSheetId="5">#REF!</definedName>
    <definedName name="TC" localSheetId="5">#REF!</definedName>
    <definedName name="TCF" localSheetId="5">#REF!</definedName>
    <definedName name="TempC" localSheetId="5">#REF!</definedName>
    <definedName name="Traceable" localSheetId="5">#REF!</definedName>
  </definedNames>
  <calcPr calcId="181029"/>
</workbook>
</file>

<file path=xl/calcChain.xml><?xml version="1.0" encoding="utf-8"?>
<calcChain xmlns="http://schemas.openxmlformats.org/spreadsheetml/2006/main">
  <c r="L115" i="73" l="1"/>
  <c r="L114" i="73"/>
  <c r="L113" i="73"/>
  <c r="L112" i="73"/>
  <c r="L111" i="73"/>
  <c r="L110" i="73"/>
  <c r="L104" i="73"/>
  <c r="L103" i="73"/>
  <c r="L102" i="73"/>
  <c r="L101" i="73"/>
  <c r="L95" i="73"/>
  <c r="L94" i="73"/>
  <c r="L93" i="73"/>
  <c r="L92" i="73"/>
  <c r="L91" i="73"/>
  <c r="L85" i="73"/>
  <c r="L84" i="73"/>
  <c r="L83" i="73"/>
  <c r="L82" i="73"/>
  <c r="L81" i="73"/>
  <c r="L75" i="73"/>
  <c r="L74" i="73"/>
  <c r="L73" i="73"/>
  <c r="L72" i="73"/>
  <c r="L71" i="73"/>
  <c r="L162" i="73"/>
  <c r="L161" i="73"/>
  <c r="L160" i="73"/>
  <c r="L159" i="73"/>
  <c r="L158" i="73"/>
  <c r="L157" i="73"/>
  <c r="L156" i="73"/>
  <c r="L155" i="73"/>
  <c r="L154" i="73"/>
  <c r="L153" i="73"/>
  <c r="L152" i="73"/>
  <c r="L151" i="73"/>
  <c r="L150" i="73"/>
  <c r="L149" i="73"/>
  <c r="L148" i="73"/>
  <c r="L147" i="73"/>
  <c r="L141" i="73"/>
  <c r="L140" i="73"/>
  <c r="L139" i="73"/>
  <c r="L138" i="73"/>
  <c r="L137" i="73"/>
  <c r="L136" i="73"/>
  <c r="L135" i="73"/>
  <c r="L134" i="73"/>
  <c r="L133" i="73"/>
  <c r="L132" i="73"/>
  <c r="L171" i="73"/>
  <c r="L170" i="73"/>
  <c r="L169" i="73"/>
  <c r="L187" i="73"/>
  <c r="L186" i="73"/>
  <c r="L185" i="73"/>
  <c r="L184" i="73"/>
  <c r="A184" i="73"/>
  <c r="L183" i="73"/>
  <c r="L182" i="73"/>
  <c r="L181" i="73"/>
  <c r="L180" i="73"/>
  <c r="L179" i="73"/>
  <c r="L322" i="73"/>
  <c r="L321" i="73"/>
  <c r="L315" i="73"/>
  <c r="L314" i="73"/>
  <c r="L313" i="73"/>
  <c r="L307" i="73"/>
  <c r="L306" i="73"/>
  <c r="L305" i="73"/>
  <c r="L304" i="73"/>
  <c r="L298" i="73"/>
  <c r="L297" i="73"/>
  <c r="L296" i="73"/>
  <c r="L295" i="73"/>
  <c r="L289" i="73"/>
  <c r="L288" i="73"/>
  <c r="L287" i="73"/>
  <c r="L286" i="73"/>
  <c r="L280" i="73"/>
  <c r="L279" i="73"/>
  <c r="L278" i="73"/>
  <c r="L277" i="73"/>
  <c r="L271" i="73"/>
  <c r="L270" i="73"/>
  <c r="L269" i="73"/>
  <c r="L268" i="73"/>
  <c r="L262" i="73"/>
  <c r="L261" i="73"/>
  <c r="L260" i="73"/>
  <c r="L259" i="73"/>
  <c r="L252" i="73"/>
  <c r="L251" i="73"/>
  <c r="L250" i="73"/>
  <c r="L244" i="73"/>
  <c r="L243" i="73"/>
  <c r="L242" i="73"/>
  <c r="L236" i="73"/>
  <c r="L235" i="73"/>
  <c r="L234" i="73"/>
  <c r="L228" i="73"/>
  <c r="L227" i="73"/>
  <c r="L226" i="73"/>
  <c r="L220" i="73"/>
  <c r="L219" i="73"/>
  <c r="L218" i="73"/>
  <c r="L212" i="73" l="1"/>
  <c r="L211" i="73"/>
  <c r="L210" i="73"/>
  <c r="L204" i="73"/>
  <c r="L203" i="73"/>
  <c r="L202" i="73"/>
  <c r="L196" i="73"/>
  <c r="L195" i="73"/>
  <c r="L194" i="73"/>
  <c r="L125" i="73"/>
  <c r="L124" i="73"/>
  <c r="L123" i="73"/>
  <c r="L122" i="73"/>
  <c r="L62" i="73"/>
  <c r="L55" i="73"/>
  <c r="L54" i="73"/>
  <c r="L63" i="73"/>
  <c r="L53" i="73"/>
  <c r="L64" i="73"/>
  <c r="L47" i="73"/>
  <c r="L46" i="73"/>
  <c r="L45" i="73"/>
  <c r="L39" i="73"/>
  <c r="L38" i="73"/>
  <c r="L37" i="73"/>
  <c r="L36" i="73"/>
  <c r="L35" i="73"/>
  <c r="L29" i="73"/>
  <c r="L28" i="73"/>
  <c r="L27" i="73"/>
  <c r="L21" i="73"/>
  <c r="L20" i="73"/>
  <c r="L19" i="73"/>
  <c r="S339" i="72" l="1"/>
  <c r="S332" i="72"/>
  <c r="S195" i="72"/>
  <c r="S178" i="72"/>
  <c r="S176" i="72"/>
  <c r="S174" i="72"/>
  <c r="S172" i="72"/>
  <c r="S170" i="72"/>
  <c r="S168" i="72"/>
  <c r="S166" i="72"/>
  <c r="S164" i="72"/>
  <c r="S157" i="72"/>
  <c r="S155" i="72"/>
  <c r="S153" i="72"/>
  <c r="S151" i="72"/>
  <c r="S149" i="72"/>
  <c r="S132" i="72"/>
  <c r="S131" i="72"/>
  <c r="E319" i="73" l="1"/>
  <c r="D319" i="73"/>
  <c r="B319" i="73"/>
  <c r="A319" i="73"/>
  <c r="A318" i="73"/>
  <c r="A317" i="73"/>
  <c r="A316" i="73"/>
  <c r="E311" i="73"/>
  <c r="D311" i="73"/>
  <c r="B311" i="73"/>
  <c r="A311" i="73"/>
  <c r="A310" i="73"/>
  <c r="A309" i="73"/>
  <c r="A308" i="73"/>
  <c r="E302" i="73"/>
  <c r="D302" i="73"/>
  <c r="B302" i="73"/>
  <c r="A302" i="73"/>
  <c r="A301" i="73"/>
  <c r="A300" i="73"/>
  <c r="A299" i="73"/>
  <c r="E293" i="73"/>
  <c r="D293" i="73"/>
  <c r="B293" i="73"/>
  <c r="A293" i="73"/>
  <c r="A292" i="73"/>
  <c r="A291" i="73"/>
  <c r="A290" i="73"/>
  <c r="E284" i="73"/>
  <c r="D284" i="73"/>
  <c r="B284" i="73"/>
  <c r="A284" i="73"/>
  <c r="A283" i="73"/>
  <c r="A282" i="73"/>
  <c r="A281" i="73"/>
  <c r="E275" i="73"/>
  <c r="D275" i="73"/>
  <c r="B275" i="73"/>
  <c r="A275" i="73"/>
  <c r="A274" i="73"/>
  <c r="A273" i="73"/>
  <c r="A272" i="73"/>
  <c r="E266" i="73"/>
  <c r="D266" i="73"/>
  <c r="B266" i="73"/>
  <c r="A266" i="73"/>
  <c r="A265" i="73"/>
  <c r="A264" i="73"/>
  <c r="A263" i="73"/>
  <c r="E257" i="73"/>
  <c r="D257" i="73"/>
  <c r="B257" i="73"/>
  <c r="A257" i="73"/>
  <c r="A256" i="73"/>
  <c r="A255" i="73"/>
  <c r="A254" i="73"/>
  <c r="E248" i="73"/>
  <c r="D248" i="73"/>
  <c r="B248" i="73"/>
  <c r="A248" i="73"/>
  <c r="A247" i="73"/>
  <c r="A246" i="73"/>
  <c r="A245" i="73"/>
  <c r="E240" i="73"/>
  <c r="D240" i="73"/>
  <c r="B240" i="73"/>
  <c r="A240" i="73"/>
  <c r="A239" i="73"/>
  <c r="A238" i="73"/>
  <c r="A237" i="73"/>
  <c r="E232" i="73"/>
  <c r="D232" i="73"/>
  <c r="B232" i="73"/>
  <c r="A232" i="73"/>
  <c r="A231" i="73"/>
  <c r="A230" i="73"/>
  <c r="A229" i="73"/>
  <c r="E224" i="73"/>
  <c r="D224" i="73"/>
  <c r="B224" i="73"/>
  <c r="A224" i="73"/>
  <c r="A223" i="73"/>
  <c r="A222" i="73"/>
  <c r="A221" i="73"/>
  <c r="E216" i="73"/>
  <c r="D216" i="73"/>
  <c r="B216" i="73"/>
  <c r="A216" i="73"/>
  <c r="A215" i="73"/>
  <c r="A214" i="73"/>
  <c r="A213" i="73"/>
  <c r="E208" i="73"/>
  <c r="D208" i="73"/>
  <c r="B208" i="73"/>
  <c r="A208" i="73"/>
  <c r="A207" i="73"/>
  <c r="A206" i="73"/>
  <c r="A205" i="73"/>
  <c r="E200" i="73"/>
  <c r="D200" i="73"/>
  <c r="B200" i="73"/>
  <c r="A200" i="73"/>
  <c r="A199" i="73"/>
  <c r="A198" i="73"/>
  <c r="A197" i="73"/>
  <c r="E192" i="73"/>
  <c r="D192" i="73"/>
  <c r="B192" i="73"/>
  <c r="A192" i="73"/>
  <c r="A191" i="73"/>
  <c r="A190" i="73"/>
  <c r="A189" i="73"/>
  <c r="E176" i="73"/>
  <c r="D176" i="73"/>
  <c r="B176" i="73"/>
  <c r="A176" i="73"/>
  <c r="A175" i="73"/>
  <c r="A174" i="73"/>
  <c r="A173" i="73"/>
  <c r="E167" i="73"/>
  <c r="D167" i="73"/>
  <c r="B167" i="73"/>
  <c r="A167" i="73"/>
  <c r="A166" i="73"/>
  <c r="A165" i="73"/>
  <c r="A164" i="73"/>
  <c r="E145" i="73"/>
  <c r="D145" i="73"/>
  <c r="B145" i="73"/>
  <c r="A145" i="73"/>
  <c r="A144" i="73"/>
  <c r="A143" i="73"/>
  <c r="A142" i="73"/>
  <c r="E130" i="73"/>
  <c r="D130" i="73"/>
  <c r="B130" i="73"/>
  <c r="A130" i="73"/>
  <c r="A129" i="73"/>
  <c r="A128" i="73"/>
  <c r="A127" i="73"/>
  <c r="E108" i="73"/>
  <c r="D108" i="73"/>
  <c r="B108" i="73"/>
  <c r="A108" i="73"/>
  <c r="A107" i="73"/>
  <c r="A105" i="73"/>
  <c r="E99" i="73"/>
  <c r="D99" i="73"/>
  <c r="B99" i="73"/>
  <c r="A99" i="73"/>
  <c r="A98" i="73"/>
  <c r="A97" i="73"/>
  <c r="A96" i="73"/>
  <c r="E89" i="73"/>
  <c r="D89" i="73"/>
  <c r="B89" i="73"/>
  <c r="A89" i="73"/>
  <c r="A88" i="73"/>
  <c r="A87" i="73"/>
  <c r="A86" i="73"/>
  <c r="E79" i="73"/>
  <c r="D79" i="73"/>
  <c r="B79" i="73"/>
  <c r="A79" i="73"/>
  <c r="A78" i="73"/>
  <c r="A77" i="73"/>
  <c r="A76" i="73"/>
  <c r="E120" i="73"/>
  <c r="D120" i="73"/>
  <c r="B120" i="73"/>
  <c r="A120" i="73"/>
  <c r="A119" i="73"/>
  <c r="A118" i="73"/>
  <c r="A117" i="73"/>
  <c r="E69" i="73"/>
  <c r="D69" i="73"/>
  <c r="B69" i="73"/>
  <c r="A69" i="73"/>
  <c r="A68" i="73"/>
  <c r="A67" i="73"/>
  <c r="A66" i="73"/>
  <c r="E51" i="73"/>
  <c r="D51" i="73"/>
  <c r="B51" i="73"/>
  <c r="A51" i="73"/>
  <c r="A50" i="73"/>
  <c r="A49" i="73"/>
  <c r="A48" i="73"/>
  <c r="E60" i="73"/>
  <c r="D60" i="73"/>
  <c r="B60" i="73"/>
  <c r="A60" i="73"/>
  <c r="A59" i="73"/>
  <c r="A58" i="73"/>
  <c r="A57" i="73"/>
  <c r="E43" i="73"/>
  <c r="D43" i="73"/>
  <c r="B43" i="73"/>
  <c r="A43" i="73"/>
  <c r="A42" i="73"/>
  <c r="A41" i="73"/>
  <c r="A40" i="73"/>
  <c r="E33" i="73"/>
  <c r="D33" i="73"/>
  <c r="B33" i="73"/>
  <c r="A33" i="73"/>
  <c r="A32" i="73"/>
  <c r="A31" i="73"/>
  <c r="A30" i="73"/>
  <c r="E25" i="73"/>
  <c r="D25" i="73"/>
  <c r="B25" i="73"/>
  <c r="A25" i="73"/>
  <c r="A24" i="73"/>
  <c r="A23" i="73"/>
  <c r="A22" i="73"/>
  <c r="E339" i="72"/>
  <c r="D339" i="72"/>
  <c r="O339" i="72" s="1"/>
  <c r="O338" i="72"/>
  <c r="L338" i="72"/>
  <c r="K338" i="72"/>
  <c r="E338" i="72"/>
  <c r="D338" i="72"/>
  <c r="L332" i="72"/>
  <c r="K332" i="72"/>
  <c r="E332" i="72"/>
  <c r="D332" i="72"/>
  <c r="O332" i="72" s="1"/>
  <c r="O331" i="72"/>
  <c r="E331" i="72"/>
  <c r="D331" i="72"/>
  <c r="L331" i="72" s="1"/>
  <c r="O330" i="72"/>
  <c r="E330" i="72"/>
  <c r="L330" i="72" s="1"/>
  <c r="D330" i="72"/>
  <c r="E324" i="72"/>
  <c r="K324" i="72" s="1"/>
  <c r="D324" i="72"/>
  <c r="O324" i="72" s="1"/>
  <c r="O323" i="72"/>
  <c r="L323" i="72"/>
  <c r="E323" i="72"/>
  <c r="D323" i="72"/>
  <c r="K323" i="72" s="1"/>
  <c r="L322" i="72"/>
  <c r="E322" i="72"/>
  <c r="D322" i="72"/>
  <c r="O322" i="72" s="1"/>
  <c r="E321" i="72"/>
  <c r="D321" i="72"/>
  <c r="O321" i="72" s="1"/>
  <c r="O315" i="72"/>
  <c r="L315" i="72"/>
  <c r="K315" i="72"/>
  <c r="E315" i="72"/>
  <c r="D315" i="72"/>
  <c r="L314" i="72"/>
  <c r="K314" i="72"/>
  <c r="E314" i="72"/>
  <c r="D314" i="72"/>
  <c r="O314" i="72" s="1"/>
  <c r="O313" i="72"/>
  <c r="E313" i="72"/>
  <c r="D313" i="72"/>
  <c r="L313" i="72" s="1"/>
  <c r="O312" i="72"/>
  <c r="E312" i="72"/>
  <c r="L312" i="72" s="1"/>
  <c r="D312" i="72"/>
  <c r="K312" i="72" s="1"/>
  <c r="E306" i="72"/>
  <c r="K306" i="72" s="1"/>
  <c r="D306" i="72"/>
  <c r="O306" i="72" s="1"/>
  <c r="L305" i="72"/>
  <c r="E305" i="72"/>
  <c r="D305" i="72"/>
  <c r="K305" i="72" s="1"/>
  <c r="L304" i="72"/>
  <c r="E304" i="72"/>
  <c r="D304" i="72"/>
  <c r="O304" i="72" s="1"/>
  <c r="E303" i="72"/>
  <c r="D303" i="72"/>
  <c r="O303" i="72" s="1"/>
  <c r="O297" i="72"/>
  <c r="K297" i="72"/>
  <c r="E297" i="72"/>
  <c r="D297" i="72"/>
  <c r="L297" i="72" s="1"/>
  <c r="L296" i="72"/>
  <c r="K296" i="72"/>
  <c r="E296" i="72"/>
  <c r="D296" i="72"/>
  <c r="O296" i="72" s="1"/>
  <c r="O295" i="72"/>
  <c r="E295" i="72"/>
  <c r="D295" i="72"/>
  <c r="L295" i="72" s="1"/>
  <c r="O294" i="72"/>
  <c r="E294" i="72"/>
  <c r="L294" i="72" s="1"/>
  <c r="D294" i="72"/>
  <c r="K294" i="72" s="1"/>
  <c r="E288" i="72"/>
  <c r="K288" i="72" s="1"/>
  <c r="D288" i="72"/>
  <c r="O288" i="72" s="1"/>
  <c r="L287" i="72"/>
  <c r="E287" i="72"/>
  <c r="K287" i="72" s="1"/>
  <c r="D287" i="72"/>
  <c r="O287" i="72" s="1"/>
  <c r="L286" i="72"/>
  <c r="E286" i="72"/>
  <c r="D286" i="72"/>
  <c r="O286" i="72" s="1"/>
  <c r="E285" i="72"/>
  <c r="D285" i="72"/>
  <c r="O285" i="72" s="1"/>
  <c r="O279" i="72"/>
  <c r="K279" i="72"/>
  <c r="E279" i="72"/>
  <c r="D279" i="72"/>
  <c r="L279" i="72" s="1"/>
  <c r="L278" i="72"/>
  <c r="K278" i="72"/>
  <c r="E278" i="72"/>
  <c r="O278" i="72" s="1"/>
  <c r="D278" i="72"/>
  <c r="O277" i="72"/>
  <c r="E277" i="72"/>
  <c r="D277" i="72"/>
  <c r="L277" i="72" s="1"/>
  <c r="E276" i="72"/>
  <c r="O276" i="72" s="1"/>
  <c r="D276" i="72"/>
  <c r="K276" i="72" s="1"/>
  <c r="E269" i="72"/>
  <c r="K269" i="72" s="1"/>
  <c r="D269" i="72"/>
  <c r="O269" i="72" s="1"/>
  <c r="L268" i="72"/>
  <c r="K268" i="72"/>
  <c r="E268" i="72"/>
  <c r="D268" i="72"/>
  <c r="O268" i="72" s="1"/>
  <c r="E267" i="72"/>
  <c r="D267" i="72"/>
  <c r="O267" i="72" s="1"/>
  <c r="E261" i="72"/>
  <c r="D261" i="72"/>
  <c r="O261" i="72" s="1"/>
  <c r="O260" i="72"/>
  <c r="K260" i="72"/>
  <c r="E260" i="72"/>
  <c r="D260" i="72"/>
  <c r="L260" i="72" s="1"/>
  <c r="K259" i="72"/>
  <c r="E259" i="72"/>
  <c r="O259" i="72" s="1"/>
  <c r="D259" i="72"/>
  <c r="O253" i="72"/>
  <c r="E253" i="72"/>
  <c r="D253" i="72"/>
  <c r="L253" i="72" s="1"/>
  <c r="E252" i="72"/>
  <c r="O252" i="72" s="1"/>
  <c r="D252" i="72"/>
  <c r="K252" i="72" s="1"/>
  <c r="E251" i="72"/>
  <c r="D251" i="72"/>
  <c r="O251" i="72" s="1"/>
  <c r="L245" i="72"/>
  <c r="K245" i="72"/>
  <c r="E245" i="72"/>
  <c r="D245" i="72"/>
  <c r="O245" i="72" s="1"/>
  <c r="E244" i="72"/>
  <c r="D244" i="72"/>
  <c r="L244" i="72" s="1"/>
  <c r="E243" i="72"/>
  <c r="D243" i="72"/>
  <c r="O243" i="72" s="1"/>
  <c r="O237" i="72"/>
  <c r="K237" i="72"/>
  <c r="E237" i="72"/>
  <c r="D237" i="72"/>
  <c r="L237" i="72" s="1"/>
  <c r="K236" i="72"/>
  <c r="E236" i="72"/>
  <c r="L236" i="72" s="1"/>
  <c r="D236" i="72"/>
  <c r="O236" i="72" s="1"/>
  <c r="O235" i="72"/>
  <c r="E235" i="72"/>
  <c r="D235" i="72"/>
  <c r="L235" i="72" s="1"/>
  <c r="E229" i="72"/>
  <c r="O229" i="72" s="1"/>
  <c r="D229" i="72"/>
  <c r="K229" i="72" s="1"/>
  <c r="E228" i="72"/>
  <c r="D228" i="72"/>
  <c r="O228" i="72" s="1"/>
  <c r="L227" i="72"/>
  <c r="K227" i="72"/>
  <c r="E227" i="72"/>
  <c r="D227" i="72"/>
  <c r="O227" i="72" s="1"/>
  <c r="E221" i="72"/>
  <c r="D221" i="72"/>
  <c r="L221" i="72" s="1"/>
  <c r="E220" i="72"/>
  <c r="D220" i="72"/>
  <c r="O220" i="72" s="1"/>
  <c r="O219" i="72"/>
  <c r="K219" i="72"/>
  <c r="E219" i="72"/>
  <c r="D219" i="72"/>
  <c r="L219" i="72" s="1"/>
  <c r="K213" i="72"/>
  <c r="E213" i="72"/>
  <c r="O213" i="72" s="1"/>
  <c r="D213" i="72"/>
  <c r="O212" i="72"/>
  <c r="E212" i="72"/>
  <c r="D212" i="72"/>
  <c r="L212" i="72" s="1"/>
  <c r="E211" i="72"/>
  <c r="O211" i="72" s="1"/>
  <c r="D211" i="72"/>
  <c r="K211" i="72" s="1"/>
  <c r="E204" i="72"/>
  <c r="D204" i="72"/>
  <c r="O204" i="72" s="1"/>
  <c r="L203" i="72"/>
  <c r="K203" i="72"/>
  <c r="E203" i="72"/>
  <c r="D203" i="72"/>
  <c r="O203" i="72" s="1"/>
  <c r="E202" i="72"/>
  <c r="D202" i="72"/>
  <c r="O202" i="72" s="1"/>
  <c r="E201" i="72"/>
  <c r="D201" i="72"/>
  <c r="O201" i="72" s="1"/>
  <c r="O200" i="72"/>
  <c r="K200" i="72"/>
  <c r="E200" i="72"/>
  <c r="D200" i="72"/>
  <c r="L200" i="72" s="1"/>
  <c r="K199" i="72"/>
  <c r="E199" i="72"/>
  <c r="O199" i="72" s="1"/>
  <c r="D199" i="72"/>
  <c r="O198" i="72"/>
  <c r="E198" i="72"/>
  <c r="D198" i="72"/>
  <c r="L198" i="72" s="1"/>
  <c r="E197" i="72"/>
  <c r="O197" i="72" s="1"/>
  <c r="D197" i="72"/>
  <c r="K197" i="72" s="1"/>
  <c r="E196" i="72"/>
  <c r="D196" i="72"/>
  <c r="O196" i="72" s="1"/>
  <c r="L195" i="72"/>
  <c r="K195" i="72"/>
  <c r="E195" i="72"/>
  <c r="D195" i="72"/>
  <c r="O195" i="72" s="1"/>
  <c r="E188" i="72"/>
  <c r="D188" i="72"/>
  <c r="O188" i="72" s="1"/>
  <c r="E187" i="72"/>
  <c r="D187" i="72"/>
  <c r="O187" i="72" s="1"/>
  <c r="O186" i="72"/>
  <c r="K186" i="72"/>
  <c r="E186" i="72"/>
  <c r="D186" i="72"/>
  <c r="L186" i="72" s="1"/>
  <c r="K179" i="72"/>
  <c r="E179" i="72"/>
  <c r="L179" i="72" s="1"/>
  <c r="D179" i="72"/>
  <c r="O179" i="72" s="1"/>
  <c r="O178" i="72"/>
  <c r="E178" i="72"/>
  <c r="D178" i="72"/>
  <c r="L178" i="72" s="1"/>
  <c r="E177" i="72"/>
  <c r="O177" i="72" s="1"/>
  <c r="D177" i="72"/>
  <c r="K177" i="72" s="1"/>
  <c r="E176" i="72"/>
  <c r="D176" i="72"/>
  <c r="O176" i="72" s="1"/>
  <c r="L175" i="72"/>
  <c r="K175" i="72"/>
  <c r="E175" i="72"/>
  <c r="D175" i="72"/>
  <c r="O175" i="72" s="1"/>
  <c r="E174" i="72"/>
  <c r="D174" i="72"/>
  <c r="L174" i="72" s="1"/>
  <c r="E173" i="72"/>
  <c r="D173" i="72"/>
  <c r="O173" i="72" s="1"/>
  <c r="O172" i="72"/>
  <c r="K172" i="72"/>
  <c r="E172" i="72"/>
  <c r="D172" i="72"/>
  <c r="L172" i="72" s="1"/>
  <c r="K171" i="72"/>
  <c r="E171" i="72"/>
  <c r="O171" i="72" s="1"/>
  <c r="D171" i="72"/>
  <c r="O170" i="72"/>
  <c r="E170" i="72"/>
  <c r="D170" i="72"/>
  <c r="L170" i="72" s="1"/>
  <c r="E169" i="72"/>
  <c r="O169" i="72" s="1"/>
  <c r="D169" i="72"/>
  <c r="K169" i="72" s="1"/>
  <c r="E168" i="72"/>
  <c r="D168" i="72"/>
  <c r="O168" i="72" s="1"/>
  <c r="L167" i="72"/>
  <c r="K167" i="72"/>
  <c r="E167" i="72"/>
  <c r="D167" i="72"/>
  <c r="O167" i="72" s="1"/>
  <c r="E166" i="72"/>
  <c r="D166" i="72"/>
  <c r="L166" i="72" s="1"/>
  <c r="E165" i="72"/>
  <c r="D165" i="72"/>
  <c r="O165" i="72" s="1"/>
  <c r="O164" i="72"/>
  <c r="K164" i="72"/>
  <c r="E164" i="72"/>
  <c r="D164" i="72"/>
  <c r="L164" i="72" s="1"/>
  <c r="E158" i="72"/>
  <c r="D158" i="72"/>
  <c r="L158" i="72" s="1"/>
  <c r="E157" i="72"/>
  <c r="D157" i="72"/>
  <c r="L156" i="72"/>
  <c r="K156" i="72"/>
  <c r="E156" i="72"/>
  <c r="D156" i="72"/>
  <c r="E155" i="72"/>
  <c r="D155" i="72"/>
  <c r="E154" i="72"/>
  <c r="D154" i="72"/>
  <c r="L154" i="72" s="1"/>
  <c r="E153" i="72"/>
  <c r="K153" i="72" s="1"/>
  <c r="D153" i="72"/>
  <c r="E152" i="72"/>
  <c r="D152" i="72"/>
  <c r="E151" i="72"/>
  <c r="D151" i="72"/>
  <c r="L151" i="72" s="1"/>
  <c r="E150" i="72"/>
  <c r="D150" i="72"/>
  <c r="O150" i="72" s="1"/>
  <c r="L149" i="72"/>
  <c r="K149" i="72"/>
  <c r="E149" i="72"/>
  <c r="D149" i="72"/>
  <c r="O149" i="72" s="1"/>
  <c r="E142" i="72"/>
  <c r="D142" i="72"/>
  <c r="O142" i="72" s="1"/>
  <c r="E141" i="72"/>
  <c r="D141" i="72"/>
  <c r="O141" i="72" s="1"/>
  <c r="O140" i="72"/>
  <c r="K140" i="72"/>
  <c r="E140" i="72"/>
  <c r="D140" i="72"/>
  <c r="L140" i="72" s="1"/>
  <c r="K139" i="72"/>
  <c r="E139" i="72"/>
  <c r="L139" i="72" s="1"/>
  <c r="D139" i="72"/>
  <c r="O139" i="72" s="1"/>
  <c r="O132" i="72"/>
  <c r="E132" i="72"/>
  <c r="D132" i="72"/>
  <c r="L132" i="72" s="1"/>
  <c r="E131" i="72"/>
  <c r="O131" i="72" s="1"/>
  <c r="D131" i="72"/>
  <c r="K131" i="72" s="1"/>
  <c r="E130" i="72"/>
  <c r="D130" i="72"/>
  <c r="O130" i="72" s="1"/>
  <c r="L129" i="72"/>
  <c r="K129" i="72"/>
  <c r="E129" i="72"/>
  <c r="D129" i="72"/>
  <c r="O129" i="72" s="1"/>
  <c r="B129" i="72"/>
  <c r="E128" i="72"/>
  <c r="O128" i="72" s="1"/>
  <c r="D128" i="72"/>
  <c r="K128" i="72" s="1"/>
  <c r="B128" i="72"/>
  <c r="K127" i="72"/>
  <c r="E127" i="72"/>
  <c r="L127" i="72" s="1"/>
  <c r="D127" i="72"/>
  <c r="O127" i="72" s="1"/>
  <c r="B127" i="72"/>
  <c r="A123" i="72"/>
  <c r="A106" i="73" s="1"/>
  <c r="E121" i="72"/>
  <c r="D121" i="72"/>
  <c r="O121" i="72" s="1"/>
  <c r="L120" i="72"/>
  <c r="K120" i="72"/>
  <c r="E120" i="72"/>
  <c r="O120" i="72" s="1"/>
  <c r="D120" i="72"/>
  <c r="E119" i="72"/>
  <c r="D119" i="72"/>
  <c r="O119" i="72" s="1"/>
  <c r="E118" i="72"/>
  <c r="D118" i="72"/>
  <c r="O118" i="72" s="1"/>
  <c r="O112" i="72"/>
  <c r="K112" i="72"/>
  <c r="E112" i="72"/>
  <c r="D112" i="72"/>
  <c r="L112" i="72" s="1"/>
  <c r="K111" i="72"/>
  <c r="E111" i="72"/>
  <c r="L111" i="72" s="1"/>
  <c r="D111" i="72"/>
  <c r="O111" i="72" s="1"/>
  <c r="O110" i="72"/>
  <c r="E110" i="72"/>
  <c r="D110" i="72"/>
  <c r="L110" i="72" s="1"/>
  <c r="E109" i="72"/>
  <c r="O109" i="72" s="1"/>
  <c r="D109" i="72"/>
  <c r="K109" i="72" s="1"/>
  <c r="E108" i="72"/>
  <c r="D108" i="72"/>
  <c r="O108" i="72" s="1"/>
  <c r="L102" i="72"/>
  <c r="K102" i="72"/>
  <c r="E102" i="72"/>
  <c r="O102" i="72" s="1"/>
  <c r="D102" i="72"/>
  <c r="E101" i="72"/>
  <c r="D101" i="72"/>
  <c r="O101" i="72" s="1"/>
  <c r="E100" i="72"/>
  <c r="D100" i="72"/>
  <c r="O100" i="72" s="1"/>
  <c r="O99" i="72"/>
  <c r="K99" i="72"/>
  <c r="E99" i="72"/>
  <c r="D99" i="72"/>
  <c r="L99" i="72" s="1"/>
  <c r="K98" i="72"/>
  <c r="E98" i="72"/>
  <c r="L98" i="72" s="1"/>
  <c r="D98" i="72"/>
  <c r="O98" i="72" s="1"/>
  <c r="O92" i="72"/>
  <c r="E92" i="72"/>
  <c r="D92" i="72"/>
  <c r="L92" i="72" s="1"/>
  <c r="E91" i="72"/>
  <c r="O91" i="72" s="1"/>
  <c r="D91" i="72"/>
  <c r="K91" i="72" s="1"/>
  <c r="E90" i="72"/>
  <c r="D90" i="72"/>
  <c r="O90" i="72" s="1"/>
  <c r="L89" i="72"/>
  <c r="K89" i="72"/>
  <c r="E89" i="72"/>
  <c r="D89" i="72"/>
  <c r="O89" i="72" s="1"/>
  <c r="E88" i="72"/>
  <c r="D88" i="72"/>
  <c r="O88" i="72" s="1"/>
  <c r="E81" i="72"/>
  <c r="D81" i="72"/>
  <c r="O81" i="72" s="1"/>
  <c r="O80" i="72"/>
  <c r="K80" i="72"/>
  <c r="E80" i="72"/>
  <c r="D80" i="72"/>
  <c r="L80" i="72" s="1"/>
  <c r="E79" i="72"/>
  <c r="K79" i="72" s="1"/>
  <c r="D79" i="72"/>
  <c r="O79" i="72" s="1"/>
  <c r="B79" i="72"/>
  <c r="E72" i="72"/>
  <c r="D72" i="72"/>
  <c r="O72" i="72" s="1"/>
  <c r="O71" i="72"/>
  <c r="K71" i="72"/>
  <c r="E71" i="72"/>
  <c r="D71" i="72"/>
  <c r="L71" i="72" s="1"/>
  <c r="E70" i="72"/>
  <c r="L70" i="72" s="1"/>
  <c r="D70" i="72"/>
  <c r="O64" i="72"/>
  <c r="E64" i="72"/>
  <c r="D64" i="72"/>
  <c r="L64" i="72" s="1"/>
  <c r="E63" i="72"/>
  <c r="L63" i="72" s="1"/>
  <c r="D63" i="72"/>
  <c r="K63" i="72" s="1"/>
  <c r="E62" i="72"/>
  <c r="D62" i="72"/>
  <c r="O62" i="72" s="1"/>
  <c r="L56" i="72"/>
  <c r="K56" i="72"/>
  <c r="E56" i="72"/>
  <c r="D56" i="72"/>
  <c r="O56" i="72" s="1"/>
  <c r="E55" i="72"/>
  <c r="D55" i="72"/>
  <c r="L55" i="72" s="1"/>
  <c r="E54" i="72"/>
  <c r="D54" i="72"/>
  <c r="O54" i="72" s="1"/>
  <c r="O53" i="72"/>
  <c r="K53" i="72"/>
  <c r="E53" i="72"/>
  <c r="D53" i="72"/>
  <c r="L53" i="72" s="1"/>
  <c r="E52" i="72"/>
  <c r="L52" i="72" s="1"/>
  <c r="D52" i="72"/>
  <c r="O52" i="72" s="1"/>
  <c r="O46" i="72"/>
  <c r="L46" i="72"/>
  <c r="E46" i="72"/>
  <c r="D46" i="72"/>
  <c r="K46" i="72" s="1"/>
  <c r="E45" i="72"/>
  <c r="L45" i="72" s="1"/>
  <c r="D45" i="72"/>
  <c r="K45" i="72" s="1"/>
  <c r="E44" i="72"/>
  <c r="D44" i="72"/>
  <c r="O44" i="72" s="1"/>
  <c r="L38" i="72"/>
  <c r="K38" i="72"/>
  <c r="E38" i="72"/>
  <c r="D38" i="72"/>
  <c r="O38" i="72" s="1"/>
  <c r="E37" i="72"/>
  <c r="D37" i="72"/>
  <c r="O37" i="72" s="1"/>
  <c r="E36" i="72"/>
  <c r="D36" i="72"/>
  <c r="AD31" i="72"/>
  <c r="AD179" i="72" s="1"/>
  <c r="H179" i="72" s="1"/>
  <c r="O157" i="72" l="1"/>
  <c r="O305" i="72"/>
  <c r="K330" i="72"/>
  <c r="K88" i="72"/>
  <c r="L91" i="72"/>
  <c r="K101" i="72"/>
  <c r="L109" i="72"/>
  <c r="K119" i="72"/>
  <c r="L128" i="72"/>
  <c r="L131" i="72"/>
  <c r="K142" i="72"/>
  <c r="O152" i="72"/>
  <c r="K155" i="72"/>
  <c r="K166" i="72"/>
  <c r="L169" i="72"/>
  <c r="K174" i="72"/>
  <c r="L177" i="72"/>
  <c r="K188" i="72"/>
  <c r="L197" i="72"/>
  <c r="K202" i="72"/>
  <c r="L211" i="72"/>
  <c r="K221" i="72"/>
  <c r="L229" i="72"/>
  <c r="K244" i="72"/>
  <c r="L252" i="72"/>
  <c r="K267" i="72"/>
  <c r="L276" i="72"/>
  <c r="K286" i="72"/>
  <c r="K304" i="72"/>
  <c r="K322" i="72"/>
  <c r="K37" i="72"/>
  <c r="O45" i="72"/>
  <c r="L88" i="72"/>
  <c r="L119" i="72"/>
  <c r="L267" i="72"/>
  <c r="K55" i="72"/>
  <c r="L37" i="72"/>
  <c r="O63" i="72"/>
  <c r="L101" i="72"/>
  <c r="L188" i="72"/>
  <c r="L202" i="72"/>
  <c r="K62" i="72"/>
  <c r="L79" i="72"/>
  <c r="K90" i="72"/>
  <c r="K150" i="72"/>
  <c r="L155" i="72"/>
  <c r="O166" i="72"/>
  <c r="L171" i="72"/>
  <c r="O174" i="72"/>
  <c r="K176" i="72"/>
  <c r="K196" i="72"/>
  <c r="L199" i="72"/>
  <c r="K204" i="72"/>
  <c r="L213" i="72"/>
  <c r="O221" i="72"/>
  <c r="K228" i="72"/>
  <c r="O244" i="72"/>
  <c r="K251" i="72"/>
  <c r="L259" i="72"/>
  <c r="K52" i="72"/>
  <c r="K70" i="72"/>
  <c r="K108" i="72"/>
  <c r="K152" i="72"/>
  <c r="K168" i="72"/>
  <c r="L44" i="72"/>
  <c r="K54" i="72"/>
  <c r="L62" i="72"/>
  <c r="O70" i="72"/>
  <c r="K72" i="72"/>
  <c r="K81" i="72"/>
  <c r="L90" i="72"/>
  <c r="K100" i="72"/>
  <c r="L108" i="72"/>
  <c r="K118" i="72"/>
  <c r="L121" i="72"/>
  <c r="L130" i="72"/>
  <c r="K141" i="72"/>
  <c r="L150" i="72"/>
  <c r="L152" i="72"/>
  <c r="O156" i="72"/>
  <c r="O158" i="72"/>
  <c r="K165" i="72"/>
  <c r="L168" i="72"/>
  <c r="K173" i="72"/>
  <c r="L176" i="72"/>
  <c r="K187" i="72"/>
  <c r="L196" i="72"/>
  <c r="K201" i="72"/>
  <c r="L204" i="72"/>
  <c r="K220" i="72"/>
  <c r="L228" i="72"/>
  <c r="K243" i="72"/>
  <c r="L251" i="72"/>
  <c r="K261" i="72"/>
  <c r="L269" i="72"/>
  <c r="K285" i="72"/>
  <c r="L288" i="72"/>
  <c r="K303" i="72"/>
  <c r="L306" i="72"/>
  <c r="K321" i="72"/>
  <c r="L324" i="72"/>
  <c r="K339" i="72"/>
  <c r="L142" i="72"/>
  <c r="K44" i="72"/>
  <c r="O55" i="72"/>
  <c r="K121" i="72"/>
  <c r="K130" i="72"/>
  <c r="O36" i="72"/>
  <c r="L54" i="72"/>
  <c r="K64" i="72"/>
  <c r="L72" i="72"/>
  <c r="L81" i="72"/>
  <c r="K92" i="72"/>
  <c r="L100" i="72"/>
  <c r="K110" i="72"/>
  <c r="L118" i="72"/>
  <c r="K132" i="72"/>
  <c r="L141" i="72"/>
  <c r="O153" i="72"/>
  <c r="L165" i="72"/>
  <c r="K170" i="72"/>
  <c r="L173" i="72"/>
  <c r="K178" i="72"/>
  <c r="L187" i="72"/>
  <c r="K198" i="72"/>
  <c r="L201" i="72"/>
  <c r="K212" i="72"/>
  <c r="L220" i="72"/>
  <c r="K235" i="72"/>
  <c r="L243" i="72"/>
  <c r="K253" i="72"/>
  <c r="L261" i="72"/>
  <c r="K277" i="72"/>
  <c r="L285" i="72"/>
  <c r="K295" i="72"/>
  <c r="L303" i="72"/>
  <c r="K313" i="72"/>
  <c r="L321" i="72"/>
  <c r="K331" i="72"/>
  <c r="L339" i="72"/>
  <c r="K151" i="72"/>
  <c r="K36" i="72"/>
  <c r="L36" i="72"/>
  <c r="O151" i="72"/>
  <c r="O155" i="72"/>
  <c r="K157" i="72"/>
  <c r="L153" i="72"/>
  <c r="K154" i="72"/>
  <c r="L157" i="72"/>
  <c r="K158" i="72"/>
  <c r="O154" i="72"/>
  <c r="AD139" i="72"/>
  <c r="H139" i="72" s="1"/>
  <c r="F139" i="72" s="1"/>
  <c r="AD81" i="72"/>
  <c r="H81" i="72" s="1"/>
  <c r="F81" i="72" s="1"/>
  <c r="AD174" i="72"/>
  <c r="H174" i="72" s="1"/>
  <c r="G174" i="72" s="1"/>
  <c r="AD118" i="72"/>
  <c r="H118" i="72" s="1"/>
  <c r="G118" i="72" s="1"/>
  <c r="AD100" i="72"/>
  <c r="H100" i="72" s="1"/>
  <c r="G100" i="72" s="1"/>
  <c r="AD152" i="72"/>
  <c r="H152" i="72" s="1"/>
  <c r="G152" i="72" s="1"/>
  <c r="AD89" i="72"/>
  <c r="H89" i="72" s="1"/>
  <c r="F89" i="72" s="1"/>
  <c r="AD102" i="72"/>
  <c r="H102" i="72" s="1"/>
  <c r="F102" i="72" s="1"/>
  <c r="AD120" i="72"/>
  <c r="H120" i="72" s="1"/>
  <c r="F120" i="72" s="1"/>
  <c r="AD141" i="72"/>
  <c r="H141" i="72" s="1"/>
  <c r="G141" i="72" s="1"/>
  <c r="AD158" i="72"/>
  <c r="H158" i="72" s="1"/>
  <c r="F158" i="72" s="1"/>
  <c r="AD91" i="72"/>
  <c r="H91" i="72" s="1"/>
  <c r="G91" i="72" s="1"/>
  <c r="AD109" i="72"/>
  <c r="H109" i="72" s="1"/>
  <c r="G109" i="72" s="1"/>
  <c r="AD129" i="72"/>
  <c r="H129" i="72" s="1"/>
  <c r="F129" i="72" s="1"/>
  <c r="AD79" i="72"/>
  <c r="H79" i="72" s="1"/>
  <c r="G79" i="72" s="1"/>
  <c r="AD98" i="72"/>
  <c r="H98" i="72" s="1"/>
  <c r="G98" i="72" s="1"/>
  <c r="AD111" i="72"/>
  <c r="H111" i="72" s="1"/>
  <c r="G111" i="72" s="1"/>
  <c r="AD131" i="72"/>
  <c r="H131" i="72" s="1"/>
  <c r="F131" i="72" s="1"/>
  <c r="AD187" i="72"/>
  <c r="H187" i="72" s="1"/>
  <c r="G187" i="72" s="1"/>
  <c r="G179" i="72"/>
  <c r="F179" i="72"/>
  <c r="AD36" i="72"/>
  <c r="H36" i="72" s="1"/>
  <c r="AD38" i="72"/>
  <c r="H38" i="72" s="1"/>
  <c r="AD45" i="72"/>
  <c r="H45" i="72" s="1"/>
  <c r="AD52" i="72"/>
  <c r="H52" i="72" s="1"/>
  <c r="AD54" i="72"/>
  <c r="H54" i="72" s="1"/>
  <c r="AD56" i="72"/>
  <c r="H56" i="72" s="1"/>
  <c r="AD63" i="72"/>
  <c r="H63" i="72" s="1"/>
  <c r="AD70" i="72"/>
  <c r="H70" i="72" s="1"/>
  <c r="AD72" i="72"/>
  <c r="H72" i="72" s="1"/>
  <c r="AD128" i="72"/>
  <c r="H128" i="72" s="1"/>
  <c r="F128" i="72" s="1"/>
  <c r="AD150" i="72"/>
  <c r="H150" i="72" s="1"/>
  <c r="AD153" i="72"/>
  <c r="H153" i="72" s="1"/>
  <c r="G153" i="72" s="1"/>
  <c r="AD156" i="72"/>
  <c r="H156" i="72" s="1"/>
  <c r="AD166" i="72"/>
  <c r="H166" i="72" s="1"/>
  <c r="G166" i="72" s="1"/>
  <c r="AD80" i="72"/>
  <c r="H80" i="72" s="1"/>
  <c r="AD88" i="72"/>
  <c r="H88" i="72" s="1"/>
  <c r="AD90" i="72"/>
  <c r="H90" i="72" s="1"/>
  <c r="AD92" i="72"/>
  <c r="H92" i="72" s="1"/>
  <c r="AD99" i="72"/>
  <c r="H99" i="72" s="1"/>
  <c r="AD101" i="72"/>
  <c r="H101" i="72" s="1"/>
  <c r="AD108" i="72"/>
  <c r="H108" i="72" s="1"/>
  <c r="AD110" i="72"/>
  <c r="H110" i="72" s="1"/>
  <c r="AD112" i="72"/>
  <c r="H112" i="72" s="1"/>
  <c r="AD119" i="72"/>
  <c r="H119" i="72" s="1"/>
  <c r="AD121" i="72"/>
  <c r="H121" i="72" s="1"/>
  <c r="AD127" i="72"/>
  <c r="H127" i="72" s="1"/>
  <c r="G127" i="72" s="1"/>
  <c r="AD130" i="72"/>
  <c r="H130" i="72" s="1"/>
  <c r="AD132" i="72"/>
  <c r="H132" i="72" s="1"/>
  <c r="AD140" i="72"/>
  <c r="H140" i="72" s="1"/>
  <c r="AD142" i="72"/>
  <c r="H142" i="72" s="1"/>
  <c r="AD151" i="72"/>
  <c r="H151" i="72" s="1"/>
  <c r="G151" i="72" s="1"/>
  <c r="AD339" i="72"/>
  <c r="H339" i="72" s="1"/>
  <c r="AD332" i="72"/>
  <c r="H332" i="72" s="1"/>
  <c r="AD330" i="72"/>
  <c r="H330" i="72" s="1"/>
  <c r="AD323" i="72"/>
  <c r="H323" i="72" s="1"/>
  <c r="AD321" i="72"/>
  <c r="H321" i="72" s="1"/>
  <c r="AD314" i="72"/>
  <c r="H314" i="72" s="1"/>
  <c r="AD312" i="72"/>
  <c r="H312" i="72" s="1"/>
  <c r="AD305" i="72"/>
  <c r="H305" i="72" s="1"/>
  <c r="AD303" i="72"/>
  <c r="H303" i="72" s="1"/>
  <c r="AD296" i="72"/>
  <c r="H296" i="72" s="1"/>
  <c r="AD294" i="72"/>
  <c r="H294" i="72" s="1"/>
  <c r="AD287" i="72"/>
  <c r="H287" i="72" s="1"/>
  <c r="AD285" i="72"/>
  <c r="H285" i="72" s="1"/>
  <c r="AD278" i="72"/>
  <c r="H278" i="72" s="1"/>
  <c r="AD276" i="72"/>
  <c r="H276" i="72" s="1"/>
  <c r="AD268" i="72"/>
  <c r="H268" i="72" s="1"/>
  <c r="AD261" i="72"/>
  <c r="H261" i="72" s="1"/>
  <c r="AD259" i="72"/>
  <c r="H259" i="72" s="1"/>
  <c r="AD252" i="72"/>
  <c r="H252" i="72" s="1"/>
  <c r="AD245" i="72"/>
  <c r="H245" i="72" s="1"/>
  <c r="AD243" i="72"/>
  <c r="H243" i="72" s="1"/>
  <c r="AD236" i="72"/>
  <c r="H236" i="72" s="1"/>
  <c r="AD229" i="72"/>
  <c r="H229" i="72" s="1"/>
  <c r="AD227" i="72"/>
  <c r="H227" i="72" s="1"/>
  <c r="AD220" i="72"/>
  <c r="H220" i="72" s="1"/>
  <c r="AD213" i="72"/>
  <c r="H213" i="72" s="1"/>
  <c r="AD211" i="72"/>
  <c r="H211" i="72" s="1"/>
  <c r="AD203" i="72"/>
  <c r="H203" i="72" s="1"/>
  <c r="AD201" i="72"/>
  <c r="H201" i="72" s="1"/>
  <c r="AD199" i="72"/>
  <c r="H199" i="72" s="1"/>
  <c r="AD197" i="72"/>
  <c r="H197" i="72" s="1"/>
  <c r="AD195" i="72"/>
  <c r="H195" i="72" s="1"/>
  <c r="G195" i="72" s="1"/>
  <c r="AD176" i="72"/>
  <c r="H176" i="72" s="1"/>
  <c r="G176" i="72" s="1"/>
  <c r="AD173" i="72"/>
  <c r="H173" i="72" s="1"/>
  <c r="AD168" i="72"/>
  <c r="H168" i="72" s="1"/>
  <c r="G168" i="72" s="1"/>
  <c r="AD165" i="72"/>
  <c r="H165" i="72" s="1"/>
  <c r="AD155" i="72"/>
  <c r="H155" i="72" s="1"/>
  <c r="G155" i="72" s="1"/>
  <c r="AD188" i="72"/>
  <c r="H188" i="72" s="1"/>
  <c r="AD186" i="72"/>
  <c r="H186" i="72" s="1"/>
  <c r="AD178" i="72"/>
  <c r="H178" i="72" s="1"/>
  <c r="G178" i="72" s="1"/>
  <c r="AD175" i="72"/>
  <c r="H175" i="72" s="1"/>
  <c r="AD170" i="72"/>
  <c r="H170" i="72" s="1"/>
  <c r="G170" i="72" s="1"/>
  <c r="AD167" i="72"/>
  <c r="H167" i="72" s="1"/>
  <c r="AD157" i="72"/>
  <c r="H157" i="72" s="1"/>
  <c r="G157" i="72" s="1"/>
  <c r="AD154" i="72"/>
  <c r="H154" i="72" s="1"/>
  <c r="AD338" i="72"/>
  <c r="H338" i="72" s="1"/>
  <c r="AD331" i="72"/>
  <c r="H331" i="72" s="1"/>
  <c r="AD324" i="72"/>
  <c r="H324" i="72" s="1"/>
  <c r="AD322" i="72"/>
  <c r="H322" i="72" s="1"/>
  <c r="AD315" i="72"/>
  <c r="H315" i="72" s="1"/>
  <c r="AD313" i="72"/>
  <c r="H313" i="72" s="1"/>
  <c r="AD306" i="72"/>
  <c r="H306" i="72" s="1"/>
  <c r="AD304" i="72"/>
  <c r="H304" i="72" s="1"/>
  <c r="AD297" i="72"/>
  <c r="H297" i="72" s="1"/>
  <c r="AD295" i="72"/>
  <c r="H295" i="72" s="1"/>
  <c r="AD288" i="72"/>
  <c r="H288" i="72" s="1"/>
  <c r="AD286" i="72"/>
  <c r="H286" i="72" s="1"/>
  <c r="AD279" i="72"/>
  <c r="H279" i="72" s="1"/>
  <c r="AD277" i="72"/>
  <c r="H277" i="72" s="1"/>
  <c r="AD269" i="72"/>
  <c r="H269" i="72" s="1"/>
  <c r="AD267" i="72"/>
  <c r="H267" i="72" s="1"/>
  <c r="AD260" i="72"/>
  <c r="H260" i="72" s="1"/>
  <c r="AD253" i="72"/>
  <c r="H253" i="72" s="1"/>
  <c r="AD251" i="72"/>
  <c r="H251" i="72" s="1"/>
  <c r="AD244" i="72"/>
  <c r="H244" i="72" s="1"/>
  <c r="AD237" i="72"/>
  <c r="H237" i="72" s="1"/>
  <c r="AD235" i="72"/>
  <c r="H235" i="72" s="1"/>
  <c r="AD228" i="72"/>
  <c r="H228" i="72" s="1"/>
  <c r="AD221" i="72"/>
  <c r="H221" i="72" s="1"/>
  <c r="AD219" i="72"/>
  <c r="H219" i="72" s="1"/>
  <c r="AD212" i="72"/>
  <c r="H212" i="72" s="1"/>
  <c r="AD204" i="72"/>
  <c r="H204" i="72" s="1"/>
  <c r="AD202" i="72"/>
  <c r="H202" i="72" s="1"/>
  <c r="AD200" i="72"/>
  <c r="H200" i="72" s="1"/>
  <c r="AD198" i="72"/>
  <c r="H198" i="72" s="1"/>
  <c r="AD196" i="72"/>
  <c r="H196" i="72" s="1"/>
  <c r="AD177" i="72"/>
  <c r="H177" i="72" s="1"/>
  <c r="AD172" i="72"/>
  <c r="H172" i="72" s="1"/>
  <c r="G172" i="72" s="1"/>
  <c r="AD169" i="72"/>
  <c r="H169" i="72" s="1"/>
  <c r="AD164" i="72"/>
  <c r="H164" i="72" s="1"/>
  <c r="G164" i="72" s="1"/>
  <c r="AD37" i="72"/>
  <c r="H37" i="72" s="1"/>
  <c r="AD44" i="72"/>
  <c r="H44" i="72" s="1"/>
  <c r="AD46" i="72"/>
  <c r="H46" i="72" s="1"/>
  <c r="AD53" i="72"/>
  <c r="H53" i="72" s="1"/>
  <c r="AD55" i="72"/>
  <c r="H55" i="72" s="1"/>
  <c r="AD62" i="72"/>
  <c r="H62" i="72" s="1"/>
  <c r="AD64" i="72"/>
  <c r="H64" i="72" s="1"/>
  <c r="AD71" i="72"/>
  <c r="H71" i="72" s="1"/>
  <c r="AD149" i="72"/>
  <c r="H149" i="72" s="1"/>
  <c r="G149" i="72" s="1"/>
  <c r="AD171" i="72"/>
  <c r="H171" i="72" s="1"/>
  <c r="B322" i="73"/>
  <c r="A322" i="73"/>
  <c r="B321" i="73"/>
  <c r="S338" i="72" s="1"/>
  <c r="A321" i="73"/>
  <c r="B315" i="73"/>
  <c r="A315" i="73"/>
  <c r="B314" i="73"/>
  <c r="S331" i="72" s="1"/>
  <c r="A314" i="73"/>
  <c r="B313" i="73"/>
  <c r="S330" i="72" s="1"/>
  <c r="A313" i="73"/>
  <c r="B307" i="73"/>
  <c r="S324" i="72" s="1"/>
  <c r="A307" i="73"/>
  <c r="B306" i="73"/>
  <c r="S323" i="72" s="1"/>
  <c r="A306" i="73"/>
  <c r="B305" i="73"/>
  <c r="S322" i="72" s="1"/>
  <c r="A305" i="73"/>
  <c r="B304" i="73"/>
  <c r="S321" i="72" s="1"/>
  <c r="A304" i="73"/>
  <c r="B298" i="73"/>
  <c r="S315" i="72" s="1"/>
  <c r="A298" i="73"/>
  <c r="B297" i="73"/>
  <c r="S314" i="72" s="1"/>
  <c r="A297" i="73"/>
  <c r="B296" i="73"/>
  <c r="S313" i="72" s="1"/>
  <c r="A296" i="73"/>
  <c r="B295" i="73"/>
  <c r="S312" i="72" s="1"/>
  <c r="A295" i="73"/>
  <c r="B289" i="73"/>
  <c r="S306" i="72" s="1"/>
  <c r="A289" i="73"/>
  <c r="B288" i="73"/>
  <c r="S305" i="72" s="1"/>
  <c r="A288" i="73"/>
  <c r="B287" i="73"/>
  <c r="S304" i="72" s="1"/>
  <c r="A287" i="73"/>
  <c r="B286" i="73"/>
  <c r="S303" i="72" s="1"/>
  <c r="A286" i="73"/>
  <c r="B280" i="73"/>
  <c r="S297" i="72" s="1"/>
  <c r="A280" i="73"/>
  <c r="B279" i="73"/>
  <c r="S296" i="72" s="1"/>
  <c r="A279" i="73"/>
  <c r="B278" i="73"/>
  <c r="S295" i="72" s="1"/>
  <c r="A278" i="73"/>
  <c r="B277" i="73"/>
  <c r="S294" i="72" s="1"/>
  <c r="A277" i="73"/>
  <c r="B271" i="73"/>
  <c r="S288" i="72" s="1"/>
  <c r="A271" i="73"/>
  <c r="B270" i="73"/>
  <c r="S287" i="72" s="1"/>
  <c r="A270" i="73"/>
  <c r="B269" i="73"/>
  <c r="S286" i="72" s="1"/>
  <c r="A269" i="73"/>
  <c r="B268" i="73"/>
  <c r="S285" i="72" s="1"/>
  <c r="A268" i="73"/>
  <c r="B262" i="73"/>
  <c r="S279" i="72" s="1"/>
  <c r="A262" i="73"/>
  <c r="B261" i="73"/>
  <c r="S278" i="72" s="1"/>
  <c r="A261" i="73"/>
  <c r="B260" i="73"/>
  <c r="S277" i="72" s="1"/>
  <c r="A260" i="73"/>
  <c r="B259" i="73"/>
  <c r="S276" i="72" s="1"/>
  <c r="A259" i="73"/>
  <c r="B252" i="73"/>
  <c r="S269" i="72" s="1"/>
  <c r="A252" i="73"/>
  <c r="B251" i="73"/>
  <c r="S268" i="72" s="1"/>
  <c r="A251" i="73"/>
  <c r="B250" i="73"/>
  <c r="S267" i="72" s="1"/>
  <c r="A250" i="73"/>
  <c r="B244" i="73"/>
  <c r="S261" i="72" s="1"/>
  <c r="A244" i="73"/>
  <c r="B243" i="73"/>
  <c r="S260" i="72" s="1"/>
  <c r="A243" i="73"/>
  <c r="B242" i="73"/>
  <c r="S259" i="72" s="1"/>
  <c r="A242" i="73"/>
  <c r="B236" i="73"/>
  <c r="S253" i="72" s="1"/>
  <c r="A236" i="73"/>
  <c r="B235" i="73"/>
  <c r="S252" i="72" s="1"/>
  <c r="A235" i="73"/>
  <c r="B234" i="73"/>
  <c r="S251" i="72" s="1"/>
  <c r="A234" i="73"/>
  <c r="B228" i="73"/>
  <c r="S245" i="72" s="1"/>
  <c r="A228" i="73"/>
  <c r="B227" i="73"/>
  <c r="S244" i="72" s="1"/>
  <c r="A227" i="73"/>
  <c r="B226" i="73"/>
  <c r="S243" i="72" s="1"/>
  <c r="A226" i="73"/>
  <c r="B220" i="73"/>
  <c r="S237" i="72" s="1"/>
  <c r="A220" i="73"/>
  <c r="B219" i="73"/>
  <c r="S236" i="72" s="1"/>
  <c r="A219" i="73"/>
  <c r="B218" i="73"/>
  <c r="S235" i="72" s="1"/>
  <c r="A218" i="73"/>
  <c r="B212" i="73"/>
  <c r="S229" i="72" s="1"/>
  <c r="A212" i="73"/>
  <c r="B211" i="73"/>
  <c r="S228" i="72" s="1"/>
  <c r="A211" i="73"/>
  <c r="B210" i="73"/>
  <c r="S227" i="72" s="1"/>
  <c r="A210" i="73"/>
  <c r="B204" i="73"/>
  <c r="S221" i="72" s="1"/>
  <c r="A204" i="73"/>
  <c r="B203" i="73"/>
  <c r="S220" i="72" s="1"/>
  <c r="A203" i="73"/>
  <c r="B202" i="73"/>
  <c r="S219" i="72" s="1"/>
  <c r="A202" i="73"/>
  <c r="B196" i="73"/>
  <c r="S213" i="72" s="1"/>
  <c r="A196" i="73"/>
  <c r="B195" i="73"/>
  <c r="S212" i="72" s="1"/>
  <c r="A195" i="73"/>
  <c r="B194" i="73"/>
  <c r="S211" i="72" s="1"/>
  <c r="A194" i="73"/>
  <c r="B187" i="73"/>
  <c r="S204" i="72" s="1"/>
  <c r="A187" i="73"/>
  <c r="B186" i="73"/>
  <c r="S203" i="72" s="1"/>
  <c r="A186" i="73"/>
  <c r="B185" i="73"/>
  <c r="S202" i="72" s="1"/>
  <c r="A185" i="73"/>
  <c r="B184" i="73"/>
  <c r="S201" i="72" s="1"/>
  <c r="B183" i="73"/>
  <c r="S200" i="72" s="1"/>
  <c r="A183" i="73"/>
  <c r="B182" i="73"/>
  <c r="S199" i="72" s="1"/>
  <c r="A182" i="73"/>
  <c r="B181" i="73"/>
  <c r="S198" i="72" s="1"/>
  <c r="A181" i="73"/>
  <c r="B180" i="73"/>
  <c r="S197" i="72" s="1"/>
  <c r="A180" i="73"/>
  <c r="B179" i="73"/>
  <c r="S196" i="72" s="1"/>
  <c r="A179" i="73"/>
  <c r="B178" i="73"/>
  <c r="A178" i="73"/>
  <c r="B171" i="73"/>
  <c r="S188" i="72" s="1"/>
  <c r="A171" i="73"/>
  <c r="B170" i="73"/>
  <c r="S187" i="72" s="1"/>
  <c r="A170" i="73"/>
  <c r="B169" i="73"/>
  <c r="S186" i="72" s="1"/>
  <c r="A169" i="73"/>
  <c r="B162" i="73"/>
  <c r="S179" i="72" s="1"/>
  <c r="A162" i="73"/>
  <c r="B161" i="73"/>
  <c r="A161" i="73"/>
  <c r="B160" i="73"/>
  <c r="S177" i="72" s="1"/>
  <c r="A160" i="73"/>
  <c r="B159" i="73"/>
  <c r="A159" i="73"/>
  <c r="B158" i="73"/>
  <c r="S175" i="72" s="1"/>
  <c r="A158" i="73"/>
  <c r="B157" i="73"/>
  <c r="A157" i="73"/>
  <c r="B156" i="73"/>
  <c r="S173" i="72" s="1"/>
  <c r="A156" i="73"/>
  <c r="B155" i="73"/>
  <c r="A155" i="73"/>
  <c r="B154" i="73"/>
  <c r="S171" i="72" s="1"/>
  <c r="A154" i="73"/>
  <c r="B153" i="73"/>
  <c r="A153" i="73"/>
  <c r="B152" i="73"/>
  <c r="S169" i="72" s="1"/>
  <c r="A152" i="73"/>
  <c r="B151" i="73"/>
  <c r="A151" i="73"/>
  <c r="B150" i="73"/>
  <c r="S167" i="72" s="1"/>
  <c r="A150" i="73"/>
  <c r="B149" i="73"/>
  <c r="A149" i="73"/>
  <c r="B148" i="73"/>
  <c r="S165" i="72" s="1"/>
  <c r="A148" i="73"/>
  <c r="B147" i="73"/>
  <c r="A147" i="73"/>
  <c r="B141" i="73"/>
  <c r="S158" i="72" s="1"/>
  <c r="A141" i="73"/>
  <c r="B140" i="73"/>
  <c r="A140" i="73"/>
  <c r="B139" i="73"/>
  <c r="S156" i="72" s="1"/>
  <c r="A139" i="73"/>
  <c r="B138" i="73"/>
  <c r="A138" i="73"/>
  <c r="B137" i="73"/>
  <c r="S154" i="72" s="1"/>
  <c r="A137" i="73"/>
  <c r="B136" i="73"/>
  <c r="A136" i="73"/>
  <c r="B135" i="73"/>
  <c r="S152" i="72" s="1"/>
  <c r="A135" i="73"/>
  <c r="B134" i="73"/>
  <c r="A134" i="73"/>
  <c r="B133" i="73"/>
  <c r="S150" i="72" s="1"/>
  <c r="A133" i="73"/>
  <c r="B132" i="73"/>
  <c r="A132" i="73"/>
  <c r="B125" i="73"/>
  <c r="S142" i="72" s="1"/>
  <c r="A125" i="73"/>
  <c r="B124" i="73"/>
  <c r="S141" i="72" s="1"/>
  <c r="A124" i="73"/>
  <c r="B123" i="73"/>
  <c r="S140" i="72" s="1"/>
  <c r="A123" i="73"/>
  <c r="B122" i="73"/>
  <c r="S139" i="72" s="1"/>
  <c r="A122" i="73"/>
  <c r="B115" i="73"/>
  <c r="A115" i="73"/>
  <c r="B114" i="73"/>
  <c r="A114" i="73"/>
  <c r="B113" i="73"/>
  <c r="S130" i="72" s="1"/>
  <c r="A113" i="73"/>
  <c r="B112" i="73"/>
  <c r="A112" i="73"/>
  <c r="B111" i="73"/>
  <c r="S128" i="72" s="1"/>
  <c r="A111" i="73"/>
  <c r="B110" i="73"/>
  <c r="S127" i="72" s="1"/>
  <c r="A110" i="73"/>
  <c r="B104" i="73"/>
  <c r="S121" i="72" s="1"/>
  <c r="A104" i="73"/>
  <c r="B103" i="73"/>
  <c r="S120" i="72" s="1"/>
  <c r="A103" i="73"/>
  <c r="B102" i="73"/>
  <c r="S119" i="72" s="1"/>
  <c r="A102" i="73"/>
  <c r="B101" i="73"/>
  <c r="S118" i="72" s="1"/>
  <c r="A101" i="73"/>
  <c r="B95" i="73"/>
  <c r="S112" i="72" s="1"/>
  <c r="A95" i="73"/>
  <c r="B94" i="73"/>
  <c r="S111" i="72" s="1"/>
  <c r="A94" i="73"/>
  <c r="B93" i="73"/>
  <c r="S110" i="72" s="1"/>
  <c r="A93" i="73"/>
  <c r="B92" i="73"/>
  <c r="S109" i="72" s="1"/>
  <c r="A92" i="73"/>
  <c r="B91" i="73"/>
  <c r="S108" i="72" s="1"/>
  <c r="A91" i="73"/>
  <c r="B85" i="73"/>
  <c r="S102" i="72" s="1"/>
  <c r="A85" i="73"/>
  <c r="B84" i="73"/>
  <c r="S101" i="72" s="1"/>
  <c r="A84" i="73"/>
  <c r="B83" i="73"/>
  <c r="S100" i="72" s="1"/>
  <c r="A83" i="73"/>
  <c r="B82" i="73"/>
  <c r="S99" i="72" s="1"/>
  <c r="A82" i="73"/>
  <c r="B81" i="73"/>
  <c r="S98" i="72" s="1"/>
  <c r="A81" i="73"/>
  <c r="B75" i="73"/>
  <c r="S92" i="72" s="1"/>
  <c r="A75" i="73"/>
  <c r="B74" i="73"/>
  <c r="S91" i="72" s="1"/>
  <c r="A74" i="73"/>
  <c r="B73" i="73"/>
  <c r="S90" i="72" s="1"/>
  <c r="A73" i="73"/>
  <c r="B72" i="73"/>
  <c r="S89" i="72" s="1"/>
  <c r="A72" i="73"/>
  <c r="B71" i="73"/>
  <c r="A71" i="73"/>
  <c r="B64" i="73"/>
  <c r="S81" i="72" s="1"/>
  <c r="A64" i="73"/>
  <c r="B63" i="73"/>
  <c r="S80" i="72" s="1"/>
  <c r="A63" i="73"/>
  <c r="B62" i="73"/>
  <c r="S79" i="72" s="1"/>
  <c r="A62" i="73"/>
  <c r="B55" i="73"/>
  <c r="S72" i="72" s="1"/>
  <c r="A55" i="73"/>
  <c r="B54" i="73"/>
  <c r="S71" i="72" s="1"/>
  <c r="A54" i="73"/>
  <c r="B53" i="73"/>
  <c r="S70" i="72" s="1"/>
  <c r="A53" i="73"/>
  <c r="B47" i="73"/>
  <c r="S64" i="72" s="1"/>
  <c r="A47" i="73"/>
  <c r="B46" i="73"/>
  <c r="S63" i="72" s="1"/>
  <c r="A46" i="73"/>
  <c r="B45" i="73"/>
  <c r="S62" i="72" s="1"/>
  <c r="A45" i="73"/>
  <c r="B39" i="73"/>
  <c r="S56" i="72" s="1"/>
  <c r="A39" i="73"/>
  <c r="B38" i="73"/>
  <c r="S55" i="72" s="1"/>
  <c r="A38" i="73"/>
  <c r="B37" i="73"/>
  <c r="S54" i="72" s="1"/>
  <c r="A37" i="73"/>
  <c r="B36" i="73"/>
  <c r="S53" i="72" s="1"/>
  <c r="A36" i="73"/>
  <c r="B35" i="73"/>
  <c r="S52" i="72" s="1"/>
  <c r="A35" i="73"/>
  <c r="B29" i="73"/>
  <c r="S46" i="72" s="1"/>
  <c r="A29" i="73"/>
  <c r="B28" i="73"/>
  <c r="S45" i="72" s="1"/>
  <c r="A28" i="73"/>
  <c r="B27" i="73"/>
  <c r="S44" i="72" s="1"/>
  <c r="A27" i="73"/>
  <c r="B21" i="73"/>
  <c r="S38" i="72" s="1"/>
  <c r="A21" i="73"/>
  <c r="B20" i="73"/>
  <c r="S37" i="72" s="1"/>
  <c r="A20" i="73"/>
  <c r="G81" i="72" l="1"/>
  <c r="G139" i="72"/>
  <c r="G120" i="72"/>
  <c r="F103" i="73" s="1"/>
  <c r="W103" i="73" s="1"/>
  <c r="S88" i="72"/>
  <c r="F100" i="72"/>
  <c r="G129" i="72"/>
  <c r="F79" i="72"/>
  <c r="C62" i="73" s="1"/>
  <c r="AB62" i="73" s="1"/>
  <c r="F152" i="72"/>
  <c r="G131" i="72"/>
  <c r="F114" i="73" s="1"/>
  <c r="W114" i="73" s="1"/>
  <c r="G158" i="72"/>
  <c r="F141" i="73" s="1"/>
  <c r="W141" i="73" s="1"/>
  <c r="F141" i="72"/>
  <c r="C124" i="73" s="1"/>
  <c r="AB124" i="73" s="1"/>
  <c r="G89" i="72"/>
  <c r="F72" i="73" s="1"/>
  <c r="W72" i="73" s="1"/>
  <c r="G102" i="72"/>
  <c r="F85" i="73" s="1"/>
  <c r="W85" i="73" s="1"/>
  <c r="F122" i="73"/>
  <c r="W122" i="73" s="1"/>
  <c r="F135" i="73"/>
  <c r="W135" i="73" s="1"/>
  <c r="F118" i="72"/>
  <c r="C101" i="73" s="1"/>
  <c r="AB101" i="73" s="1"/>
  <c r="F98" i="72"/>
  <c r="C81" i="73" s="1"/>
  <c r="AB81" i="73" s="1"/>
  <c r="F112" i="73"/>
  <c r="W112" i="73" s="1"/>
  <c r="S129" i="72"/>
  <c r="F111" i="72"/>
  <c r="C94" i="73" s="1"/>
  <c r="AB94" i="73" s="1"/>
  <c r="C83" i="73"/>
  <c r="AB83" i="73" s="1"/>
  <c r="C103" i="73"/>
  <c r="AB103" i="73" s="1"/>
  <c r="F187" i="72"/>
  <c r="C170" i="73" s="1"/>
  <c r="AB170" i="73" s="1"/>
  <c r="F109" i="72"/>
  <c r="C92" i="73" s="1"/>
  <c r="AB92" i="73" s="1"/>
  <c r="F91" i="72"/>
  <c r="C74" i="73" s="1"/>
  <c r="AB74" i="73" s="1"/>
  <c r="F127" i="72"/>
  <c r="C110" i="73" s="1"/>
  <c r="AB110" i="73" s="1"/>
  <c r="F62" i="73"/>
  <c r="W62" i="73" s="1"/>
  <c r="G171" i="72"/>
  <c r="F154" i="73" s="1"/>
  <c r="W154" i="73" s="1"/>
  <c r="F171" i="72"/>
  <c r="C154" i="73" s="1"/>
  <c r="AB154" i="73" s="1"/>
  <c r="G62" i="72"/>
  <c r="F45" i="73" s="1"/>
  <c r="W45" i="73" s="1"/>
  <c r="F62" i="72"/>
  <c r="C45" i="73" s="1"/>
  <c r="AB45" i="73" s="1"/>
  <c r="G44" i="72"/>
  <c r="F44" i="72"/>
  <c r="C27" i="73" s="1"/>
  <c r="AB27" i="73" s="1"/>
  <c r="G200" i="72"/>
  <c r="F183" i="73" s="1"/>
  <c r="W183" i="73" s="1"/>
  <c r="F200" i="72"/>
  <c r="C183" i="73" s="1"/>
  <c r="AB183" i="73" s="1"/>
  <c r="G237" i="72"/>
  <c r="F237" i="72"/>
  <c r="C220" i="73" s="1"/>
  <c r="AB220" i="73" s="1"/>
  <c r="G260" i="72"/>
  <c r="F243" i="73" s="1"/>
  <c r="W243" i="73" s="1"/>
  <c r="F260" i="72"/>
  <c r="C243" i="73" s="1"/>
  <c r="AB243" i="73" s="1"/>
  <c r="G279" i="72"/>
  <c r="F262" i="73" s="1"/>
  <c r="W262" i="73" s="1"/>
  <c r="F279" i="72"/>
  <c r="C262" i="73" s="1"/>
  <c r="AB262" i="73" s="1"/>
  <c r="G297" i="72"/>
  <c r="F280" i="73" s="1"/>
  <c r="W280" i="73" s="1"/>
  <c r="F297" i="72"/>
  <c r="C280" i="73" s="1"/>
  <c r="AB280" i="73" s="1"/>
  <c r="G315" i="72"/>
  <c r="F298" i="73" s="1"/>
  <c r="W298" i="73" s="1"/>
  <c r="F315" i="72"/>
  <c r="C298" i="73" s="1"/>
  <c r="AB298" i="73" s="1"/>
  <c r="F188" i="72"/>
  <c r="C171" i="73" s="1"/>
  <c r="AB171" i="73" s="1"/>
  <c r="G188" i="72"/>
  <c r="F171" i="73" s="1"/>
  <c r="W171" i="73" s="1"/>
  <c r="G173" i="72"/>
  <c r="F173" i="72"/>
  <c r="C156" i="73" s="1"/>
  <c r="AB156" i="73" s="1"/>
  <c r="G199" i="72"/>
  <c r="F182" i="73" s="1"/>
  <c r="W182" i="73" s="1"/>
  <c r="F199" i="72"/>
  <c r="C182" i="73" s="1"/>
  <c r="AB182" i="73" s="1"/>
  <c r="G213" i="72"/>
  <c r="F196" i="73" s="1"/>
  <c r="W196" i="73" s="1"/>
  <c r="F213" i="72"/>
  <c r="C196" i="73" s="1"/>
  <c r="AB196" i="73" s="1"/>
  <c r="G236" i="72"/>
  <c r="F219" i="73" s="1"/>
  <c r="W219" i="73" s="1"/>
  <c r="F236" i="72"/>
  <c r="C219" i="73" s="1"/>
  <c r="AB219" i="73" s="1"/>
  <c r="G259" i="72"/>
  <c r="F242" i="73" s="1"/>
  <c r="W242" i="73" s="1"/>
  <c r="F259" i="72"/>
  <c r="C242" i="73" s="1"/>
  <c r="AB242" i="73" s="1"/>
  <c r="G278" i="72"/>
  <c r="F261" i="73" s="1"/>
  <c r="W261" i="73" s="1"/>
  <c r="F278" i="72"/>
  <c r="C261" i="73" s="1"/>
  <c r="AB261" i="73" s="1"/>
  <c r="G296" i="72"/>
  <c r="F279" i="73" s="1"/>
  <c r="W279" i="73" s="1"/>
  <c r="F296" i="72"/>
  <c r="C279" i="73" s="1"/>
  <c r="AB279" i="73" s="1"/>
  <c r="G314" i="72"/>
  <c r="F297" i="73" s="1"/>
  <c r="W297" i="73" s="1"/>
  <c r="F314" i="72"/>
  <c r="C297" i="73" s="1"/>
  <c r="AB297" i="73" s="1"/>
  <c r="G332" i="72"/>
  <c r="F315" i="73" s="1"/>
  <c r="W315" i="73" s="1"/>
  <c r="F332" i="72"/>
  <c r="C315" i="73" s="1"/>
  <c r="AB315" i="73" s="1"/>
  <c r="F140" i="72"/>
  <c r="C123" i="73" s="1"/>
  <c r="AB123" i="73" s="1"/>
  <c r="G140" i="72"/>
  <c r="F123" i="73" s="1"/>
  <c r="W123" i="73" s="1"/>
  <c r="F121" i="72"/>
  <c r="G121" i="72"/>
  <c r="F104" i="73" s="1"/>
  <c r="W104" i="73" s="1"/>
  <c r="F108" i="72"/>
  <c r="C91" i="73" s="1"/>
  <c r="AB91" i="73" s="1"/>
  <c r="G108" i="72"/>
  <c r="F91" i="73" s="1"/>
  <c r="W91" i="73" s="1"/>
  <c r="F90" i="72"/>
  <c r="C73" i="73" s="1"/>
  <c r="AB73" i="73" s="1"/>
  <c r="G90" i="72"/>
  <c r="F73" i="73" s="1"/>
  <c r="W73" i="73" s="1"/>
  <c r="G156" i="72"/>
  <c r="F139" i="73" s="1"/>
  <c r="W139" i="73" s="1"/>
  <c r="F156" i="72"/>
  <c r="C139" i="73" s="1"/>
  <c r="AB139" i="73" s="1"/>
  <c r="G63" i="72"/>
  <c r="F46" i="73" s="1"/>
  <c r="W46" i="73" s="1"/>
  <c r="F63" i="72"/>
  <c r="C46" i="73" s="1"/>
  <c r="AB46" i="73" s="1"/>
  <c r="G45" i="72"/>
  <c r="F28" i="73" s="1"/>
  <c r="W28" i="73" s="1"/>
  <c r="F45" i="72"/>
  <c r="C28" i="73" s="1"/>
  <c r="AB28" i="73" s="1"/>
  <c r="F27" i="73"/>
  <c r="W27" i="73" s="1"/>
  <c r="F64" i="73"/>
  <c r="W64" i="73" s="1"/>
  <c r="F74" i="73"/>
  <c r="W74" i="73" s="1"/>
  <c r="G55" i="72"/>
  <c r="F38" i="73" s="1"/>
  <c r="W38" i="73" s="1"/>
  <c r="F55" i="72"/>
  <c r="C38" i="73" s="1"/>
  <c r="AB38" i="73" s="1"/>
  <c r="G37" i="72"/>
  <c r="F20" i="73" s="1"/>
  <c r="F37" i="72"/>
  <c r="C20" i="73" s="1"/>
  <c r="AB20" i="73" s="1"/>
  <c r="G177" i="72"/>
  <c r="F160" i="73" s="1"/>
  <c r="W160" i="73" s="1"/>
  <c r="F177" i="72"/>
  <c r="C160" i="73" s="1"/>
  <c r="AB160" i="73" s="1"/>
  <c r="G202" i="72"/>
  <c r="F185" i="73" s="1"/>
  <c r="W185" i="73" s="1"/>
  <c r="F202" i="72"/>
  <c r="C185" i="73" s="1"/>
  <c r="AB185" i="73" s="1"/>
  <c r="G221" i="72"/>
  <c r="F204" i="73" s="1"/>
  <c r="W204" i="73" s="1"/>
  <c r="F221" i="72"/>
  <c r="C204" i="73" s="1"/>
  <c r="AB204" i="73" s="1"/>
  <c r="G244" i="72"/>
  <c r="F227" i="73" s="1"/>
  <c r="W227" i="73" s="1"/>
  <c r="F244" i="72"/>
  <c r="C227" i="73" s="1"/>
  <c r="AB227" i="73" s="1"/>
  <c r="G267" i="72"/>
  <c r="F250" i="73" s="1"/>
  <c r="W250" i="73" s="1"/>
  <c r="F267" i="72"/>
  <c r="C250" i="73" s="1"/>
  <c r="AB250" i="73" s="1"/>
  <c r="G286" i="72"/>
  <c r="F269" i="73" s="1"/>
  <c r="W269" i="73" s="1"/>
  <c r="F286" i="72"/>
  <c r="C269" i="73" s="1"/>
  <c r="AB269" i="73" s="1"/>
  <c r="G304" i="72"/>
  <c r="F287" i="73" s="1"/>
  <c r="W287" i="73" s="1"/>
  <c r="F304" i="72"/>
  <c r="C287" i="73" s="1"/>
  <c r="AB287" i="73" s="1"/>
  <c r="G322" i="72"/>
  <c r="F305" i="73" s="1"/>
  <c r="W305" i="73" s="1"/>
  <c r="F322" i="72"/>
  <c r="C305" i="73" s="1"/>
  <c r="AB305" i="73" s="1"/>
  <c r="G154" i="72"/>
  <c r="F137" i="73" s="1"/>
  <c r="W137" i="73" s="1"/>
  <c r="F154" i="72"/>
  <c r="C137" i="73" s="1"/>
  <c r="AB137" i="73" s="1"/>
  <c r="F175" i="72"/>
  <c r="C158" i="73" s="1"/>
  <c r="AB158" i="73" s="1"/>
  <c r="G175" i="72"/>
  <c r="F158" i="73" s="1"/>
  <c r="W158" i="73" s="1"/>
  <c r="G201" i="72"/>
  <c r="F184" i="73" s="1"/>
  <c r="W184" i="73" s="1"/>
  <c r="F201" i="72"/>
  <c r="C184" i="73" s="1"/>
  <c r="AB184" i="73" s="1"/>
  <c r="G220" i="72"/>
  <c r="F203" i="73" s="1"/>
  <c r="W203" i="73" s="1"/>
  <c r="F220" i="72"/>
  <c r="C203" i="73" s="1"/>
  <c r="AB203" i="73" s="1"/>
  <c r="G243" i="72"/>
  <c r="F226" i="73" s="1"/>
  <c r="W226" i="73" s="1"/>
  <c r="F243" i="72"/>
  <c r="C226" i="73" s="1"/>
  <c r="AB226" i="73" s="1"/>
  <c r="G261" i="72"/>
  <c r="F244" i="73" s="1"/>
  <c r="W244" i="73" s="1"/>
  <c r="F261" i="72"/>
  <c r="C244" i="73" s="1"/>
  <c r="AB244" i="73" s="1"/>
  <c r="G285" i="72"/>
  <c r="F268" i="73" s="1"/>
  <c r="W268" i="73" s="1"/>
  <c r="F285" i="72"/>
  <c r="C268" i="73" s="1"/>
  <c r="AB268" i="73" s="1"/>
  <c r="G303" i="72"/>
  <c r="F286" i="73" s="1"/>
  <c r="W286" i="73" s="1"/>
  <c r="F303" i="72"/>
  <c r="C286" i="73" s="1"/>
  <c r="AB286" i="73" s="1"/>
  <c r="G321" i="72"/>
  <c r="F304" i="73" s="1"/>
  <c r="W304" i="73" s="1"/>
  <c r="F321" i="72"/>
  <c r="C304" i="73" s="1"/>
  <c r="AB304" i="73" s="1"/>
  <c r="G339" i="72"/>
  <c r="F322" i="73" s="1"/>
  <c r="W322" i="73" s="1"/>
  <c r="F339" i="72"/>
  <c r="C322" i="73" s="1"/>
  <c r="AB322" i="73" s="1"/>
  <c r="F132" i="72"/>
  <c r="C115" i="73" s="1"/>
  <c r="AB115" i="73" s="1"/>
  <c r="G132" i="72"/>
  <c r="F115" i="73" s="1"/>
  <c r="W115" i="73" s="1"/>
  <c r="F119" i="72"/>
  <c r="C102" i="73" s="1"/>
  <c r="AB102" i="73" s="1"/>
  <c r="G119" i="72"/>
  <c r="F102" i="73" s="1"/>
  <c r="W102" i="73" s="1"/>
  <c r="F101" i="72"/>
  <c r="C84" i="73" s="1"/>
  <c r="AB84" i="73" s="1"/>
  <c r="G101" i="72"/>
  <c r="F84" i="73" s="1"/>
  <c r="W84" i="73" s="1"/>
  <c r="F88" i="72"/>
  <c r="C71" i="73" s="1"/>
  <c r="AB71" i="73" s="1"/>
  <c r="G88" i="72"/>
  <c r="F71" i="73" s="1"/>
  <c r="W71" i="73" s="1"/>
  <c r="G56" i="72"/>
  <c r="F39" i="73" s="1"/>
  <c r="W39" i="73" s="1"/>
  <c r="F56" i="72"/>
  <c r="C39" i="73" s="1"/>
  <c r="AB39" i="73" s="1"/>
  <c r="G38" i="72"/>
  <c r="F21" i="73" s="1"/>
  <c r="F38" i="72"/>
  <c r="C21" i="73" s="1"/>
  <c r="AB21" i="73" s="1"/>
  <c r="F110" i="73"/>
  <c r="W110" i="73" s="1"/>
  <c r="G338" i="72"/>
  <c r="F321" i="73" s="1"/>
  <c r="W321" i="73" s="1"/>
  <c r="F338" i="72"/>
  <c r="C321" i="73" s="1"/>
  <c r="AB321" i="73" s="1"/>
  <c r="F94" i="73"/>
  <c r="W94" i="73" s="1"/>
  <c r="C114" i="73"/>
  <c r="AB114" i="73" s="1"/>
  <c r="G71" i="72"/>
  <c r="F54" i="73" s="1"/>
  <c r="W54" i="73" s="1"/>
  <c r="F71" i="72"/>
  <c r="C54" i="73" s="1"/>
  <c r="AB54" i="73" s="1"/>
  <c r="G53" i="72"/>
  <c r="F36" i="73" s="1"/>
  <c r="W36" i="73" s="1"/>
  <c r="F53" i="72"/>
  <c r="C36" i="73" s="1"/>
  <c r="AB36" i="73" s="1"/>
  <c r="G196" i="72"/>
  <c r="F179" i="73" s="1"/>
  <c r="W179" i="73" s="1"/>
  <c r="F196" i="72"/>
  <c r="C179" i="73" s="1"/>
  <c r="AB179" i="73" s="1"/>
  <c r="G204" i="72"/>
  <c r="F187" i="73" s="1"/>
  <c r="W187" i="73" s="1"/>
  <c r="F204" i="72"/>
  <c r="C187" i="73" s="1"/>
  <c r="AB187" i="73" s="1"/>
  <c r="G228" i="72"/>
  <c r="F211" i="73" s="1"/>
  <c r="W211" i="73" s="1"/>
  <c r="F228" i="72"/>
  <c r="C211" i="73" s="1"/>
  <c r="AB211" i="73" s="1"/>
  <c r="G251" i="72"/>
  <c r="F234" i="73" s="1"/>
  <c r="W234" i="73" s="1"/>
  <c r="F251" i="72"/>
  <c r="C234" i="73" s="1"/>
  <c r="AB234" i="73" s="1"/>
  <c r="G269" i="72"/>
  <c r="F252" i="73" s="1"/>
  <c r="W252" i="73" s="1"/>
  <c r="F269" i="72"/>
  <c r="C252" i="73" s="1"/>
  <c r="AB252" i="73" s="1"/>
  <c r="G288" i="72"/>
  <c r="F271" i="73" s="1"/>
  <c r="W271" i="73" s="1"/>
  <c r="F288" i="72"/>
  <c r="C271" i="73" s="1"/>
  <c r="AB271" i="73" s="1"/>
  <c r="G306" i="72"/>
  <c r="F289" i="73" s="1"/>
  <c r="W289" i="73" s="1"/>
  <c r="F306" i="72"/>
  <c r="C289" i="73" s="1"/>
  <c r="AB289" i="73" s="1"/>
  <c r="G324" i="72"/>
  <c r="F307" i="73" s="1"/>
  <c r="W307" i="73" s="1"/>
  <c r="F324" i="72"/>
  <c r="C307" i="73" s="1"/>
  <c r="AB307" i="73" s="1"/>
  <c r="G165" i="72"/>
  <c r="F148" i="73" s="1"/>
  <c r="W148" i="73" s="1"/>
  <c r="F165" i="72"/>
  <c r="C148" i="73" s="1"/>
  <c r="AB148" i="73" s="1"/>
  <c r="G203" i="72"/>
  <c r="F186" i="73" s="1"/>
  <c r="W186" i="73" s="1"/>
  <c r="F203" i="72"/>
  <c r="C186" i="73" s="1"/>
  <c r="AB186" i="73" s="1"/>
  <c r="G227" i="72"/>
  <c r="F210" i="73" s="1"/>
  <c r="W210" i="73" s="1"/>
  <c r="F227" i="72"/>
  <c r="C210" i="73" s="1"/>
  <c r="AB210" i="73" s="1"/>
  <c r="G245" i="72"/>
  <c r="F228" i="73" s="1"/>
  <c r="W228" i="73" s="1"/>
  <c r="F245" i="72"/>
  <c r="C228" i="73" s="1"/>
  <c r="AB228" i="73" s="1"/>
  <c r="G268" i="72"/>
  <c r="F251" i="73" s="1"/>
  <c r="W251" i="73" s="1"/>
  <c r="F268" i="72"/>
  <c r="C251" i="73" s="1"/>
  <c r="AB251" i="73" s="1"/>
  <c r="G287" i="72"/>
  <c r="F270" i="73" s="1"/>
  <c r="W270" i="73" s="1"/>
  <c r="F287" i="72"/>
  <c r="C270" i="73" s="1"/>
  <c r="AB270" i="73" s="1"/>
  <c r="G305" i="72"/>
  <c r="F288" i="73" s="1"/>
  <c r="W288" i="73" s="1"/>
  <c r="F305" i="72"/>
  <c r="C288" i="73" s="1"/>
  <c r="AB288" i="73" s="1"/>
  <c r="G323" i="72"/>
  <c r="F306" i="73" s="1"/>
  <c r="W306" i="73" s="1"/>
  <c r="F323" i="72"/>
  <c r="C306" i="73" s="1"/>
  <c r="AB306" i="73" s="1"/>
  <c r="F130" i="72"/>
  <c r="C113" i="73" s="1"/>
  <c r="AB113" i="73" s="1"/>
  <c r="G130" i="72"/>
  <c r="F113" i="73" s="1"/>
  <c r="W113" i="73" s="1"/>
  <c r="F112" i="72"/>
  <c r="C95" i="73" s="1"/>
  <c r="AB95" i="73" s="1"/>
  <c r="G112" i="72"/>
  <c r="F95" i="73" s="1"/>
  <c r="W95" i="73" s="1"/>
  <c r="F99" i="72"/>
  <c r="C82" i="73" s="1"/>
  <c r="AB82" i="73" s="1"/>
  <c r="G99" i="72"/>
  <c r="F82" i="73" s="1"/>
  <c r="W82" i="73" s="1"/>
  <c r="F80" i="72"/>
  <c r="C63" i="73" s="1"/>
  <c r="AB63" i="73" s="1"/>
  <c r="G80" i="72"/>
  <c r="F63" i="73" s="1"/>
  <c r="W63" i="73" s="1"/>
  <c r="G150" i="72"/>
  <c r="F133" i="73" s="1"/>
  <c r="W133" i="73" s="1"/>
  <c r="F150" i="72"/>
  <c r="C133" i="73" s="1"/>
  <c r="AB133" i="73" s="1"/>
  <c r="G72" i="72"/>
  <c r="F55" i="73" s="1"/>
  <c r="W55" i="73" s="1"/>
  <c r="F72" i="72"/>
  <c r="C55" i="73" s="1"/>
  <c r="AB55" i="73" s="1"/>
  <c r="G54" i="72"/>
  <c r="F37" i="73" s="1"/>
  <c r="W37" i="73" s="1"/>
  <c r="F54" i="72"/>
  <c r="C37" i="73" s="1"/>
  <c r="AB37" i="73" s="1"/>
  <c r="G36" i="72"/>
  <c r="F36" i="72"/>
  <c r="G219" i="72"/>
  <c r="F202" i="73" s="1"/>
  <c r="W202" i="73" s="1"/>
  <c r="F219" i="72"/>
  <c r="C202" i="73" s="1"/>
  <c r="AB202" i="73" s="1"/>
  <c r="F81" i="73"/>
  <c r="W81" i="73" s="1"/>
  <c r="G64" i="72"/>
  <c r="F47" i="73" s="1"/>
  <c r="W47" i="73" s="1"/>
  <c r="F64" i="72"/>
  <c r="C47" i="73" s="1"/>
  <c r="AB47" i="73" s="1"/>
  <c r="G46" i="72"/>
  <c r="F29" i="73" s="1"/>
  <c r="W29" i="73" s="1"/>
  <c r="F46" i="72"/>
  <c r="C29" i="73" s="1"/>
  <c r="AB29" i="73" s="1"/>
  <c r="G169" i="72"/>
  <c r="F152" i="73" s="1"/>
  <c r="W152" i="73" s="1"/>
  <c r="F169" i="72"/>
  <c r="C152" i="73" s="1"/>
  <c r="AB152" i="73" s="1"/>
  <c r="G198" i="72"/>
  <c r="F181" i="73" s="1"/>
  <c r="W181" i="73" s="1"/>
  <c r="F198" i="72"/>
  <c r="C181" i="73" s="1"/>
  <c r="AB181" i="73" s="1"/>
  <c r="G212" i="72"/>
  <c r="F195" i="73" s="1"/>
  <c r="W195" i="73" s="1"/>
  <c r="F212" i="72"/>
  <c r="C195" i="73" s="1"/>
  <c r="AB195" i="73" s="1"/>
  <c r="G235" i="72"/>
  <c r="F218" i="73" s="1"/>
  <c r="W218" i="73" s="1"/>
  <c r="F235" i="72"/>
  <c r="C218" i="73" s="1"/>
  <c r="AB218" i="73" s="1"/>
  <c r="G253" i="72"/>
  <c r="F236" i="73" s="1"/>
  <c r="W236" i="73" s="1"/>
  <c r="F253" i="72"/>
  <c r="C236" i="73" s="1"/>
  <c r="AB236" i="73" s="1"/>
  <c r="G277" i="72"/>
  <c r="F260" i="73" s="1"/>
  <c r="W260" i="73" s="1"/>
  <c r="F277" i="72"/>
  <c r="C260" i="73" s="1"/>
  <c r="AB260" i="73" s="1"/>
  <c r="G295" i="72"/>
  <c r="F278" i="73" s="1"/>
  <c r="W278" i="73" s="1"/>
  <c r="F295" i="72"/>
  <c r="C278" i="73" s="1"/>
  <c r="AB278" i="73" s="1"/>
  <c r="G313" i="72"/>
  <c r="F296" i="73" s="1"/>
  <c r="W296" i="73" s="1"/>
  <c r="F313" i="72"/>
  <c r="C296" i="73" s="1"/>
  <c r="AB296" i="73" s="1"/>
  <c r="G331" i="72"/>
  <c r="F314" i="73" s="1"/>
  <c r="W314" i="73" s="1"/>
  <c r="F331" i="72"/>
  <c r="C314" i="73" s="1"/>
  <c r="AB314" i="73" s="1"/>
  <c r="F167" i="72"/>
  <c r="C150" i="73" s="1"/>
  <c r="AB150" i="73" s="1"/>
  <c r="G167" i="72"/>
  <c r="F150" i="73" s="1"/>
  <c r="W150" i="73" s="1"/>
  <c r="F186" i="72"/>
  <c r="C169" i="73" s="1"/>
  <c r="AB169" i="73" s="1"/>
  <c r="G186" i="72"/>
  <c r="F169" i="73" s="1"/>
  <c r="W169" i="73" s="1"/>
  <c r="G197" i="72"/>
  <c r="F180" i="73" s="1"/>
  <c r="W180" i="73" s="1"/>
  <c r="F197" i="72"/>
  <c r="C180" i="73" s="1"/>
  <c r="AB180" i="73" s="1"/>
  <c r="G211" i="72"/>
  <c r="F194" i="73" s="1"/>
  <c r="W194" i="73" s="1"/>
  <c r="F211" i="72"/>
  <c r="C194" i="73" s="1"/>
  <c r="AB194" i="73" s="1"/>
  <c r="G229" i="72"/>
  <c r="F212" i="73" s="1"/>
  <c r="W212" i="73" s="1"/>
  <c r="F229" i="72"/>
  <c r="C212" i="73" s="1"/>
  <c r="AB212" i="73" s="1"/>
  <c r="G252" i="72"/>
  <c r="F235" i="73" s="1"/>
  <c r="W235" i="73" s="1"/>
  <c r="F252" i="72"/>
  <c r="C235" i="73" s="1"/>
  <c r="AB235" i="73" s="1"/>
  <c r="G276" i="72"/>
  <c r="F259" i="73" s="1"/>
  <c r="W259" i="73" s="1"/>
  <c r="F276" i="72"/>
  <c r="C259" i="73" s="1"/>
  <c r="AB259" i="73" s="1"/>
  <c r="G294" i="72"/>
  <c r="F277" i="73" s="1"/>
  <c r="W277" i="73" s="1"/>
  <c r="F294" i="72"/>
  <c r="C277" i="73" s="1"/>
  <c r="AB277" i="73" s="1"/>
  <c r="G312" i="72"/>
  <c r="F295" i="73" s="1"/>
  <c r="W295" i="73" s="1"/>
  <c r="F312" i="72"/>
  <c r="C295" i="73" s="1"/>
  <c r="AB295" i="73" s="1"/>
  <c r="G330" i="72"/>
  <c r="F313" i="73" s="1"/>
  <c r="W313" i="73" s="1"/>
  <c r="F330" i="72"/>
  <c r="C313" i="73" s="1"/>
  <c r="AB313" i="73" s="1"/>
  <c r="F142" i="72"/>
  <c r="C125" i="73" s="1"/>
  <c r="AB125" i="73" s="1"/>
  <c r="G142" i="72"/>
  <c r="F125" i="73" s="1"/>
  <c r="W125" i="73" s="1"/>
  <c r="F110" i="72"/>
  <c r="C93" i="73" s="1"/>
  <c r="AB93" i="73" s="1"/>
  <c r="G110" i="72"/>
  <c r="F93" i="73" s="1"/>
  <c r="W93" i="73" s="1"/>
  <c r="F92" i="72"/>
  <c r="C75" i="73" s="1"/>
  <c r="AB75" i="73" s="1"/>
  <c r="G92" i="72"/>
  <c r="F75" i="73" s="1"/>
  <c r="W75" i="73" s="1"/>
  <c r="G70" i="72"/>
  <c r="F53" i="73" s="1"/>
  <c r="W53" i="73" s="1"/>
  <c r="F70" i="72"/>
  <c r="C53" i="73" s="1"/>
  <c r="AB53" i="73" s="1"/>
  <c r="G52" i="72"/>
  <c r="F35" i="73" s="1"/>
  <c r="W35" i="73" s="1"/>
  <c r="F52" i="72"/>
  <c r="C35" i="73" s="1"/>
  <c r="AB35" i="73" s="1"/>
  <c r="G128" i="72"/>
  <c r="F111" i="73" s="1"/>
  <c r="W111" i="73" s="1"/>
  <c r="C111" i="73"/>
  <c r="AB111" i="73" s="1"/>
  <c r="F220" i="73"/>
  <c r="W220" i="73" s="1"/>
  <c r="F124" i="73"/>
  <c r="W124" i="73" s="1"/>
  <c r="F101" i="73"/>
  <c r="W101" i="73" s="1"/>
  <c r="F92" i="73"/>
  <c r="W92" i="73" s="1"/>
  <c r="F83" i="73"/>
  <c r="W83" i="73" s="1"/>
  <c r="C85" i="73"/>
  <c r="AB85" i="73" s="1"/>
  <c r="C64" i="73"/>
  <c r="AB64" i="73" s="1"/>
  <c r="C72" i="73"/>
  <c r="AB72" i="73" s="1"/>
  <c r="C104" i="73"/>
  <c r="AB104" i="73" s="1"/>
  <c r="C112" i="73"/>
  <c r="AB112" i="73" s="1"/>
  <c r="F132" i="73"/>
  <c r="W132" i="73" s="1"/>
  <c r="F134" i="73"/>
  <c r="W134" i="73" s="1"/>
  <c r="C135" i="73"/>
  <c r="AB135" i="73" s="1"/>
  <c r="F136" i="73"/>
  <c r="W136" i="73" s="1"/>
  <c r="F138" i="73"/>
  <c r="W138" i="73" s="1"/>
  <c r="F140" i="73"/>
  <c r="W140" i="73" s="1"/>
  <c r="C141" i="73"/>
  <c r="AB141" i="73" s="1"/>
  <c r="C122" i="73"/>
  <c r="AB122" i="73" s="1"/>
  <c r="C132" i="73"/>
  <c r="AB132" i="73" s="1"/>
  <c r="C134" i="73"/>
  <c r="AB134" i="73" s="1"/>
  <c r="C136" i="73"/>
  <c r="AB136" i="73" s="1"/>
  <c r="C138" i="73"/>
  <c r="AB138" i="73" s="1"/>
  <c r="C140" i="73"/>
  <c r="AB140" i="73" s="1"/>
  <c r="F147" i="73"/>
  <c r="W147" i="73" s="1"/>
  <c r="F149" i="73"/>
  <c r="W149" i="73" s="1"/>
  <c r="F151" i="73"/>
  <c r="W151" i="73" s="1"/>
  <c r="F153" i="73"/>
  <c r="W153" i="73" s="1"/>
  <c r="F155" i="73"/>
  <c r="W155" i="73" s="1"/>
  <c r="F156" i="73"/>
  <c r="W156" i="73" s="1"/>
  <c r="F157" i="73"/>
  <c r="W157" i="73" s="1"/>
  <c r="F159" i="73"/>
  <c r="W159" i="73" s="1"/>
  <c r="F161" i="73"/>
  <c r="W161" i="73" s="1"/>
  <c r="F162" i="73"/>
  <c r="W162" i="73" s="1"/>
  <c r="F170" i="73"/>
  <c r="W170" i="73" s="1"/>
  <c r="F178" i="73"/>
  <c r="W178" i="73" s="1"/>
  <c r="C147" i="73"/>
  <c r="AB147" i="73" s="1"/>
  <c r="C149" i="73"/>
  <c r="AB149" i="73" s="1"/>
  <c r="C151" i="73"/>
  <c r="AB151" i="73" s="1"/>
  <c r="C153" i="73"/>
  <c r="AB153" i="73" s="1"/>
  <c r="C155" i="73"/>
  <c r="AB155" i="73" s="1"/>
  <c r="C157" i="73"/>
  <c r="AB157" i="73" s="1"/>
  <c r="C159" i="73"/>
  <c r="AB159" i="73" s="1"/>
  <c r="C161" i="73"/>
  <c r="AB161" i="73" s="1"/>
  <c r="C162" i="73"/>
  <c r="AB162" i="73" s="1"/>
  <c r="C178" i="73"/>
  <c r="AB178" i="73" s="1"/>
  <c r="Q11" i="73"/>
  <c r="A347" i="73"/>
  <c r="A328" i="73"/>
  <c r="A329" i="73"/>
  <c r="A339" i="73"/>
  <c r="D17" i="73"/>
  <c r="E17" i="73"/>
  <c r="W21" i="73" l="1"/>
  <c r="W20" i="73"/>
  <c r="N9" i="62"/>
  <c r="N10" i="62"/>
  <c r="N11" i="62"/>
  <c r="N12" i="62"/>
  <c r="N13" i="62"/>
  <c r="N14" i="62"/>
  <c r="N15" i="62"/>
  <c r="N16" i="62"/>
  <c r="N17" i="62"/>
  <c r="N18" i="62"/>
  <c r="N19" i="62"/>
  <c r="N20" i="62"/>
  <c r="N21" i="62"/>
  <c r="N22" i="62"/>
  <c r="N23" i="62"/>
  <c r="N24" i="62"/>
  <c r="N25" i="62"/>
  <c r="N26" i="62"/>
  <c r="N27" i="62"/>
  <c r="N28" i="62"/>
  <c r="N29" i="62"/>
  <c r="N30" i="62"/>
  <c r="N31" i="62"/>
  <c r="N32" i="62"/>
  <c r="N33" i="62"/>
  <c r="N34" i="62"/>
  <c r="N35" i="62"/>
  <c r="N36" i="62"/>
  <c r="N37" i="62"/>
  <c r="N38" i="62"/>
  <c r="N39" i="62"/>
  <c r="N40" i="62"/>
  <c r="N41" i="62"/>
  <c r="N42" i="62"/>
  <c r="N43" i="62"/>
  <c r="N44" i="62"/>
  <c r="N45" i="62"/>
  <c r="N46" i="62"/>
  <c r="N47" i="62"/>
  <c r="N48" i="62"/>
  <c r="N49" i="62"/>
  <c r="N50" i="62"/>
  <c r="N51" i="62"/>
  <c r="N52" i="62"/>
  <c r="N53" i="62"/>
  <c r="N54" i="62"/>
  <c r="N55" i="62"/>
  <c r="N56" i="62"/>
  <c r="N57" i="62"/>
  <c r="N58" i="62"/>
  <c r="N59" i="62"/>
  <c r="N60" i="62"/>
  <c r="N61" i="62"/>
  <c r="N62" i="62"/>
  <c r="N63" i="62"/>
  <c r="N64" i="62"/>
  <c r="N65" i="62"/>
  <c r="N66" i="62"/>
  <c r="N67" i="62"/>
  <c r="N68" i="62"/>
  <c r="N69" i="62"/>
  <c r="N70" i="62"/>
  <c r="N71" i="62"/>
  <c r="N72" i="62"/>
  <c r="N73" i="62"/>
  <c r="N74" i="62"/>
  <c r="N75" i="62"/>
  <c r="N76" i="62"/>
  <c r="N77" i="62"/>
  <c r="N78" i="62"/>
  <c r="N79" i="62"/>
  <c r="N80" i="62"/>
  <c r="N81" i="62"/>
  <c r="N82" i="62"/>
  <c r="N83" i="62"/>
  <c r="N84" i="62"/>
  <c r="N85" i="62"/>
  <c r="N86" i="62"/>
  <c r="N87" i="62"/>
  <c r="N88" i="62"/>
  <c r="N89" i="62"/>
  <c r="N90" i="62"/>
  <c r="N91" i="62"/>
  <c r="N92" i="62"/>
  <c r="N93" i="62"/>
  <c r="N94" i="62"/>
  <c r="N95" i="62"/>
  <c r="N96" i="62"/>
  <c r="N97" i="62"/>
  <c r="N98" i="62"/>
  <c r="N99" i="62"/>
  <c r="N100" i="62"/>
  <c r="N101" i="62"/>
  <c r="N102" i="62"/>
  <c r="N103" i="62"/>
  <c r="N104" i="62"/>
  <c r="N105" i="62"/>
  <c r="N106" i="62"/>
  <c r="N107" i="62"/>
  <c r="N108" i="62"/>
  <c r="N109" i="62"/>
  <c r="N110" i="62"/>
  <c r="N111" i="62"/>
  <c r="N112" i="62"/>
  <c r="N113" i="62"/>
  <c r="N114" i="62"/>
  <c r="N115" i="62"/>
  <c r="N116" i="62"/>
  <c r="N117" i="62"/>
  <c r="N118" i="62"/>
  <c r="N119" i="62"/>
  <c r="N120" i="62"/>
  <c r="N121" i="62"/>
  <c r="N122" i="62"/>
  <c r="N123" i="62"/>
  <c r="N124" i="62"/>
  <c r="N125" i="62"/>
  <c r="N126" i="62"/>
  <c r="N127" i="62"/>
  <c r="N128" i="62"/>
  <c r="N129" i="62"/>
  <c r="N130" i="62"/>
  <c r="N131" i="62"/>
  <c r="N132" i="62"/>
  <c r="N133" i="62"/>
  <c r="N134" i="62"/>
  <c r="N135" i="62"/>
  <c r="N136" i="62"/>
  <c r="N137" i="62"/>
  <c r="N138" i="62"/>
  <c r="N139" i="62"/>
  <c r="N140" i="62"/>
  <c r="N141" i="62"/>
  <c r="N142" i="62"/>
  <c r="N143" i="62"/>
  <c r="N144" i="62"/>
  <c r="N145" i="62"/>
  <c r="N146" i="62"/>
  <c r="N147" i="62"/>
  <c r="N148" i="62"/>
  <c r="N149" i="62"/>
  <c r="N150" i="62"/>
  <c r="N151" i="62"/>
  <c r="N152" i="62"/>
  <c r="N153" i="62"/>
  <c r="N154" i="62"/>
  <c r="N155" i="62"/>
  <c r="N156" i="62"/>
  <c r="N157" i="62"/>
  <c r="N158" i="62"/>
  <c r="N159" i="62"/>
  <c r="N160" i="62"/>
  <c r="N161" i="62"/>
  <c r="N162" i="62"/>
  <c r="N163" i="62"/>
  <c r="N164" i="62"/>
  <c r="N165" i="62"/>
  <c r="N166" i="62"/>
  <c r="N167" i="62"/>
  <c r="N168" i="62"/>
  <c r="N169" i="62"/>
  <c r="N170" i="62"/>
  <c r="N171" i="62"/>
  <c r="N172" i="62"/>
  <c r="N173" i="62"/>
  <c r="N174" i="62"/>
  <c r="N175" i="62"/>
  <c r="N176" i="62"/>
  <c r="N177" i="62"/>
  <c r="N178" i="62"/>
  <c r="N179" i="62"/>
  <c r="N180" i="62"/>
  <c r="N181" i="62"/>
  <c r="N182" i="62"/>
  <c r="N183" i="62"/>
  <c r="N184" i="62"/>
  <c r="N185" i="62"/>
  <c r="N186" i="62"/>
  <c r="N187" i="62"/>
  <c r="N188" i="62"/>
  <c r="N189" i="62"/>
  <c r="N190" i="62"/>
  <c r="N191" i="62"/>
  <c r="N192" i="62"/>
  <c r="N193" i="62"/>
  <c r="N194" i="62"/>
  <c r="N195" i="62"/>
  <c r="N196" i="62"/>
  <c r="N197" i="62"/>
  <c r="N198" i="62"/>
  <c r="N199" i="62"/>
  <c r="N200" i="62"/>
  <c r="N201" i="62"/>
  <c r="N202" i="62"/>
  <c r="N203" i="62"/>
  <c r="N204" i="62"/>
  <c r="N205" i="62"/>
  <c r="N206" i="62"/>
  <c r="N207" i="62"/>
  <c r="N208" i="62"/>
  <c r="N209" i="62"/>
  <c r="N210" i="62"/>
  <c r="N211" i="62"/>
  <c r="N212" i="62"/>
  <c r="N213" i="62"/>
  <c r="N214" i="62"/>
  <c r="N215" i="62"/>
  <c r="N216" i="62"/>
  <c r="N217" i="62"/>
  <c r="N218" i="62"/>
  <c r="N219" i="62"/>
  <c r="N220" i="62"/>
  <c r="N221" i="62"/>
  <c r="N222" i="62"/>
  <c r="N223" i="62"/>
  <c r="N224" i="62"/>
  <c r="N225" i="62"/>
  <c r="N226" i="62"/>
  <c r="N227" i="62"/>
  <c r="N228" i="62"/>
  <c r="N229" i="62"/>
  <c r="N230" i="62"/>
  <c r="N231" i="62"/>
  <c r="N232" i="62"/>
  <c r="N233" i="62"/>
  <c r="N234" i="62"/>
  <c r="N235" i="62"/>
  <c r="N236" i="62"/>
  <c r="N237" i="62"/>
  <c r="N238" i="62"/>
  <c r="N239" i="62"/>
  <c r="N240" i="62"/>
  <c r="N241" i="62"/>
  <c r="N242" i="62"/>
  <c r="N243" i="62"/>
  <c r="N244" i="62"/>
  <c r="N245" i="62"/>
  <c r="N246" i="62"/>
  <c r="N247" i="62"/>
  <c r="N248" i="62"/>
  <c r="N249" i="62"/>
  <c r="N250" i="62"/>
  <c r="N251" i="62"/>
  <c r="N252" i="62"/>
  <c r="N253" i="62"/>
  <c r="N254" i="62"/>
  <c r="N255" i="62"/>
  <c r="N256" i="62"/>
  <c r="N257" i="62"/>
  <c r="N258" i="62"/>
  <c r="N259" i="62"/>
  <c r="N260" i="62"/>
  <c r="N261" i="62"/>
  <c r="N262" i="62"/>
  <c r="N263" i="62"/>
  <c r="N264" i="62"/>
  <c r="N265" i="62"/>
  <c r="N266" i="62"/>
  <c r="N267" i="62"/>
  <c r="N268" i="62"/>
  <c r="N269" i="62"/>
  <c r="N270" i="62"/>
  <c r="N271" i="62"/>
  <c r="N272" i="62"/>
  <c r="N273" i="62"/>
  <c r="N274" i="62"/>
  <c r="N275" i="62"/>
  <c r="N276" i="62"/>
  <c r="N277" i="62"/>
  <c r="N278" i="62"/>
  <c r="N279" i="62"/>
  <c r="N280" i="62"/>
  <c r="N281" i="62"/>
  <c r="N282" i="62"/>
  <c r="N283" i="62"/>
  <c r="N284" i="62"/>
  <c r="N285" i="62"/>
  <c r="N286" i="62"/>
  <c r="N287" i="62"/>
  <c r="N288" i="62"/>
  <c r="N289" i="62"/>
  <c r="N290" i="62"/>
  <c r="N291" i="62"/>
  <c r="N292" i="62"/>
  <c r="N293" i="62"/>
  <c r="N294" i="62"/>
  <c r="N295" i="62"/>
  <c r="N296" i="62"/>
  <c r="N297" i="62"/>
  <c r="N298" i="62"/>
  <c r="N299" i="62"/>
  <c r="N300" i="62"/>
  <c r="N301" i="62"/>
  <c r="N302" i="62"/>
  <c r="N303" i="62"/>
  <c r="N304" i="62"/>
  <c r="N305" i="62"/>
  <c r="N306" i="62"/>
  <c r="N307" i="62"/>
  <c r="N308" i="62"/>
  <c r="N309" i="62"/>
  <c r="N310" i="62"/>
  <c r="N311" i="62"/>
  <c r="N8" i="62"/>
  <c r="A6" i="73" l="1"/>
  <c r="AC28" i="73" l="1"/>
  <c r="D28" i="73"/>
  <c r="D27" i="73"/>
  <c r="AC27" i="73"/>
  <c r="AK27" i="73" l="1"/>
  <c r="E27" i="73"/>
  <c r="AK28" i="73"/>
  <c r="E28" i="73"/>
  <c r="D29" i="73"/>
  <c r="AC29" i="73"/>
  <c r="AK29" i="73" l="1"/>
  <c r="E29" i="73"/>
  <c r="AF311" i="62"/>
  <c r="AH311" i="62" s="1"/>
  <c r="AC311" i="62"/>
  <c r="AE311" i="62" s="1"/>
  <c r="Z311" i="62"/>
  <c r="AB311" i="62" s="1"/>
  <c r="W311" i="62"/>
  <c r="Y311" i="62" s="1"/>
  <c r="T311" i="62"/>
  <c r="V311" i="62" s="1"/>
  <c r="M311" i="62"/>
  <c r="P311" i="62" s="1"/>
  <c r="J311" i="62"/>
  <c r="I311" i="62"/>
  <c r="F311" i="62"/>
  <c r="B311" i="62"/>
  <c r="AF310" i="62"/>
  <c r="AH310" i="62" s="1"/>
  <c r="AC310" i="62"/>
  <c r="AE310" i="62" s="1"/>
  <c r="Z310" i="62"/>
  <c r="AB310" i="62" s="1"/>
  <c r="W310" i="62"/>
  <c r="Y310" i="62" s="1"/>
  <c r="T310" i="62"/>
  <c r="V310" i="62" s="1"/>
  <c r="M310" i="62"/>
  <c r="P310" i="62" s="1"/>
  <c r="J310" i="62"/>
  <c r="I310" i="62"/>
  <c r="F310" i="62"/>
  <c r="B310" i="62"/>
  <c r="AF309" i="62"/>
  <c r="AH309" i="62" s="1"/>
  <c r="AC309" i="62"/>
  <c r="AE309" i="62" s="1"/>
  <c r="Z309" i="62"/>
  <c r="AB309" i="62" s="1"/>
  <c r="W309" i="62"/>
  <c r="Y309" i="62" s="1"/>
  <c r="T309" i="62"/>
  <c r="V309" i="62" s="1"/>
  <c r="M309" i="62"/>
  <c r="P309" i="62" s="1"/>
  <c r="J309" i="62"/>
  <c r="I309" i="62"/>
  <c r="F309" i="62"/>
  <c r="B309" i="62"/>
  <c r="AF308" i="62"/>
  <c r="AH308" i="62" s="1"/>
  <c r="AC308" i="62"/>
  <c r="AE308" i="62" s="1"/>
  <c r="Z308" i="62"/>
  <c r="AB308" i="62" s="1"/>
  <c r="W308" i="62"/>
  <c r="Y308" i="62" s="1"/>
  <c r="T308" i="62"/>
  <c r="V308" i="62" s="1"/>
  <c r="M308" i="62"/>
  <c r="P308" i="62" s="1"/>
  <c r="J308" i="62"/>
  <c r="I308" i="62"/>
  <c r="F308" i="62"/>
  <c r="B308" i="62"/>
  <c r="AF307" i="62"/>
  <c r="AH307" i="62" s="1"/>
  <c r="AC307" i="62"/>
  <c r="AE307" i="62" s="1"/>
  <c r="Z307" i="62"/>
  <c r="AB307" i="62" s="1"/>
  <c r="W307" i="62"/>
  <c r="Y307" i="62" s="1"/>
  <c r="T307" i="62"/>
  <c r="V307" i="62" s="1"/>
  <c r="M307" i="62"/>
  <c r="P307" i="62" s="1"/>
  <c r="J307" i="62"/>
  <c r="I307" i="62"/>
  <c r="F307" i="62"/>
  <c r="B307" i="62"/>
  <c r="AF306" i="62"/>
  <c r="AH306" i="62" s="1"/>
  <c r="AC306" i="62"/>
  <c r="AE306" i="62" s="1"/>
  <c r="Z306" i="62"/>
  <c r="AB306" i="62" s="1"/>
  <c r="W306" i="62"/>
  <c r="Y306" i="62" s="1"/>
  <c r="T306" i="62"/>
  <c r="V306" i="62" s="1"/>
  <c r="M306" i="62"/>
  <c r="P306" i="62" s="1"/>
  <c r="J306" i="62"/>
  <c r="I306" i="62"/>
  <c r="F306" i="62"/>
  <c r="B306" i="62"/>
  <c r="AF305" i="62"/>
  <c r="AH305" i="62" s="1"/>
  <c r="AC305" i="62"/>
  <c r="AE305" i="62" s="1"/>
  <c r="Z305" i="62"/>
  <c r="AB305" i="62" s="1"/>
  <c r="W305" i="62"/>
  <c r="Y305" i="62" s="1"/>
  <c r="T305" i="62"/>
  <c r="V305" i="62" s="1"/>
  <c r="M305" i="62"/>
  <c r="P305" i="62" s="1"/>
  <c r="J305" i="62"/>
  <c r="I305" i="62"/>
  <c r="F305" i="62"/>
  <c r="B305" i="62"/>
  <c r="AF304" i="62"/>
  <c r="AH304" i="62" s="1"/>
  <c r="AC304" i="62"/>
  <c r="AE304" i="62" s="1"/>
  <c r="Z304" i="62"/>
  <c r="AB304" i="62" s="1"/>
  <c r="W304" i="62"/>
  <c r="Y304" i="62" s="1"/>
  <c r="T304" i="62"/>
  <c r="V304" i="62" s="1"/>
  <c r="M304" i="62"/>
  <c r="P304" i="62" s="1"/>
  <c r="J304" i="62"/>
  <c r="I304" i="62"/>
  <c r="F304" i="62"/>
  <c r="B304" i="62"/>
  <c r="AF303" i="62"/>
  <c r="AH303" i="62" s="1"/>
  <c r="AC303" i="62"/>
  <c r="AE303" i="62" s="1"/>
  <c r="Z303" i="62"/>
  <c r="AB303" i="62" s="1"/>
  <c r="W303" i="62"/>
  <c r="Y303" i="62" s="1"/>
  <c r="T303" i="62"/>
  <c r="V303" i="62" s="1"/>
  <c r="M303" i="62"/>
  <c r="P303" i="62" s="1"/>
  <c r="J303" i="62"/>
  <c r="I303" i="62"/>
  <c r="F303" i="62"/>
  <c r="B303" i="62"/>
  <c r="AF302" i="62"/>
  <c r="AH302" i="62" s="1"/>
  <c r="AC302" i="62"/>
  <c r="AE302" i="62" s="1"/>
  <c r="Z302" i="62"/>
  <c r="AB302" i="62" s="1"/>
  <c r="W302" i="62"/>
  <c r="Y302" i="62" s="1"/>
  <c r="T302" i="62"/>
  <c r="V302" i="62" s="1"/>
  <c r="M302" i="62"/>
  <c r="P302" i="62" s="1"/>
  <c r="J302" i="62"/>
  <c r="I302" i="62"/>
  <c r="F302" i="62"/>
  <c r="B302" i="62"/>
  <c r="AF301" i="62"/>
  <c r="AH301" i="62" s="1"/>
  <c r="AC301" i="62"/>
  <c r="AE301" i="62" s="1"/>
  <c r="Z301" i="62"/>
  <c r="AB301" i="62" s="1"/>
  <c r="W301" i="62"/>
  <c r="Y301" i="62" s="1"/>
  <c r="T301" i="62"/>
  <c r="V301" i="62" s="1"/>
  <c r="M301" i="62"/>
  <c r="P301" i="62" s="1"/>
  <c r="J301" i="62"/>
  <c r="I301" i="62"/>
  <c r="F301" i="62"/>
  <c r="B301" i="62"/>
  <c r="AF300" i="62"/>
  <c r="AH300" i="62" s="1"/>
  <c r="AC300" i="62"/>
  <c r="AE300" i="62" s="1"/>
  <c r="Z300" i="62"/>
  <c r="AB300" i="62" s="1"/>
  <c r="W300" i="62"/>
  <c r="Y300" i="62" s="1"/>
  <c r="T300" i="62"/>
  <c r="V300" i="62" s="1"/>
  <c r="M300" i="62"/>
  <c r="P300" i="62" s="1"/>
  <c r="J300" i="62"/>
  <c r="I300" i="62"/>
  <c r="F300" i="62"/>
  <c r="B300" i="62"/>
  <c r="AF299" i="62"/>
  <c r="AH299" i="62" s="1"/>
  <c r="AC299" i="62"/>
  <c r="AE299" i="62" s="1"/>
  <c r="Z299" i="62"/>
  <c r="AB299" i="62" s="1"/>
  <c r="W299" i="62"/>
  <c r="Y299" i="62" s="1"/>
  <c r="T299" i="62"/>
  <c r="V299" i="62" s="1"/>
  <c r="M299" i="62"/>
  <c r="P299" i="62" s="1"/>
  <c r="J299" i="62"/>
  <c r="I299" i="62"/>
  <c r="F299" i="62"/>
  <c r="B299" i="62"/>
  <c r="AF298" i="62"/>
  <c r="AH298" i="62" s="1"/>
  <c r="AC298" i="62"/>
  <c r="AE298" i="62" s="1"/>
  <c r="Z298" i="62"/>
  <c r="AB298" i="62" s="1"/>
  <c r="W298" i="62"/>
  <c r="Y298" i="62" s="1"/>
  <c r="T298" i="62"/>
  <c r="V298" i="62" s="1"/>
  <c r="M298" i="62"/>
  <c r="P298" i="62" s="1"/>
  <c r="J298" i="62"/>
  <c r="I298" i="62"/>
  <c r="F298" i="62"/>
  <c r="B298" i="62"/>
  <c r="AF297" i="62"/>
  <c r="AH297" i="62" s="1"/>
  <c r="AC297" i="62"/>
  <c r="AE297" i="62" s="1"/>
  <c r="Z297" i="62"/>
  <c r="AB297" i="62" s="1"/>
  <c r="W297" i="62"/>
  <c r="Y297" i="62" s="1"/>
  <c r="T297" i="62"/>
  <c r="V297" i="62" s="1"/>
  <c r="M297" i="62"/>
  <c r="P297" i="62" s="1"/>
  <c r="J297" i="62"/>
  <c r="I297" i="62"/>
  <c r="F297" i="62"/>
  <c r="B297" i="62"/>
  <c r="AF296" i="62"/>
  <c r="AH296" i="62" s="1"/>
  <c r="AC296" i="62"/>
  <c r="AE296" i="62" s="1"/>
  <c r="Z296" i="62"/>
  <c r="AB296" i="62" s="1"/>
  <c r="W296" i="62"/>
  <c r="Y296" i="62" s="1"/>
  <c r="T296" i="62"/>
  <c r="V296" i="62" s="1"/>
  <c r="M296" i="62"/>
  <c r="P296" i="62" s="1"/>
  <c r="J296" i="62"/>
  <c r="I296" i="62"/>
  <c r="F296" i="62"/>
  <c r="B296" i="62"/>
  <c r="AF295" i="62"/>
  <c r="AH295" i="62" s="1"/>
  <c r="AC295" i="62"/>
  <c r="AE295" i="62" s="1"/>
  <c r="Z295" i="62"/>
  <c r="AB295" i="62" s="1"/>
  <c r="W295" i="62"/>
  <c r="Y295" i="62" s="1"/>
  <c r="T295" i="62"/>
  <c r="V295" i="62" s="1"/>
  <c r="M295" i="62"/>
  <c r="P295" i="62" s="1"/>
  <c r="J295" i="62"/>
  <c r="I295" i="62"/>
  <c r="F295" i="62"/>
  <c r="B295" i="62"/>
  <c r="AF294" i="62"/>
  <c r="AH294" i="62" s="1"/>
  <c r="AC294" i="62"/>
  <c r="AE294" i="62" s="1"/>
  <c r="Z294" i="62"/>
  <c r="AB294" i="62" s="1"/>
  <c r="W294" i="62"/>
  <c r="Y294" i="62" s="1"/>
  <c r="T294" i="62"/>
  <c r="V294" i="62" s="1"/>
  <c r="M294" i="62"/>
  <c r="P294" i="62" s="1"/>
  <c r="J294" i="62"/>
  <c r="I294" i="62"/>
  <c r="F294" i="62"/>
  <c r="B294" i="62"/>
  <c r="AF293" i="62"/>
  <c r="AH293" i="62" s="1"/>
  <c r="AC293" i="62"/>
  <c r="AE293" i="62" s="1"/>
  <c r="Z293" i="62"/>
  <c r="AB293" i="62" s="1"/>
  <c r="W293" i="62"/>
  <c r="Y293" i="62" s="1"/>
  <c r="T293" i="62"/>
  <c r="V293" i="62" s="1"/>
  <c r="M293" i="62"/>
  <c r="P293" i="62" s="1"/>
  <c r="J293" i="62"/>
  <c r="I293" i="62"/>
  <c r="F293" i="62"/>
  <c r="B293" i="62"/>
  <c r="AF292" i="62"/>
  <c r="AH292" i="62" s="1"/>
  <c r="AC292" i="62"/>
  <c r="AE292" i="62" s="1"/>
  <c r="Z292" i="62"/>
  <c r="AB292" i="62" s="1"/>
  <c r="W292" i="62"/>
  <c r="Y292" i="62" s="1"/>
  <c r="T292" i="62"/>
  <c r="V292" i="62" s="1"/>
  <c r="M292" i="62"/>
  <c r="P292" i="62" s="1"/>
  <c r="J292" i="62"/>
  <c r="I292" i="62"/>
  <c r="F292" i="62"/>
  <c r="B292" i="62"/>
  <c r="AF291" i="62"/>
  <c r="AH291" i="62" s="1"/>
  <c r="AC291" i="62"/>
  <c r="AE291" i="62" s="1"/>
  <c r="Z291" i="62"/>
  <c r="AB291" i="62" s="1"/>
  <c r="W291" i="62"/>
  <c r="Y291" i="62" s="1"/>
  <c r="T291" i="62"/>
  <c r="V291" i="62" s="1"/>
  <c r="M291" i="62"/>
  <c r="P291" i="62" s="1"/>
  <c r="J291" i="62"/>
  <c r="I291" i="62"/>
  <c r="F291" i="62"/>
  <c r="B291" i="62"/>
  <c r="AF290" i="62"/>
  <c r="AH290" i="62" s="1"/>
  <c r="AC290" i="62"/>
  <c r="AE290" i="62" s="1"/>
  <c r="Z290" i="62"/>
  <c r="AB290" i="62" s="1"/>
  <c r="W290" i="62"/>
  <c r="Y290" i="62" s="1"/>
  <c r="T290" i="62"/>
  <c r="V290" i="62" s="1"/>
  <c r="M290" i="62"/>
  <c r="P290" i="62" s="1"/>
  <c r="J290" i="62"/>
  <c r="I290" i="62"/>
  <c r="F290" i="62"/>
  <c r="B290" i="62"/>
  <c r="AF289" i="62"/>
  <c r="AH289" i="62" s="1"/>
  <c r="AC289" i="62"/>
  <c r="AE289" i="62" s="1"/>
  <c r="Z289" i="62"/>
  <c r="AB289" i="62" s="1"/>
  <c r="W289" i="62"/>
  <c r="Y289" i="62" s="1"/>
  <c r="T289" i="62"/>
  <c r="V289" i="62" s="1"/>
  <c r="M289" i="62"/>
  <c r="P289" i="62" s="1"/>
  <c r="J289" i="62"/>
  <c r="I289" i="62"/>
  <c r="F289" i="62"/>
  <c r="B289" i="62"/>
  <c r="AF288" i="62"/>
  <c r="AH288" i="62" s="1"/>
  <c r="AC288" i="62"/>
  <c r="AE288" i="62" s="1"/>
  <c r="Z288" i="62"/>
  <c r="AB288" i="62" s="1"/>
  <c r="W288" i="62"/>
  <c r="Y288" i="62" s="1"/>
  <c r="T288" i="62"/>
  <c r="V288" i="62" s="1"/>
  <c r="M288" i="62"/>
  <c r="P288" i="62" s="1"/>
  <c r="J288" i="62"/>
  <c r="I288" i="62"/>
  <c r="F288" i="62"/>
  <c r="B288" i="62"/>
  <c r="AF287" i="62"/>
  <c r="AH287" i="62" s="1"/>
  <c r="AC287" i="62"/>
  <c r="AE287" i="62" s="1"/>
  <c r="Z287" i="62"/>
  <c r="AB287" i="62" s="1"/>
  <c r="W287" i="62"/>
  <c r="Y287" i="62" s="1"/>
  <c r="T287" i="62"/>
  <c r="V287" i="62" s="1"/>
  <c r="M287" i="62"/>
  <c r="P287" i="62" s="1"/>
  <c r="J287" i="62"/>
  <c r="I287" i="62"/>
  <c r="F287" i="62"/>
  <c r="B287" i="62"/>
  <c r="AF286" i="62"/>
  <c r="AH286" i="62" s="1"/>
  <c r="AC286" i="62"/>
  <c r="AE286" i="62" s="1"/>
  <c r="Z286" i="62"/>
  <c r="AB286" i="62" s="1"/>
  <c r="W286" i="62"/>
  <c r="Y286" i="62" s="1"/>
  <c r="T286" i="62"/>
  <c r="V286" i="62" s="1"/>
  <c r="M286" i="62"/>
  <c r="P286" i="62" s="1"/>
  <c r="J286" i="62"/>
  <c r="I286" i="62"/>
  <c r="F286" i="62"/>
  <c r="B286" i="62"/>
  <c r="AF285" i="62"/>
  <c r="AH285" i="62" s="1"/>
  <c r="AC285" i="62"/>
  <c r="AE285" i="62" s="1"/>
  <c r="Z285" i="62"/>
  <c r="AB285" i="62" s="1"/>
  <c r="W285" i="62"/>
  <c r="Y285" i="62" s="1"/>
  <c r="T285" i="62"/>
  <c r="V285" i="62" s="1"/>
  <c r="M285" i="62"/>
  <c r="P285" i="62" s="1"/>
  <c r="J285" i="62"/>
  <c r="I285" i="62"/>
  <c r="F285" i="62"/>
  <c r="B285" i="62"/>
  <c r="AF284" i="62"/>
  <c r="AH284" i="62" s="1"/>
  <c r="AC284" i="62"/>
  <c r="AE284" i="62" s="1"/>
  <c r="Z284" i="62"/>
  <c r="AB284" i="62" s="1"/>
  <c r="W284" i="62"/>
  <c r="Y284" i="62" s="1"/>
  <c r="T284" i="62"/>
  <c r="V284" i="62" s="1"/>
  <c r="M284" i="62"/>
  <c r="P284" i="62" s="1"/>
  <c r="J284" i="62"/>
  <c r="I284" i="62"/>
  <c r="F284" i="62"/>
  <c r="B284" i="62"/>
  <c r="AF283" i="62"/>
  <c r="AH283" i="62" s="1"/>
  <c r="AC283" i="62"/>
  <c r="AE283" i="62" s="1"/>
  <c r="Z283" i="62"/>
  <c r="AB283" i="62" s="1"/>
  <c r="W283" i="62"/>
  <c r="Y283" i="62" s="1"/>
  <c r="T283" i="62"/>
  <c r="V283" i="62" s="1"/>
  <c r="M283" i="62"/>
  <c r="P283" i="62" s="1"/>
  <c r="J283" i="62"/>
  <c r="I283" i="62"/>
  <c r="F283" i="62"/>
  <c r="B283" i="62"/>
  <c r="AF282" i="62"/>
  <c r="AH282" i="62" s="1"/>
  <c r="AC282" i="62"/>
  <c r="AE282" i="62" s="1"/>
  <c r="Z282" i="62"/>
  <c r="AB282" i="62" s="1"/>
  <c r="W282" i="62"/>
  <c r="Y282" i="62" s="1"/>
  <c r="T282" i="62"/>
  <c r="V282" i="62" s="1"/>
  <c r="M282" i="62"/>
  <c r="P282" i="62" s="1"/>
  <c r="J282" i="62"/>
  <c r="I282" i="62"/>
  <c r="F282" i="62"/>
  <c r="B282" i="62"/>
  <c r="AF281" i="62"/>
  <c r="AH281" i="62" s="1"/>
  <c r="AC281" i="62"/>
  <c r="AE281" i="62" s="1"/>
  <c r="Z281" i="62"/>
  <c r="AB281" i="62" s="1"/>
  <c r="W281" i="62"/>
  <c r="Y281" i="62" s="1"/>
  <c r="T281" i="62"/>
  <c r="V281" i="62" s="1"/>
  <c r="M281" i="62"/>
  <c r="P281" i="62" s="1"/>
  <c r="J281" i="62"/>
  <c r="I281" i="62"/>
  <c r="F281" i="62"/>
  <c r="B281" i="62"/>
  <c r="AF280" i="62"/>
  <c r="AH280" i="62" s="1"/>
  <c r="AC280" i="62"/>
  <c r="AE280" i="62" s="1"/>
  <c r="Z280" i="62"/>
  <c r="AB280" i="62" s="1"/>
  <c r="W280" i="62"/>
  <c r="Y280" i="62" s="1"/>
  <c r="T280" i="62"/>
  <c r="V280" i="62" s="1"/>
  <c r="M280" i="62"/>
  <c r="P280" i="62" s="1"/>
  <c r="J280" i="62"/>
  <c r="I280" i="62"/>
  <c r="F280" i="62"/>
  <c r="B280" i="62"/>
  <c r="AF279" i="62"/>
  <c r="AH279" i="62" s="1"/>
  <c r="AC279" i="62"/>
  <c r="AE279" i="62" s="1"/>
  <c r="Z279" i="62"/>
  <c r="AB279" i="62" s="1"/>
  <c r="W279" i="62"/>
  <c r="Y279" i="62" s="1"/>
  <c r="T279" i="62"/>
  <c r="V279" i="62" s="1"/>
  <c r="M279" i="62"/>
  <c r="P279" i="62" s="1"/>
  <c r="J279" i="62"/>
  <c r="I279" i="62"/>
  <c r="F279" i="62"/>
  <c r="B279" i="62"/>
  <c r="AF278" i="62"/>
  <c r="AH278" i="62" s="1"/>
  <c r="AC278" i="62"/>
  <c r="AE278" i="62" s="1"/>
  <c r="Z278" i="62"/>
  <c r="AB278" i="62" s="1"/>
  <c r="W278" i="62"/>
  <c r="Y278" i="62" s="1"/>
  <c r="T278" i="62"/>
  <c r="V278" i="62" s="1"/>
  <c r="M278" i="62"/>
  <c r="P278" i="62" s="1"/>
  <c r="J278" i="62"/>
  <c r="I278" i="62"/>
  <c r="F278" i="62"/>
  <c r="B278" i="62"/>
  <c r="AF277" i="62"/>
  <c r="AH277" i="62" s="1"/>
  <c r="AC277" i="62"/>
  <c r="AE277" i="62" s="1"/>
  <c r="Z277" i="62"/>
  <c r="AB277" i="62" s="1"/>
  <c r="W277" i="62"/>
  <c r="Y277" i="62" s="1"/>
  <c r="T277" i="62"/>
  <c r="V277" i="62" s="1"/>
  <c r="M277" i="62"/>
  <c r="P277" i="62" s="1"/>
  <c r="J277" i="62"/>
  <c r="I277" i="62"/>
  <c r="F277" i="62"/>
  <c r="B277" i="62"/>
  <c r="AF276" i="62"/>
  <c r="AH276" i="62" s="1"/>
  <c r="AC276" i="62"/>
  <c r="AE276" i="62" s="1"/>
  <c r="Z276" i="62"/>
  <c r="AB276" i="62" s="1"/>
  <c r="W276" i="62"/>
  <c r="Y276" i="62" s="1"/>
  <c r="T276" i="62"/>
  <c r="V276" i="62" s="1"/>
  <c r="M276" i="62"/>
  <c r="P276" i="62" s="1"/>
  <c r="J276" i="62"/>
  <c r="I276" i="62"/>
  <c r="F276" i="62"/>
  <c r="B276" i="62"/>
  <c r="AF275" i="62"/>
  <c r="AH275" i="62" s="1"/>
  <c r="AC275" i="62"/>
  <c r="AE275" i="62" s="1"/>
  <c r="Z275" i="62"/>
  <c r="AB275" i="62" s="1"/>
  <c r="W275" i="62"/>
  <c r="Y275" i="62" s="1"/>
  <c r="T275" i="62"/>
  <c r="V275" i="62" s="1"/>
  <c r="M275" i="62"/>
  <c r="P275" i="62" s="1"/>
  <c r="J275" i="62"/>
  <c r="I275" i="62"/>
  <c r="F275" i="62"/>
  <c r="B275" i="62"/>
  <c r="AF274" i="62"/>
  <c r="AH274" i="62" s="1"/>
  <c r="AC274" i="62"/>
  <c r="AE274" i="62" s="1"/>
  <c r="Z274" i="62"/>
  <c r="AB274" i="62" s="1"/>
  <c r="W274" i="62"/>
  <c r="Y274" i="62" s="1"/>
  <c r="T274" i="62"/>
  <c r="V274" i="62" s="1"/>
  <c r="M274" i="62"/>
  <c r="P274" i="62" s="1"/>
  <c r="J274" i="62"/>
  <c r="I274" i="62"/>
  <c r="F274" i="62"/>
  <c r="B274" i="62"/>
  <c r="AF273" i="62"/>
  <c r="AH273" i="62" s="1"/>
  <c r="AC273" i="62"/>
  <c r="AE273" i="62" s="1"/>
  <c r="Z273" i="62"/>
  <c r="AB273" i="62" s="1"/>
  <c r="W273" i="62"/>
  <c r="Y273" i="62" s="1"/>
  <c r="T273" i="62"/>
  <c r="V273" i="62" s="1"/>
  <c r="M273" i="62"/>
  <c r="P273" i="62" s="1"/>
  <c r="J273" i="62"/>
  <c r="I273" i="62"/>
  <c r="F273" i="62"/>
  <c r="B273" i="62"/>
  <c r="AF272" i="62"/>
  <c r="AH272" i="62" s="1"/>
  <c r="AC272" i="62"/>
  <c r="AE272" i="62" s="1"/>
  <c r="Z272" i="62"/>
  <c r="AB272" i="62" s="1"/>
  <c r="W272" i="62"/>
  <c r="Y272" i="62" s="1"/>
  <c r="T272" i="62"/>
  <c r="V272" i="62" s="1"/>
  <c r="M272" i="62"/>
  <c r="P272" i="62" s="1"/>
  <c r="J272" i="62"/>
  <c r="I272" i="62"/>
  <c r="F272" i="62"/>
  <c r="B272" i="62"/>
  <c r="AF271" i="62"/>
  <c r="AH271" i="62" s="1"/>
  <c r="AC271" i="62"/>
  <c r="AE271" i="62" s="1"/>
  <c r="Z271" i="62"/>
  <c r="AB271" i="62" s="1"/>
  <c r="W271" i="62"/>
  <c r="Y271" i="62" s="1"/>
  <c r="T271" i="62"/>
  <c r="V271" i="62" s="1"/>
  <c r="M271" i="62"/>
  <c r="P271" i="62" s="1"/>
  <c r="J271" i="62"/>
  <c r="I271" i="62"/>
  <c r="F271" i="62"/>
  <c r="B271" i="62"/>
  <c r="AF270" i="62"/>
  <c r="AH270" i="62" s="1"/>
  <c r="AC270" i="62"/>
  <c r="AE270" i="62" s="1"/>
  <c r="Z270" i="62"/>
  <c r="AB270" i="62" s="1"/>
  <c r="W270" i="62"/>
  <c r="Y270" i="62" s="1"/>
  <c r="T270" i="62"/>
  <c r="V270" i="62" s="1"/>
  <c r="M270" i="62"/>
  <c r="P270" i="62" s="1"/>
  <c r="J270" i="62"/>
  <c r="I270" i="62"/>
  <c r="F270" i="62"/>
  <c r="B270" i="62"/>
  <c r="AF269" i="62"/>
  <c r="AH269" i="62" s="1"/>
  <c r="AC269" i="62"/>
  <c r="AE269" i="62" s="1"/>
  <c r="Z269" i="62"/>
  <c r="AB269" i="62" s="1"/>
  <c r="W269" i="62"/>
  <c r="Y269" i="62" s="1"/>
  <c r="T269" i="62"/>
  <c r="V269" i="62" s="1"/>
  <c r="M269" i="62"/>
  <c r="P269" i="62" s="1"/>
  <c r="J269" i="62"/>
  <c r="I269" i="62"/>
  <c r="F269" i="62"/>
  <c r="B269" i="62"/>
  <c r="AF268" i="62"/>
  <c r="AH268" i="62" s="1"/>
  <c r="AC268" i="62"/>
  <c r="AE268" i="62" s="1"/>
  <c r="Z268" i="62"/>
  <c r="AB268" i="62" s="1"/>
  <c r="W268" i="62"/>
  <c r="Y268" i="62" s="1"/>
  <c r="T268" i="62"/>
  <c r="V268" i="62" s="1"/>
  <c r="M268" i="62"/>
  <c r="P268" i="62" s="1"/>
  <c r="J268" i="62"/>
  <c r="I268" i="62"/>
  <c r="F268" i="62"/>
  <c r="B268" i="62"/>
  <c r="AF267" i="62"/>
  <c r="AH267" i="62" s="1"/>
  <c r="AC267" i="62"/>
  <c r="AE267" i="62" s="1"/>
  <c r="Z267" i="62"/>
  <c r="AB267" i="62" s="1"/>
  <c r="W267" i="62"/>
  <c r="Y267" i="62" s="1"/>
  <c r="T267" i="62"/>
  <c r="V267" i="62" s="1"/>
  <c r="M267" i="62"/>
  <c r="P267" i="62" s="1"/>
  <c r="J267" i="62"/>
  <c r="I267" i="62"/>
  <c r="F267" i="62"/>
  <c r="B267" i="62"/>
  <c r="AF266" i="62"/>
  <c r="AH266" i="62" s="1"/>
  <c r="AC266" i="62"/>
  <c r="AE266" i="62" s="1"/>
  <c r="Z266" i="62"/>
  <c r="AB266" i="62" s="1"/>
  <c r="W266" i="62"/>
  <c r="Y266" i="62" s="1"/>
  <c r="T266" i="62"/>
  <c r="V266" i="62" s="1"/>
  <c r="M266" i="62"/>
  <c r="P266" i="62" s="1"/>
  <c r="J266" i="62"/>
  <c r="I266" i="62"/>
  <c r="F266" i="62"/>
  <c r="B266" i="62"/>
  <c r="AF265" i="62"/>
  <c r="AH265" i="62" s="1"/>
  <c r="AC265" i="62"/>
  <c r="AE265" i="62" s="1"/>
  <c r="Z265" i="62"/>
  <c r="AB265" i="62" s="1"/>
  <c r="W265" i="62"/>
  <c r="Y265" i="62" s="1"/>
  <c r="T265" i="62"/>
  <c r="V265" i="62" s="1"/>
  <c r="M265" i="62"/>
  <c r="P265" i="62" s="1"/>
  <c r="J265" i="62"/>
  <c r="I265" i="62"/>
  <c r="F265" i="62"/>
  <c r="B265" i="62"/>
  <c r="AF264" i="62"/>
  <c r="AH264" i="62" s="1"/>
  <c r="AC264" i="62"/>
  <c r="AE264" i="62" s="1"/>
  <c r="Z264" i="62"/>
  <c r="AB264" i="62" s="1"/>
  <c r="W264" i="62"/>
  <c r="Y264" i="62" s="1"/>
  <c r="T264" i="62"/>
  <c r="V264" i="62" s="1"/>
  <c r="M264" i="62"/>
  <c r="P264" i="62" s="1"/>
  <c r="J264" i="62"/>
  <c r="I264" i="62"/>
  <c r="F264" i="62"/>
  <c r="B264" i="62"/>
  <c r="AF263" i="62"/>
  <c r="AH263" i="62" s="1"/>
  <c r="AC263" i="62"/>
  <c r="AE263" i="62" s="1"/>
  <c r="Z263" i="62"/>
  <c r="AB263" i="62" s="1"/>
  <c r="W263" i="62"/>
  <c r="Y263" i="62" s="1"/>
  <c r="T263" i="62"/>
  <c r="V263" i="62" s="1"/>
  <c r="M263" i="62"/>
  <c r="P263" i="62" s="1"/>
  <c r="J263" i="62"/>
  <c r="I263" i="62"/>
  <c r="F263" i="62"/>
  <c r="B263" i="62"/>
  <c r="AF262" i="62"/>
  <c r="AH262" i="62" s="1"/>
  <c r="AC262" i="62"/>
  <c r="AE262" i="62" s="1"/>
  <c r="Z262" i="62"/>
  <c r="AB262" i="62" s="1"/>
  <c r="W262" i="62"/>
  <c r="Y262" i="62" s="1"/>
  <c r="T262" i="62"/>
  <c r="V262" i="62" s="1"/>
  <c r="M262" i="62"/>
  <c r="P262" i="62" s="1"/>
  <c r="J262" i="62"/>
  <c r="I262" i="62"/>
  <c r="F262" i="62"/>
  <c r="B262" i="62"/>
  <c r="AF261" i="62"/>
  <c r="AH261" i="62" s="1"/>
  <c r="AC261" i="62"/>
  <c r="AE261" i="62" s="1"/>
  <c r="Z261" i="62"/>
  <c r="AB261" i="62" s="1"/>
  <c r="W261" i="62"/>
  <c r="Y261" i="62" s="1"/>
  <c r="T261" i="62"/>
  <c r="V261" i="62" s="1"/>
  <c r="M261" i="62"/>
  <c r="P261" i="62" s="1"/>
  <c r="J261" i="62"/>
  <c r="I261" i="62"/>
  <c r="F261" i="62"/>
  <c r="B261" i="62"/>
  <c r="AF260" i="62"/>
  <c r="AH260" i="62" s="1"/>
  <c r="AC260" i="62"/>
  <c r="AE260" i="62" s="1"/>
  <c r="Z260" i="62"/>
  <c r="AB260" i="62" s="1"/>
  <c r="W260" i="62"/>
  <c r="Y260" i="62" s="1"/>
  <c r="T260" i="62"/>
  <c r="V260" i="62" s="1"/>
  <c r="M260" i="62"/>
  <c r="P260" i="62" s="1"/>
  <c r="J260" i="62"/>
  <c r="I260" i="62"/>
  <c r="F260" i="62"/>
  <c r="B260" i="62"/>
  <c r="AF259" i="62"/>
  <c r="AH259" i="62" s="1"/>
  <c r="AC259" i="62"/>
  <c r="AE259" i="62" s="1"/>
  <c r="Z259" i="62"/>
  <c r="AB259" i="62" s="1"/>
  <c r="W259" i="62"/>
  <c r="Y259" i="62" s="1"/>
  <c r="T259" i="62"/>
  <c r="V259" i="62" s="1"/>
  <c r="M259" i="62"/>
  <c r="P259" i="62" s="1"/>
  <c r="J259" i="62"/>
  <c r="I259" i="62"/>
  <c r="F259" i="62"/>
  <c r="B259" i="62"/>
  <c r="AF258" i="62"/>
  <c r="AH258" i="62" s="1"/>
  <c r="AC258" i="62"/>
  <c r="AE258" i="62" s="1"/>
  <c r="Z258" i="62"/>
  <c r="AB258" i="62" s="1"/>
  <c r="W258" i="62"/>
  <c r="Y258" i="62" s="1"/>
  <c r="T258" i="62"/>
  <c r="V258" i="62" s="1"/>
  <c r="M258" i="62"/>
  <c r="P258" i="62" s="1"/>
  <c r="J258" i="62"/>
  <c r="I258" i="62"/>
  <c r="F258" i="62"/>
  <c r="B258" i="62"/>
  <c r="AF257" i="62"/>
  <c r="AH257" i="62" s="1"/>
  <c r="AC257" i="62"/>
  <c r="AE257" i="62" s="1"/>
  <c r="Z257" i="62"/>
  <c r="AB257" i="62" s="1"/>
  <c r="W257" i="62"/>
  <c r="Y257" i="62" s="1"/>
  <c r="T257" i="62"/>
  <c r="V257" i="62" s="1"/>
  <c r="M257" i="62"/>
  <c r="P257" i="62" s="1"/>
  <c r="J257" i="62"/>
  <c r="I257" i="62"/>
  <c r="F257" i="62"/>
  <c r="B257" i="62"/>
  <c r="AF256" i="62"/>
  <c r="AH256" i="62" s="1"/>
  <c r="AC256" i="62"/>
  <c r="AE256" i="62" s="1"/>
  <c r="Z256" i="62"/>
  <c r="AB256" i="62" s="1"/>
  <c r="W256" i="62"/>
  <c r="Y256" i="62" s="1"/>
  <c r="T256" i="62"/>
  <c r="V256" i="62" s="1"/>
  <c r="M256" i="62"/>
  <c r="P256" i="62" s="1"/>
  <c r="J256" i="62"/>
  <c r="I256" i="62"/>
  <c r="F256" i="62"/>
  <c r="B256" i="62"/>
  <c r="AF255" i="62"/>
  <c r="AH255" i="62" s="1"/>
  <c r="AC255" i="62"/>
  <c r="AE255" i="62" s="1"/>
  <c r="Z255" i="62"/>
  <c r="AB255" i="62" s="1"/>
  <c r="W255" i="62"/>
  <c r="Y255" i="62" s="1"/>
  <c r="T255" i="62"/>
  <c r="V255" i="62" s="1"/>
  <c r="M255" i="62"/>
  <c r="P255" i="62" s="1"/>
  <c r="J255" i="62"/>
  <c r="I255" i="62"/>
  <c r="F255" i="62"/>
  <c r="B255" i="62"/>
  <c r="AF254" i="62"/>
  <c r="AH254" i="62" s="1"/>
  <c r="AC254" i="62"/>
  <c r="AE254" i="62" s="1"/>
  <c r="Z254" i="62"/>
  <c r="AB254" i="62" s="1"/>
  <c r="W254" i="62"/>
  <c r="Y254" i="62" s="1"/>
  <c r="T254" i="62"/>
  <c r="V254" i="62" s="1"/>
  <c r="M254" i="62"/>
  <c r="P254" i="62" s="1"/>
  <c r="J254" i="62"/>
  <c r="I254" i="62"/>
  <c r="F254" i="62"/>
  <c r="B254" i="62"/>
  <c r="AF253" i="62"/>
  <c r="AH253" i="62" s="1"/>
  <c r="AC253" i="62"/>
  <c r="AE253" i="62" s="1"/>
  <c r="Z253" i="62"/>
  <c r="AB253" i="62" s="1"/>
  <c r="W253" i="62"/>
  <c r="Y253" i="62" s="1"/>
  <c r="T253" i="62"/>
  <c r="V253" i="62" s="1"/>
  <c r="M253" i="62"/>
  <c r="P253" i="62" s="1"/>
  <c r="J253" i="62"/>
  <c r="I253" i="62"/>
  <c r="F253" i="62"/>
  <c r="B253" i="62"/>
  <c r="AF252" i="62"/>
  <c r="AH252" i="62" s="1"/>
  <c r="AC252" i="62"/>
  <c r="AE252" i="62" s="1"/>
  <c r="Z252" i="62"/>
  <c r="AB252" i="62" s="1"/>
  <c r="W252" i="62"/>
  <c r="Y252" i="62" s="1"/>
  <c r="T252" i="62"/>
  <c r="V252" i="62" s="1"/>
  <c r="M252" i="62"/>
  <c r="P252" i="62" s="1"/>
  <c r="J252" i="62"/>
  <c r="I252" i="62"/>
  <c r="F252" i="62"/>
  <c r="B252" i="62"/>
  <c r="AF251" i="62"/>
  <c r="AH251" i="62" s="1"/>
  <c r="AC251" i="62"/>
  <c r="AE251" i="62" s="1"/>
  <c r="Z251" i="62"/>
  <c r="AB251" i="62" s="1"/>
  <c r="W251" i="62"/>
  <c r="Y251" i="62" s="1"/>
  <c r="T251" i="62"/>
  <c r="V251" i="62" s="1"/>
  <c r="M251" i="62"/>
  <c r="P251" i="62" s="1"/>
  <c r="J251" i="62"/>
  <c r="I251" i="62"/>
  <c r="F251" i="62"/>
  <c r="B251" i="62"/>
  <c r="AF250" i="62"/>
  <c r="AH250" i="62" s="1"/>
  <c r="AC250" i="62"/>
  <c r="AE250" i="62" s="1"/>
  <c r="Z250" i="62"/>
  <c r="AB250" i="62" s="1"/>
  <c r="W250" i="62"/>
  <c r="Y250" i="62" s="1"/>
  <c r="T250" i="62"/>
  <c r="V250" i="62" s="1"/>
  <c r="M250" i="62"/>
  <c r="P250" i="62" s="1"/>
  <c r="J250" i="62"/>
  <c r="I250" i="62"/>
  <c r="F250" i="62"/>
  <c r="B250" i="62"/>
  <c r="AF249" i="62"/>
  <c r="AH249" i="62" s="1"/>
  <c r="AC249" i="62"/>
  <c r="AE249" i="62" s="1"/>
  <c r="Z249" i="62"/>
  <c r="AB249" i="62" s="1"/>
  <c r="W249" i="62"/>
  <c r="Y249" i="62" s="1"/>
  <c r="T249" i="62"/>
  <c r="V249" i="62" s="1"/>
  <c r="M249" i="62"/>
  <c r="P249" i="62" s="1"/>
  <c r="J249" i="62"/>
  <c r="I249" i="62"/>
  <c r="F249" i="62"/>
  <c r="B249" i="62"/>
  <c r="AF248" i="62"/>
  <c r="AH248" i="62" s="1"/>
  <c r="AC248" i="62"/>
  <c r="AE248" i="62" s="1"/>
  <c r="Z248" i="62"/>
  <c r="AB248" i="62" s="1"/>
  <c r="W248" i="62"/>
  <c r="Y248" i="62" s="1"/>
  <c r="T248" i="62"/>
  <c r="V248" i="62" s="1"/>
  <c r="M248" i="62"/>
  <c r="P248" i="62" s="1"/>
  <c r="J248" i="62"/>
  <c r="I248" i="62"/>
  <c r="F248" i="62"/>
  <c r="B248" i="62"/>
  <c r="AF247" i="62"/>
  <c r="AH247" i="62" s="1"/>
  <c r="AC247" i="62"/>
  <c r="AE247" i="62" s="1"/>
  <c r="Z247" i="62"/>
  <c r="AB247" i="62" s="1"/>
  <c r="W247" i="62"/>
  <c r="Y247" i="62" s="1"/>
  <c r="T247" i="62"/>
  <c r="V247" i="62" s="1"/>
  <c r="M247" i="62"/>
  <c r="P247" i="62" s="1"/>
  <c r="J247" i="62"/>
  <c r="I247" i="62"/>
  <c r="F247" i="62"/>
  <c r="B247" i="62"/>
  <c r="AF246" i="62"/>
  <c r="AH246" i="62" s="1"/>
  <c r="AC246" i="62"/>
  <c r="AE246" i="62" s="1"/>
  <c r="Z246" i="62"/>
  <c r="AB246" i="62" s="1"/>
  <c r="W246" i="62"/>
  <c r="Y246" i="62" s="1"/>
  <c r="T246" i="62"/>
  <c r="V246" i="62" s="1"/>
  <c r="M246" i="62"/>
  <c r="P246" i="62" s="1"/>
  <c r="J246" i="62"/>
  <c r="I246" i="62"/>
  <c r="F246" i="62"/>
  <c r="B246" i="62"/>
  <c r="AF245" i="62"/>
  <c r="AH245" i="62" s="1"/>
  <c r="AC245" i="62"/>
  <c r="AE245" i="62" s="1"/>
  <c r="Z245" i="62"/>
  <c r="AB245" i="62" s="1"/>
  <c r="W245" i="62"/>
  <c r="Y245" i="62" s="1"/>
  <c r="T245" i="62"/>
  <c r="V245" i="62" s="1"/>
  <c r="M245" i="62"/>
  <c r="P245" i="62" s="1"/>
  <c r="J245" i="62"/>
  <c r="I245" i="62"/>
  <c r="F245" i="62"/>
  <c r="B245" i="62"/>
  <c r="AF244" i="62"/>
  <c r="AH244" i="62" s="1"/>
  <c r="AC244" i="62"/>
  <c r="AE244" i="62" s="1"/>
  <c r="Z244" i="62"/>
  <c r="AB244" i="62" s="1"/>
  <c r="W244" i="62"/>
  <c r="Y244" i="62" s="1"/>
  <c r="T244" i="62"/>
  <c r="V244" i="62" s="1"/>
  <c r="M244" i="62"/>
  <c r="P244" i="62" s="1"/>
  <c r="J244" i="62"/>
  <c r="I244" i="62"/>
  <c r="F244" i="62"/>
  <c r="B244" i="62"/>
  <c r="AF243" i="62"/>
  <c r="AH243" i="62" s="1"/>
  <c r="AC243" i="62"/>
  <c r="AE243" i="62" s="1"/>
  <c r="Z243" i="62"/>
  <c r="AB243" i="62" s="1"/>
  <c r="W243" i="62"/>
  <c r="Y243" i="62" s="1"/>
  <c r="T243" i="62"/>
  <c r="V243" i="62" s="1"/>
  <c r="M243" i="62"/>
  <c r="P243" i="62" s="1"/>
  <c r="J243" i="62"/>
  <c r="I243" i="62"/>
  <c r="F243" i="62"/>
  <c r="B243" i="62"/>
  <c r="AF242" i="62"/>
  <c r="AH242" i="62" s="1"/>
  <c r="AC242" i="62"/>
  <c r="AE242" i="62" s="1"/>
  <c r="Z242" i="62"/>
  <c r="AB242" i="62" s="1"/>
  <c r="W242" i="62"/>
  <c r="Y242" i="62" s="1"/>
  <c r="T242" i="62"/>
  <c r="V242" i="62" s="1"/>
  <c r="M242" i="62"/>
  <c r="P242" i="62" s="1"/>
  <c r="J242" i="62"/>
  <c r="I242" i="62"/>
  <c r="F242" i="62"/>
  <c r="B242" i="62"/>
  <c r="AF241" i="62"/>
  <c r="AH241" i="62" s="1"/>
  <c r="AC241" i="62"/>
  <c r="AE241" i="62" s="1"/>
  <c r="Z241" i="62"/>
  <c r="AB241" i="62" s="1"/>
  <c r="W241" i="62"/>
  <c r="Y241" i="62" s="1"/>
  <c r="T241" i="62"/>
  <c r="V241" i="62" s="1"/>
  <c r="M241" i="62"/>
  <c r="P241" i="62" s="1"/>
  <c r="J241" i="62"/>
  <c r="I241" i="62"/>
  <c r="F241" i="62"/>
  <c r="B241" i="62"/>
  <c r="AF240" i="62"/>
  <c r="AH240" i="62" s="1"/>
  <c r="AC240" i="62"/>
  <c r="AE240" i="62" s="1"/>
  <c r="Z240" i="62"/>
  <c r="AB240" i="62" s="1"/>
  <c r="W240" i="62"/>
  <c r="Y240" i="62" s="1"/>
  <c r="T240" i="62"/>
  <c r="V240" i="62" s="1"/>
  <c r="M240" i="62"/>
  <c r="P240" i="62" s="1"/>
  <c r="J240" i="62"/>
  <c r="I240" i="62"/>
  <c r="F240" i="62"/>
  <c r="B240" i="62"/>
  <c r="AF239" i="62"/>
  <c r="AH239" i="62" s="1"/>
  <c r="AC239" i="62"/>
  <c r="AE239" i="62" s="1"/>
  <c r="Z239" i="62"/>
  <c r="AB239" i="62" s="1"/>
  <c r="W239" i="62"/>
  <c r="Y239" i="62" s="1"/>
  <c r="T239" i="62"/>
  <c r="V239" i="62" s="1"/>
  <c r="M239" i="62"/>
  <c r="P239" i="62" s="1"/>
  <c r="J239" i="62"/>
  <c r="I239" i="62"/>
  <c r="F239" i="62"/>
  <c r="B239" i="62"/>
  <c r="AF238" i="62"/>
  <c r="AH238" i="62" s="1"/>
  <c r="AC238" i="62"/>
  <c r="AE238" i="62" s="1"/>
  <c r="Z238" i="62"/>
  <c r="AB238" i="62" s="1"/>
  <c r="W238" i="62"/>
  <c r="Y238" i="62" s="1"/>
  <c r="T238" i="62"/>
  <c r="V238" i="62" s="1"/>
  <c r="M238" i="62"/>
  <c r="P238" i="62" s="1"/>
  <c r="J238" i="62"/>
  <c r="I238" i="62"/>
  <c r="F238" i="62"/>
  <c r="B238" i="62"/>
  <c r="AF237" i="62"/>
  <c r="AH237" i="62" s="1"/>
  <c r="AC237" i="62"/>
  <c r="AE237" i="62" s="1"/>
  <c r="Z237" i="62"/>
  <c r="AB237" i="62" s="1"/>
  <c r="W237" i="62"/>
  <c r="Y237" i="62" s="1"/>
  <c r="T237" i="62"/>
  <c r="V237" i="62" s="1"/>
  <c r="M237" i="62"/>
  <c r="P237" i="62" s="1"/>
  <c r="J237" i="62"/>
  <c r="I237" i="62"/>
  <c r="F237" i="62"/>
  <c r="B237" i="62"/>
  <c r="AF236" i="62"/>
  <c r="AH236" i="62" s="1"/>
  <c r="AC236" i="62"/>
  <c r="AE236" i="62" s="1"/>
  <c r="Z236" i="62"/>
  <c r="AB236" i="62" s="1"/>
  <c r="W236" i="62"/>
  <c r="Y236" i="62" s="1"/>
  <c r="T236" i="62"/>
  <c r="V236" i="62" s="1"/>
  <c r="M236" i="62"/>
  <c r="P236" i="62" s="1"/>
  <c r="J236" i="62"/>
  <c r="I236" i="62"/>
  <c r="F236" i="62"/>
  <c r="B236" i="62"/>
  <c r="AF235" i="62"/>
  <c r="AH235" i="62" s="1"/>
  <c r="AC235" i="62"/>
  <c r="AE235" i="62" s="1"/>
  <c r="Z235" i="62"/>
  <c r="AB235" i="62" s="1"/>
  <c r="W235" i="62"/>
  <c r="Y235" i="62" s="1"/>
  <c r="T235" i="62"/>
  <c r="V235" i="62" s="1"/>
  <c r="M235" i="62"/>
  <c r="P235" i="62" s="1"/>
  <c r="J235" i="62"/>
  <c r="I235" i="62"/>
  <c r="F235" i="62"/>
  <c r="B235" i="62"/>
  <c r="AF234" i="62"/>
  <c r="AH234" i="62" s="1"/>
  <c r="AC234" i="62"/>
  <c r="AE234" i="62" s="1"/>
  <c r="Z234" i="62"/>
  <c r="AB234" i="62" s="1"/>
  <c r="W234" i="62"/>
  <c r="Y234" i="62" s="1"/>
  <c r="T234" i="62"/>
  <c r="V234" i="62" s="1"/>
  <c r="M234" i="62"/>
  <c r="P234" i="62" s="1"/>
  <c r="J234" i="62"/>
  <c r="I234" i="62"/>
  <c r="F234" i="62"/>
  <c r="B234" i="62"/>
  <c r="AF233" i="62"/>
  <c r="AH233" i="62" s="1"/>
  <c r="AC233" i="62"/>
  <c r="AE233" i="62" s="1"/>
  <c r="Z233" i="62"/>
  <c r="AB233" i="62" s="1"/>
  <c r="W233" i="62"/>
  <c r="Y233" i="62" s="1"/>
  <c r="T233" i="62"/>
  <c r="V233" i="62" s="1"/>
  <c r="M233" i="62"/>
  <c r="P233" i="62" s="1"/>
  <c r="J233" i="62"/>
  <c r="I233" i="62"/>
  <c r="F233" i="62"/>
  <c r="B233" i="62"/>
  <c r="AF232" i="62"/>
  <c r="AH232" i="62" s="1"/>
  <c r="AC232" i="62"/>
  <c r="AE232" i="62" s="1"/>
  <c r="Z232" i="62"/>
  <c r="AB232" i="62" s="1"/>
  <c r="W232" i="62"/>
  <c r="Y232" i="62" s="1"/>
  <c r="T232" i="62"/>
  <c r="V232" i="62" s="1"/>
  <c r="M232" i="62"/>
  <c r="P232" i="62" s="1"/>
  <c r="J232" i="62"/>
  <c r="I232" i="62"/>
  <c r="F232" i="62"/>
  <c r="B232" i="62"/>
  <c r="AF231" i="62"/>
  <c r="AH231" i="62" s="1"/>
  <c r="AC231" i="62"/>
  <c r="AE231" i="62" s="1"/>
  <c r="Z231" i="62"/>
  <c r="AB231" i="62" s="1"/>
  <c r="W231" i="62"/>
  <c r="Y231" i="62" s="1"/>
  <c r="T231" i="62"/>
  <c r="V231" i="62" s="1"/>
  <c r="M231" i="62"/>
  <c r="P231" i="62" s="1"/>
  <c r="J231" i="62"/>
  <c r="I231" i="62"/>
  <c r="F231" i="62"/>
  <c r="B231" i="62"/>
  <c r="AF230" i="62"/>
  <c r="AH230" i="62" s="1"/>
  <c r="AC230" i="62"/>
  <c r="AE230" i="62" s="1"/>
  <c r="Z230" i="62"/>
  <c r="AB230" i="62" s="1"/>
  <c r="W230" i="62"/>
  <c r="Y230" i="62" s="1"/>
  <c r="T230" i="62"/>
  <c r="V230" i="62" s="1"/>
  <c r="M230" i="62"/>
  <c r="P230" i="62" s="1"/>
  <c r="J230" i="62"/>
  <c r="I230" i="62"/>
  <c r="F230" i="62"/>
  <c r="B230" i="62"/>
  <c r="AF229" i="62"/>
  <c r="AH229" i="62" s="1"/>
  <c r="AC229" i="62"/>
  <c r="AE229" i="62" s="1"/>
  <c r="Z229" i="62"/>
  <c r="AB229" i="62" s="1"/>
  <c r="W229" i="62"/>
  <c r="Y229" i="62" s="1"/>
  <c r="T229" i="62"/>
  <c r="V229" i="62" s="1"/>
  <c r="M229" i="62"/>
  <c r="P229" i="62" s="1"/>
  <c r="J229" i="62"/>
  <c r="I229" i="62"/>
  <c r="F229" i="62"/>
  <c r="B229" i="62"/>
  <c r="AF228" i="62"/>
  <c r="AH228" i="62" s="1"/>
  <c r="AC228" i="62"/>
  <c r="AE228" i="62" s="1"/>
  <c r="Z228" i="62"/>
  <c r="AB228" i="62" s="1"/>
  <c r="W228" i="62"/>
  <c r="Y228" i="62" s="1"/>
  <c r="T228" i="62"/>
  <c r="V228" i="62" s="1"/>
  <c r="M228" i="62"/>
  <c r="P228" i="62" s="1"/>
  <c r="J228" i="62"/>
  <c r="I228" i="62"/>
  <c r="F228" i="62"/>
  <c r="B228" i="62"/>
  <c r="AF227" i="62"/>
  <c r="AH227" i="62" s="1"/>
  <c r="AC227" i="62"/>
  <c r="AE227" i="62" s="1"/>
  <c r="Z227" i="62"/>
  <c r="AB227" i="62" s="1"/>
  <c r="W227" i="62"/>
  <c r="Y227" i="62" s="1"/>
  <c r="T227" i="62"/>
  <c r="V227" i="62" s="1"/>
  <c r="M227" i="62"/>
  <c r="P227" i="62" s="1"/>
  <c r="J227" i="62"/>
  <c r="I227" i="62"/>
  <c r="F227" i="62"/>
  <c r="B227" i="62"/>
  <c r="AF226" i="62"/>
  <c r="AH226" i="62" s="1"/>
  <c r="AC226" i="62"/>
  <c r="AE226" i="62" s="1"/>
  <c r="Z226" i="62"/>
  <c r="AB226" i="62" s="1"/>
  <c r="W226" i="62"/>
  <c r="Y226" i="62" s="1"/>
  <c r="T226" i="62"/>
  <c r="V226" i="62" s="1"/>
  <c r="M226" i="62"/>
  <c r="P226" i="62" s="1"/>
  <c r="J226" i="62"/>
  <c r="I226" i="62"/>
  <c r="F226" i="62"/>
  <c r="B226" i="62"/>
  <c r="AF225" i="62"/>
  <c r="AH225" i="62" s="1"/>
  <c r="AC225" i="62"/>
  <c r="AE225" i="62" s="1"/>
  <c r="Z225" i="62"/>
  <c r="AB225" i="62" s="1"/>
  <c r="W225" i="62"/>
  <c r="Y225" i="62" s="1"/>
  <c r="T225" i="62"/>
  <c r="V225" i="62" s="1"/>
  <c r="M225" i="62"/>
  <c r="P225" i="62" s="1"/>
  <c r="J225" i="62"/>
  <c r="I225" i="62"/>
  <c r="F225" i="62"/>
  <c r="B225" i="62"/>
  <c r="AF224" i="62"/>
  <c r="AH224" i="62" s="1"/>
  <c r="AC224" i="62"/>
  <c r="AE224" i="62" s="1"/>
  <c r="Z224" i="62"/>
  <c r="AB224" i="62" s="1"/>
  <c r="W224" i="62"/>
  <c r="Y224" i="62" s="1"/>
  <c r="T224" i="62"/>
  <c r="V224" i="62" s="1"/>
  <c r="M224" i="62"/>
  <c r="P224" i="62" s="1"/>
  <c r="J224" i="62"/>
  <c r="I224" i="62"/>
  <c r="F224" i="62"/>
  <c r="B224" i="62"/>
  <c r="AF223" i="62"/>
  <c r="AH223" i="62" s="1"/>
  <c r="AC223" i="62"/>
  <c r="AE223" i="62" s="1"/>
  <c r="Z223" i="62"/>
  <c r="AB223" i="62" s="1"/>
  <c r="W223" i="62"/>
  <c r="Y223" i="62" s="1"/>
  <c r="T223" i="62"/>
  <c r="V223" i="62" s="1"/>
  <c r="M223" i="62"/>
  <c r="P223" i="62" s="1"/>
  <c r="J223" i="62"/>
  <c r="I223" i="62"/>
  <c r="F223" i="62"/>
  <c r="B223" i="62"/>
  <c r="AF222" i="62"/>
  <c r="AH222" i="62" s="1"/>
  <c r="AC222" i="62"/>
  <c r="AE222" i="62" s="1"/>
  <c r="Z222" i="62"/>
  <c r="AB222" i="62" s="1"/>
  <c r="W222" i="62"/>
  <c r="Y222" i="62" s="1"/>
  <c r="T222" i="62"/>
  <c r="V222" i="62" s="1"/>
  <c r="M222" i="62"/>
  <c r="P222" i="62" s="1"/>
  <c r="J222" i="62"/>
  <c r="I222" i="62"/>
  <c r="F222" i="62"/>
  <c r="B222" i="62"/>
  <c r="AF221" i="62"/>
  <c r="AH221" i="62" s="1"/>
  <c r="AC221" i="62"/>
  <c r="AE221" i="62" s="1"/>
  <c r="Z221" i="62"/>
  <c r="AB221" i="62" s="1"/>
  <c r="W221" i="62"/>
  <c r="Y221" i="62" s="1"/>
  <c r="T221" i="62"/>
  <c r="V221" i="62" s="1"/>
  <c r="M221" i="62"/>
  <c r="P221" i="62" s="1"/>
  <c r="J221" i="62"/>
  <c r="I221" i="62"/>
  <c r="F221" i="62"/>
  <c r="B221" i="62"/>
  <c r="AF220" i="62"/>
  <c r="AH220" i="62" s="1"/>
  <c r="AC220" i="62"/>
  <c r="AE220" i="62" s="1"/>
  <c r="Z220" i="62"/>
  <c r="AB220" i="62" s="1"/>
  <c r="W220" i="62"/>
  <c r="Y220" i="62" s="1"/>
  <c r="T220" i="62"/>
  <c r="V220" i="62" s="1"/>
  <c r="M220" i="62"/>
  <c r="P220" i="62" s="1"/>
  <c r="J220" i="62"/>
  <c r="I220" i="62"/>
  <c r="F220" i="62"/>
  <c r="B220" i="62"/>
  <c r="AF219" i="62"/>
  <c r="AH219" i="62" s="1"/>
  <c r="AC219" i="62"/>
  <c r="AE219" i="62" s="1"/>
  <c r="Z219" i="62"/>
  <c r="AB219" i="62" s="1"/>
  <c r="W219" i="62"/>
  <c r="Y219" i="62" s="1"/>
  <c r="T219" i="62"/>
  <c r="V219" i="62" s="1"/>
  <c r="M219" i="62"/>
  <c r="P219" i="62" s="1"/>
  <c r="J219" i="62"/>
  <c r="I219" i="62"/>
  <c r="F219" i="62"/>
  <c r="B219" i="62"/>
  <c r="AF218" i="62"/>
  <c r="AH218" i="62" s="1"/>
  <c r="AC218" i="62"/>
  <c r="AE218" i="62" s="1"/>
  <c r="Z218" i="62"/>
  <c r="AB218" i="62" s="1"/>
  <c r="W218" i="62"/>
  <c r="Y218" i="62" s="1"/>
  <c r="T218" i="62"/>
  <c r="V218" i="62" s="1"/>
  <c r="M218" i="62"/>
  <c r="P218" i="62" s="1"/>
  <c r="J218" i="62"/>
  <c r="I218" i="62"/>
  <c r="F218" i="62"/>
  <c r="B218" i="62"/>
  <c r="AF217" i="62"/>
  <c r="AH217" i="62" s="1"/>
  <c r="AC217" i="62"/>
  <c r="AE217" i="62" s="1"/>
  <c r="Z217" i="62"/>
  <c r="AB217" i="62" s="1"/>
  <c r="W217" i="62"/>
  <c r="Y217" i="62" s="1"/>
  <c r="T217" i="62"/>
  <c r="V217" i="62" s="1"/>
  <c r="M217" i="62"/>
  <c r="P217" i="62" s="1"/>
  <c r="J217" i="62"/>
  <c r="I217" i="62"/>
  <c r="F217" i="62"/>
  <c r="B217" i="62"/>
  <c r="AF216" i="62"/>
  <c r="AH216" i="62" s="1"/>
  <c r="AC216" i="62"/>
  <c r="AE216" i="62" s="1"/>
  <c r="Z216" i="62"/>
  <c r="AB216" i="62" s="1"/>
  <c r="W216" i="62"/>
  <c r="Y216" i="62" s="1"/>
  <c r="T216" i="62"/>
  <c r="V216" i="62" s="1"/>
  <c r="M216" i="62"/>
  <c r="P216" i="62" s="1"/>
  <c r="J216" i="62"/>
  <c r="I216" i="62"/>
  <c r="F216" i="62"/>
  <c r="B216" i="62"/>
  <c r="AF215" i="62"/>
  <c r="AH215" i="62" s="1"/>
  <c r="AC215" i="62"/>
  <c r="AE215" i="62" s="1"/>
  <c r="Z215" i="62"/>
  <c r="AB215" i="62" s="1"/>
  <c r="W215" i="62"/>
  <c r="Y215" i="62" s="1"/>
  <c r="T215" i="62"/>
  <c r="V215" i="62" s="1"/>
  <c r="M215" i="62"/>
  <c r="P215" i="62" s="1"/>
  <c r="J215" i="62"/>
  <c r="I215" i="62"/>
  <c r="F215" i="62"/>
  <c r="B215" i="62"/>
  <c r="AF214" i="62"/>
  <c r="AH214" i="62" s="1"/>
  <c r="AC214" i="62"/>
  <c r="AE214" i="62" s="1"/>
  <c r="Z214" i="62"/>
  <c r="AB214" i="62" s="1"/>
  <c r="W214" i="62"/>
  <c r="Y214" i="62" s="1"/>
  <c r="T214" i="62"/>
  <c r="V214" i="62" s="1"/>
  <c r="M214" i="62"/>
  <c r="P214" i="62" s="1"/>
  <c r="J214" i="62"/>
  <c r="I214" i="62"/>
  <c r="F214" i="62"/>
  <c r="B214" i="62"/>
  <c r="AF213" i="62"/>
  <c r="AH213" i="62" s="1"/>
  <c r="AC213" i="62"/>
  <c r="AE213" i="62" s="1"/>
  <c r="Z213" i="62"/>
  <c r="AB213" i="62" s="1"/>
  <c r="W213" i="62"/>
  <c r="Y213" i="62" s="1"/>
  <c r="T213" i="62"/>
  <c r="V213" i="62" s="1"/>
  <c r="M213" i="62"/>
  <c r="P213" i="62" s="1"/>
  <c r="J213" i="62"/>
  <c r="I213" i="62"/>
  <c r="F213" i="62"/>
  <c r="B213" i="62"/>
  <c r="AF212" i="62"/>
  <c r="AH212" i="62" s="1"/>
  <c r="AC212" i="62"/>
  <c r="AE212" i="62" s="1"/>
  <c r="Z212" i="62"/>
  <c r="AB212" i="62" s="1"/>
  <c r="W212" i="62"/>
  <c r="Y212" i="62" s="1"/>
  <c r="T212" i="62"/>
  <c r="V212" i="62" s="1"/>
  <c r="M212" i="62"/>
  <c r="P212" i="62" s="1"/>
  <c r="J212" i="62"/>
  <c r="I212" i="62"/>
  <c r="F212" i="62"/>
  <c r="B212" i="62"/>
  <c r="AF211" i="62"/>
  <c r="AH211" i="62" s="1"/>
  <c r="AC211" i="62"/>
  <c r="AE211" i="62" s="1"/>
  <c r="Z211" i="62"/>
  <c r="AB211" i="62" s="1"/>
  <c r="W211" i="62"/>
  <c r="Y211" i="62" s="1"/>
  <c r="T211" i="62"/>
  <c r="V211" i="62" s="1"/>
  <c r="M211" i="62"/>
  <c r="P211" i="62" s="1"/>
  <c r="J211" i="62"/>
  <c r="I211" i="62"/>
  <c r="F211" i="62"/>
  <c r="B211" i="62"/>
  <c r="AF210" i="62"/>
  <c r="AH210" i="62" s="1"/>
  <c r="AC210" i="62"/>
  <c r="AE210" i="62" s="1"/>
  <c r="Z210" i="62"/>
  <c r="AB210" i="62" s="1"/>
  <c r="W210" i="62"/>
  <c r="Y210" i="62" s="1"/>
  <c r="T210" i="62"/>
  <c r="V210" i="62" s="1"/>
  <c r="M210" i="62"/>
  <c r="P210" i="62" s="1"/>
  <c r="J210" i="62"/>
  <c r="I210" i="62"/>
  <c r="F210" i="62"/>
  <c r="B210" i="62"/>
  <c r="AF209" i="62"/>
  <c r="AH209" i="62" s="1"/>
  <c r="AC209" i="62"/>
  <c r="AE209" i="62" s="1"/>
  <c r="Z209" i="62"/>
  <c r="AB209" i="62" s="1"/>
  <c r="W209" i="62"/>
  <c r="Y209" i="62" s="1"/>
  <c r="T209" i="62"/>
  <c r="V209" i="62" s="1"/>
  <c r="M209" i="62"/>
  <c r="P209" i="62" s="1"/>
  <c r="J209" i="62"/>
  <c r="I209" i="62"/>
  <c r="F209" i="62"/>
  <c r="B209" i="62"/>
  <c r="AF208" i="62"/>
  <c r="AH208" i="62" s="1"/>
  <c r="AC208" i="62"/>
  <c r="AE208" i="62" s="1"/>
  <c r="Z208" i="62"/>
  <c r="AB208" i="62" s="1"/>
  <c r="W208" i="62"/>
  <c r="Y208" i="62" s="1"/>
  <c r="T208" i="62"/>
  <c r="V208" i="62" s="1"/>
  <c r="M208" i="62"/>
  <c r="P208" i="62" s="1"/>
  <c r="J208" i="62"/>
  <c r="I208" i="62"/>
  <c r="F208" i="62"/>
  <c r="B208" i="62"/>
  <c r="AF207" i="62"/>
  <c r="AH207" i="62" s="1"/>
  <c r="AC207" i="62"/>
  <c r="AE207" i="62" s="1"/>
  <c r="Z207" i="62"/>
  <c r="AB207" i="62" s="1"/>
  <c r="W207" i="62"/>
  <c r="Y207" i="62" s="1"/>
  <c r="T207" i="62"/>
  <c r="V207" i="62" s="1"/>
  <c r="M207" i="62"/>
  <c r="P207" i="62" s="1"/>
  <c r="J207" i="62"/>
  <c r="I207" i="62"/>
  <c r="F207" i="62"/>
  <c r="B207" i="62"/>
  <c r="AF206" i="62"/>
  <c r="AH206" i="62" s="1"/>
  <c r="AC206" i="62"/>
  <c r="AE206" i="62" s="1"/>
  <c r="Z206" i="62"/>
  <c r="AB206" i="62" s="1"/>
  <c r="W206" i="62"/>
  <c r="Y206" i="62" s="1"/>
  <c r="T206" i="62"/>
  <c r="V206" i="62" s="1"/>
  <c r="M206" i="62"/>
  <c r="P206" i="62" s="1"/>
  <c r="J206" i="62"/>
  <c r="I206" i="62"/>
  <c r="F206" i="62"/>
  <c r="B206" i="62"/>
  <c r="AF205" i="62"/>
  <c r="AH205" i="62" s="1"/>
  <c r="AC205" i="62"/>
  <c r="AE205" i="62" s="1"/>
  <c r="Z205" i="62"/>
  <c r="AB205" i="62" s="1"/>
  <c r="W205" i="62"/>
  <c r="Y205" i="62" s="1"/>
  <c r="T205" i="62"/>
  <c r="V205" i="62" s="1"/>
  <c r="M205" i="62"/>
  <c r="P205" i="62" s="1"/>
  <c r="J205" i="62"/>
  <c r="I205" i="62"/>
  <c r="F205" i="62"/>
  <c r="B205" i="62"/>
  <c r="AF204" i="62"/>
  <c r="AH204" i="62" s="1"/>
  <c r="AC204" i="62"/>
  <c r="AE204" i="62" s="1"/>
  <c r="Z204" i="62"/>
  <c r="AB204" i="62" s="1"/>
  <c r="W204" i="62"/>
  <c r="Y204" i="62" s="1"/>
  <c r="T204" i="62"/>
  <c r="V204" i="62" s="1"/>
  <c r="M204" i="62"/>
  <c r="P204" i="62" s="1"/>
  <c r="J204" i="62"/>
  <c r="I204" i="62"/>
  <c r="F204" i="62"/>
  <c r="B204" i="62"/>
  <c r="AF203" i="62"/>
  <c r="AH203" i="62" s="1"/>
  <c r="AC203" i="62"/>
  <c r="AE203" i="62" s="1"/>
  <c r="Z203" i="62"/>
  <c r="AB203" i="62" s="1"/>
  <c r="W203" i="62"/>
  <c r="Y203" i="62" s="1"/>
  <c r="T203" i="62"/>
  <c r="V203" i="62" s="1"/>
  <c r="M203" i="62"/>
  <c r="P203" i="62" s="1"/>
  <c r="J203" i="62"/>
  <c r="I203" i="62"/>
  <c r="F203" i="62"/>
  <c r="B203" i="62"/>
  <c r="AF202" i="62"/>
  <c r="AH202" i="62" s="1"/>
  <c r="AC202" i="62"/>
  <c r="AE202" i="62" s="1"/>
  <c r="Z202" i="62"/>
  <c r="AB202" i="62" s="1"/>
  <c r="W202" i="62"/>
  <c r="Y202" i="62" s="1"/>
  <c r="T202" i="62"/>
  <c r="V202" i="62" s="1"/>
  <c r="M202" i="62"/>
  <c r="P202" i="62" s="1"/>
  <c r="J202" i="62"/>
  <c r="I202" i="62"/>
  <c r="F202" i="62"/>
  <c r="B202" i="62"/>
  <c r="AF201" i="62"/>
  <c r="AH201" i="62" s="1"/>
  <c r="AC201" i="62"/>
  <c r="AE201" i="62" s="1"/>
  <c r="Z201" i="62"/>
  <c r="AB201" i="62" s="1"/>
  <c r="W201" i="62"/>
  <c r="Y201" i="62" s="1"/>
  <c r="T201" i="62"/>
  <c r="V201" i="62" s="1"/>
  <c r="M201" i="62"/>
  <c r="P201" i="62" s="1"/>
  <c r="J201" i="62"/>
  <c r="I201" i="62"/>
  <c r="F201" i="62"/>
  <c r="B201" i="62"/>
  <c r="AF200" i="62"/>
  <c r="AH200" i="62" s="1"/>
  <c r="AC200" i="62"/>
  <c r="AE200" i="62" s="1"/>
  <c r="Z200" i="62"/>
  <c r="AB200" i="62" s="1"/>
  <c r="W200" i="62"/>
  <c r="Y200" i="62" s="1"/>
  <c r="T200" i="62"/>
  <c r="V200" i="62" s="1"/>
  <c r="M200" i="62"/>
  <c r="P200" i="62" s="1"/>
  <c r="J200" i="62"/>
  <c r="I200" i="62"/>
  <c r="F200" i="62"/>
  <c r="B200" i="62"/>
  <c r="AF199" i="62"/>
  <c r="AH199" i="62" s="1"/>
  <c r="AC199" i="62"/>
  <c r="AE199" i="62" s="1"/>
  <c r="Z199" i="62"/>
  <c r="AB199" i="62" s="1"/>
  <c r="W199" i="62"/>
  <c r="Y199" i="62" s="1"/>
  <c r="T199" i="62"/>
  <c r="V199" i="62" s="1"/>
  <c r="M199" i="62"/>
  <c r="P199" i="62" s="1"/>
  <c r="J199" i="62"/>
  <c r="I199" i="62"/>
  <c r="F199" i="62"/>
  <c r="B199" i="62"/>
  <c r="AF198" i="62"/>
  <c r="AH198" i="62" s="1"/>
  <c r="AC198" i="62"/>
  <c r="AE198" i="62" s="1"/>
  <c r="Z198" i="62"/>
  <c r="AB198" i="62" s="1"/>
  <c r="W198" i="62"/>
  <c r="Y198" i="62" s="1"/>
  <c r="T198" i="62"/>
  <c r="V198" i="62" s="1"/>
  <c r="M198" i="62"/>
  <c r="P198" i="62" s="1"/>
  <c r="J198" i="62"/>
  <c r="I198" i="62"/>
  <c r="F198" i="62"/>
  <c r="B198" i="62"/>
  <c r="AF197" i="62"/>
  <c r="AH197" i="62" s="1"/>
  <c r="AC197" i="62"/>
  <c r="AE197" i="62" s="1"/>
  <c r="Z197" i="62"/>
  <c r="AB197" i="62" s="1"/>
  <c r="W197" i="62"/>
  <c r="Y197" i="62" s="1"/>
  <c r="T197" i="62"/>
  <c r="V197" i="62" s="1"/>
  <c r="M197" i="62"/>
  <c r="P197" i="62" s="1"/>
  <c r="J197" i="62"/>
  <c r="I197" i="62"/>
  <c r="F197" i="62"/>
  <c r="B197" i="62"/>
  <c r="AF196" i="62"/>
  <c r="AH196" i="62" s="1"/>
  <c r="AC196" i="62"/>
  <c r="AE196" i="62" s="1"/>
  <c r="Z196" i="62"/>
  <c r="AB196" i="62" s="1"/>
  <c r="W196" i="62"/>
  <c r="Y196" i="62" s="1"/>
  <c r="T196" i="62"/>
  <c r="V196" i="62" s="1"/>
  <c r="M196" i="62"/>
  <c r="P196" i="62" s="1"/>
  <c r="J196" i="62"/>
  <c r="I196" i="62"/>
  <c r="F196" i="62"/>
  <c r="B196" i="62"/>
  <c r="AF195" i="62"/>
  <c r="AH195" i="62" s="1"/>
  <c r="AC195" i="62"/>
  <c r="AE195" i="62" s="1"/>
  <c r="Z195" i="62"/>
  <c r="AB195" i="62" s="1"/>
  <c r="W195" i="62"/>
  <c r="Y195" i="62" s="1"/>
  <c r="T195" i="62"/>
  <c r="V195" i="62" s="1"/>
  <c r="M195" i="62"/>
  <c r="P195" i="62" s="1"/>
  <c r="J195" i="62"/>
  <c r="I195" i="62"/>
  <c r="F195" i="62"/>
  <c r="B195" i="62"/>
  <c r="AF194" i="62"/>
  <c r="AH194" i="62" s="1"/>
  <c r="AC194" i="62"/>
  <c r="AE194" i="62" s="1"/>
  <c r="Z194" i="62"/>
  <c r="AB194" i="62" s="1"/>
  <c r="W194" i="62"/>
  <c r="Y194" i="62" s="1"/>
  <c r="T194" i="62"/>
  <c r="V194" i="62" s="1"/>
  <c r="M194" i="62"/>
  <c r="P194" i="62" s="1"/>
  <c r="J194" i="62"/>
  <c r="I194" i="62"/>
  <c r="F194" i="62"/>
  <c r="B194" i="62"/>
  <c r="AF193" i="62"/>
  <c r="AH193" i="62" s="1"/>
  <c r="AC193" i="62"/>
  <c r="AE193" i="62" s="1"/>
  <c r="Z193" i="62"/>
  <c r="AB193" i="62" s="1"/>
  <c r="W193" i="62"/>
  <c r="Y193" i="62" s="1"/>
  <c r="T193" i="62"/>
  <c r="V193" i="62" s="1"/>
  <c r="M193" i="62"/>
  <c r="P193" i="62" s="1"/>
  <c r="J193" i="62"/>
  <c r="I193" i="62"/>
  <c r="F193" i="62"/>
  <c r="B193" i="62"/>
  <c r="AF192" i="62"/>
  <c r="AH192" i="62" s="1"/>
  <c r="AC192" i="62"/>
  <c r="AE192" i="62" s="1"/>
  <c r="Z192" i="62"/>
  <c r="AB192" i="62" s="1"/>
  <c r="W192" i="62"/>
  <c r="Y192" i="62" s="1"/>
  <c r="T192" i="62"/>
  <c r="V192" i="62" s="1"/>
  <c r="M192" i="62"/>
  <c r="P192" i="62" s="1"/>
  <c r="J192" i="62"/>
  <c r="I192" i="62"/>
  <c r="F192" i="62"/>
  <c r="B192" i="62"/>
  <c r="AF191" i="62"/>
  <c r="AH191" i="62" s="1"/>
  <c r="AC191" i="62"/>
  <c r="AE191" i="62" s="1"/>
  <c r="Z191" i="62"/>
  <c r="AB191" i="62" s="1"/>
  <c r="W191" i="62"/>
  <c r="Y191" i="62" s="1"/>
  <c r="T191" i="62"/>
  <c r="V191" i="62" s="1"/>
  <c r="M191" i="62"/>
  <c r="P191" i="62" s="1"/>
  <c r="J191" i="62"/>
  <c r="I191" i="62"/>
  <c r="F191" i="62"/>
  <c r="B191" i="62"/>
  <c r="AF190" i="62"/>
  <c r="AH190" i="62" s="1"/>
  <c r="AC190" i="62"/>
  <c r="AE190" i="62" s="1"/>
  <c r="Z190" i="62"/>
  <c r="AB190" i="62" s="1"/>
  <c r="W190" i="62"/>
  <c r="Y190" i="62" s="1"/>
  <c r="T190" i="62"/>
  <c r="V190" i="62" s="1"/>
  <c r="M190" i="62"/>
  <c r="P190" i="62" s="1"/>
  <c r="J190" i="62"/>
  <c r="I190" i="62"/>
  <c r="F190" i="62"/>
  <c r="B190" i="62"/>
  <c r="AF189" i="62"/>
  <c r="AH189" i="62" s="1"/>
  <c r="AC189" i="62"/>
  <c r="AE189" i="62" s="1"/>
  <c r="Z189" i="62"/>
  <c r="AB189" i="62" s="1"/>
  <c r="W189" i="62"/>
  <c r="Y189" i="62" s="1"/>
  <c r="T189" i="62"/>
  <c r="V189" i="62" s="1"/>
  <c r="M189" i="62"/>
  <c r="P189" i="62" s="1"/>
  <c r="J189" i="62"/>
  <c r="I189" i="62"/>
  <c r="F189" i="62"/>
  <c r="B189" i="62"/>
  <c r="AF188" i="62"/>
  <c r="AH188" i="62" s="1"/>
  <c r="AC188" i="62"/>
  <c r="AE188" i="62" s="1"/>
  <c r="Z188" i="62"/>
  <c r="AB188" i="62" s="1"/>
  <c r="W188" i="62"/>
  <c r="Y188" i="62" s="1"/>
  <c r="T188" i="62"/>
  <c r="V188" i="62" s="1"/>
  <c r="M188" i="62"/>
  <c r="P188" i="62" s="1"/>
  <c r="J188" i="62"/>
  <c r="I188" i="62"/>
  <c r="F188" i="62"/>
  <c r="B188" i="62"/>
  <c r="AF187" i="62"/>
  <c r="AH187" i="62" s="1"/>
  <c r="AC187" i="62"/>
  <c r="AE187" i="62" s="1"/>
  <c r="Z187" i="62"/>
  <c r="AB187" i="62" s="1"/>
  <c r="W187" i="62"/>
  <c r="Y187" i="62" s="1"/>
  <c r="T187" i="62"/>
  <c r="V187" i="62" s="1"/>
  <c r="M187" i="62"/>
  <c r="P187" i="62" s="1"/>
  <c r="J187" i="62"/>
  <c r="I187" i="62"/>
  <c r="F187" i="62"/>
  <c r="B187" i="62"/>
  <c r="AF186" i="62"/>
  <c r="AH186" i="62" s="1"/>
  <c r="AC186" i="62"/>
  <c r="AE186" i="62" s="1"/>
  <c r="Z186" i="62"/>
  <c r="AB186" i="62" s="1"/>
  <c r="W186" i="62"/>
  <c r="Y186" i="62" s="1"/>
  <c r="T186" i="62"/>
  <c r="V186" i="62" s="1"/>
  <c r="M186" i="62"/>
  <c r="P186" i="62" s="1"/>
  <c r="J186" i="62"/>
  <c r="I186" i="62"/>
  <c r="F186" i="62"/>
  <c r="B186" i="62"/>
  <c r="AF185" i="62"/>
  <c r="AH185" i="62" s="1"/>
  <c r="AC185" i="62"/>
  <c r="AE185" i="62" s="1"/>
  <c r="Z185" i="62"/>
  <c r="AB185" i="62" s="1"/>
  <c r="W185" i="62"/>
  <c r="Y185" i="62" s="1"/>
  <c r="T185" i="62"/>
  <c r="V185" i="62" s="1"/>
  <c r="M185" i="62"/>
  <c r="P185" i="62" s="1"/>
  <c r="J185" i="62"/>
  <c r="I185" i="62"/>
  <c r="F185" i="62"/>
  <c r="B185" i="62"/>
  <c r="AF184" i="62"/>
  <c r="AH184" i="62" s="1"/>
  <c r="AC184" i="62"/>
  <c r="AE184" i="62" s="1"/>
  <c r="Z184" i="62"/>
  <c r="AB184" i="62" s="1"/>
  <c r="W184" i="62"/>
  <c r="Y184" i="62" s="1"/>
  <c r="T184" i="62"/>
  <c r="V184" i="62" s="1"/>
  <c r="M184" i="62"/>
  <c r="P184" i="62" s="1"/>
  <c r="J184" i="62"/>
  <c r="I184" i="62"/>
  <c r="F184" i="62"/>
  <c r="B184" i="62"/>
  <c r="AF183" i="62"/>
  <c r="AH183" i="62" s="1"/>
  <c r="AC183" i="62"/>
  <c r="AE183" i="62" s="1"/>
  <c r="Z183" i="62"/>
  <c r="AB183" i="62" s="1"/>
  <c r="W183" i="62"/>
  <c r="Y183" i="62" s="1"/>
  <c r="T183" i="62"/>
  <c r="V183" i="62" s="1"/>
  <c r="M183" i="62"/>
  <c r="P183" i="62" s="1"/>
  <c r="J183" i="62"/>
  <c r="I183" i="62"/>
  <c r="F183" i="62"/>
  <c r="B183" i="62"/>
  <c r="AF182" i="62"/>
  <c r="AH182" i="62" s="1"/>
  <c r="AC182" i="62"/>
  <c r="AE182" i="62" s="1"/>
  <c r="Z182" i="62"/>
  <c r="AB182" i="62" s="1"/>
  <c r="W182" i="62"/>
  <c r="Y182" i="62" s="1"/>
  <c r="T182" i="62"/>
  <c r="V182" i="62" s="1"/>
  <c r="M182" i="62"/>
  <c r="P182" i="62" s="1"/>
  <c r="J182" i="62"/>
  <c r="I182" i="62"/>
  <c r="F182" i="62"/>
  <c r="B182" i="62"/>
  <c r="AF181" i="62"/>
  <c r="AH181" i="62" s="1"/>
  <c r="AC181" i="62"/>
  <c r="AE181" i="62" s="1"/>
  <c r="Z181" i="62"/>
  <c r="AB181" i="62" s="1"/>
  <c r="W181" i="62"/>
  <c r="Y181" i="62" s="1"/>
  <c r="T181" i="62"/>
  <c r="V181" i="62" s="1"/>
  <c r="M181" i="62"/>
  <c r="P181" i="62" s="1"/>
  <c r="J181" i="62"/>
  <c r="I181" i="62"/>
  <c r="F181" i="62"/>
  <c r="B181" i="62"/>
  <c r="AF180" i="62"/>
  <c r="AH180" i="62" s="1"/>
  <c r="AC180" i="62"/>
  <c r="AE180" i="62" s="1"/>
  <c r="Z180" i="62"/>
  <c r="AB180" i="62" s="1"/>
  <c r="W180" i="62"/>
  <c r="Y180" i="62" s="1"/>
  <c r="T180" i="62"/>
  <c r="V180" i="62" s="1"/>
  <c r="M180" i="62"/>
  <c r="P180" i="62" s="1"/>
  <c r="J180" i="62"/>
  <c r="I180" i="62"/>
  <c r="F180" i="62"/>
  <c r="B180" i="62"/>
  <c r="AF179" i="62"/>
  <c r="AH179" i="62" s="1"/>
  <c r="AC179" i="62"/>
  <c r="AE179" i="62" s="1"/>
  <c r="Z179" i="62"/>
  <c r="AB179" i="62" s="1"/>
  <c r="W179" i="62"/>
  <c r="Y179" i="62" s="1"/>
  <c r="T179" i="62"/>
  <c r="V179" i="62" s="1"/>
  <c r="M179" i="62"/>
  <c r="P179" i="62" s="1"/>
  <c r="J179" i="62"/>
  <c r="I179" i="62"/>
  <c r="F179" i="62"/>
  <c r="B179" i="62"/>
  <c r="AF178" i="62"/>
  <c r="AH178" i="62" s="1"/>
  <c r="AC178" i="62"/>
  <c r="AE178" i="62" s="1"/>
  <c r="Z178" i="62"/>
  <c r="AB178" i="62" s="1"/>
  <c r="W178" i="62"/>
  <c r="Y178" i="62" s="1"/>
  <c r="T178" i="62"/>
  <c r="V178" i="62" s="1"/>
  <c r="M178" i="62"/>
  <c r="P178" i="62" s="1"/>
  <c r="J178" i="62"/>
  <c r="I178" i="62"/>
  <c r="F178" i="62"/>
  <c r="B178" i="62"/>
  <c r="AF177" i="62"/>
  <c r="AH177" i="62" s="1"/>
  <c r="AC177" i="62"/>
  <c r="AE177" i="62" s="1"/>
  <c r="Z177" i="62"/>
  <c r="AB177" i="62" s="1"/>
  <c r="W177" i="62"/>
  <c r="Y177" i="62" s="1"/>
  <c r="T177" i="62"/>
  <c r="V177" i="62" s="1"/>
  <c r="M177" i="62"/>
  <c r="P177" i="62" s="1"/>
  <c r="J177" i="62"/>
  <c r="I177" i="62"/>
  <c r="F177" i="62"/>
  <c r="B177" i="62"/>
  <c r="AF176" i="62"/>
  <c r="AH176" i="62" s="1"/>
  <c r="AC176" i="62"/>
  <c r="AE176" i="62" s="1"/>
  <c r="Z176" i="62"/>
  <c r="AB176" i="62" s="1"/>
  <c r="W176" i="62"/>
  <c r="Y176" i="62" s="1"/>
  <c r="T176" i="62"/>
  <c r="V176" i="62" s="1"/>
  <c r="M176" i="62"/>
  <c r="P176" i="62" s="1"/>
  <c r="J176" i="62"/>
  <c r="I176" i="62"/>
  <c r="F176" i="62"/>
  <c r="B176" i="62"/>
  <c r="AF175" i="62"/>
  <c r="AH175" i="62" s="1"/>
  <c r="AC175" i="62"/>
  <c r="AE175" i="62" s="1"/>
  <c r="Z175" i="62"/>
  <c r="AB175" i="62" s="1"/>
  <c r="W175" i="62"/>
  <c r="Y175" i="62" s="1"/>
  <c r="T175" i="62"/>
  <c r="V175" i="62" s="1"/>
  <c r="M175" i="62"/>
  <c r="P175" i="62" s="1"/>
  <c r="J175" i="62"/>
  <c r="I175" i="62"/>
  <c r="F175" i="62"/>
  <c r="B175" i="62"/>
  <c r="AF174" i="62"/>
  <c r="AH174" i="62" s="1"/>
  <c r="AC174" i="62"/>
  <c r="AE174" i="62" s="1"/>
  <c r="Z174" i="62"/>
  <c r="AB174" i="62" s="1"/>
  <c r="W174" i="62"/>
  <c r="Y174" i="62" s="1"/>
  <c r="T174" i="62"/>
  <c r="V174" i="62" s="1"/>
  <c r="M174" i="62"/>
  <c r="P174" i="62" s="1"/>
  <c r="J174" i="62"/>
  <c r="I174" i="62"/>
  <c r="F174" i="62"/>
  <c r="B174" i="62"/>
  <c r="AF173" i="62"/>
  <c r="AH173" i="62" s="1"/>
  <c r="AC173" i="62"/>
  <c r="AE173" i="62" s="1"/>
  <c r="Z173" i="62"/>
  <c r="AB173" i="62" s="1"/>
  <c r="W173" i="62"/>
  <c r="Y173" i="62" s="1"/>
  <c r="T173" i="62"/>
  <c r="V173" i="62" s="1"/>
  <c r="M173" i="62"/>
  <c r="P173" i="62" s="1"/>
  <c r="J173" i="62"/>
  <c r="I173" i="62"/>
  <c r="F173" i="62"/>
  <c r="B173" i="62"/>
  <c r="AF172" i="62"/>
  <c r="AH172" i="62" s="1"/>
  <c r="AC172" i="62"/>
  <c r="AE172" i="62" s="1"/>
  <c r="Z172" i="62"/>
  <c r="AB172" i="62" s="1"/>
  <c r="W172" i="62"/>
  <c r="Y172" i="62" s="1"/>
  <c r="T172" i="62"/>
  <c r="V172" i="62" s="1"/>
  <c r="M172" i="62"/>
  <c r="P172" i="62" s="1"/>
  <c r="J172" i="62"/>
  <c r="I172" i="62"/>
  <c r="F172" i="62"/>
  <c r="B172" i="62"/>
  <c r="AF171" i="62"/>
  <c r="AH171" i="62" s="1"/>
  <c r="AC171" i="62"/>
  <c r="AE171" i="62" s="1"/>
  <c r="Z171" i="62"/>
  <c r="AB171" i="62" s="1"/>
  <c r="W171" i="62"/>
  <c r="Y171" i="62" s="1"/>
  <c r="T171" i="62"/>
  <c r="V171" i="62" s="1"/>
  <c r="M171" i="62"/>
  <c r="P171" i="62" s="1"/>
  <c r="J171" i="62"/>
  <c r="I171" i="62"/>
  <c r="F171" i="62"/>
  <c r="B171" i="62"/>
  <c r="AF170" i="62"/>
  <c r="AH170" i="62" s="1"/>
  <c r="AC170" i="62"/>
  <c r="AE170" i="62" s="1"/>
  <c r="Z170" i="62"/>
  <c r="AB170" i="62" s="1"/>
  <c r="W170" i="62"/>
  <c r="Y170" i="62" s="1"/>
  <c r="T170" i="62"/>
  <c r="V170" i="62" s="1"/>
  <c r="M170" i="62"/>
  <c r="P170" i="62" s="1"/>
  <c r="J170" i="62"/>
  <c r="I170" i="62"/>
  <c r="F170" i="62"/>
  <c r="B170" i="62"/>
  <c r="AF169" i="62"/>
  <c r="AH169" i="62" s="1"/>
  <c r="AC169" i="62"/>
  <c r="AE169" i="62" s="1"/>
  <c r="Z169" i="62"/>
  <c r="AB169" i="62" s="1"/>
  <c r="W169" i="62"/>
  <c r="Y169" i="62" s="1"/>
  <c r="T169" i="62"/>
  <c r="V169" i="62" s="1"/>
  <c r="M169" i="62"/>
  <c r="P169" i="62" s="1"/>
  <c r="J169" i="62"/>
  <c r="I169" i="62"/>
  <c r="F169" i="62"/>
  <c r="B169" i="62"/>
  <c r="AF168" i="62"/>
  <c r="AH168" i="62" s="1"/>
  <c r="AC168" i="62"/>
  <c r="AE168" i="62" s="1"/>
  <c r="Z168" i="62"/>
  <c r="AB168" i="62" s="1"/>
  <c r="W168" i="62"/>
  <c r="Y168" i="62" s="1"/>
  <c r="T168" i="62"/>
  <c r="V168" i="62" s="1"/>
  <c r="M168" i="62"/>
  <c r="P168" i="62" s="1"/>
  <c r="J168" i="62"/>
  <c r="I168" i="62"/>
  <c r="F168" i="62"/>
  <c r="B168" i="62"/>
  <c r="AF167" i="62"/>
  <c r="AH167" i="62" s="1"/>
  <c r="AC167" i="62"/>
  <c r="AE167" i="62" s="1"/>
  <c r="Z167" i="62"/>
  <c r="AB167" i="62" s="1"/>
  <c r="W167" i="62"/>
  <c r="Y167" i="62" s="1"/>
  <c r="T167" i="62"/>
  <c r="V167" i="62" s="1"/>
  <c r="M167" i="62"/>
  <c r="P167" i="62" s="1"/>
  <c r="J167" i="62"/>
  <c r="I167" i="62"/>
  <c r="F167" i="62"/>
  <c r="B167" i="62"/>
  <c r="AF166" i="62"/>
  <c r="AH166" i="62" s="1"/>
  <c r="AC166" i="62"/>
  <c r="AE166" i="62" s="1"/>
  <c r="Z166" i="62"/>
  <c r="AB166" i="62" s="1"/>
  <c r="W166" i="62"/>
  <c r="Y166" i="62" s="1"/>
  <c r="T166" i="62"/>
  <c r="V166" i="62" s="1"/>
  <c r="M166" i="62"/>
  <c r="P166" i="62" s="1"/>
  <c r="J166" i="62"/>
  <c r="I166" i="62"/>
  <c r="F166" i="62"/>
  <c r="B166" i="62"/>
  <c r="AF165" i="62"/>
  <c r="AH165" i="62" s="1"/>
  <c r="AC165" i="62"/>
  <c r="AE165" i="62" s="1"/>
  <c r="Z165" i="62"/>
  <c r="AB165" i="62" s="1"/>
  <c r="W165" i="62"/>
  <c r="Y165" i="62" s="1"/>
  <c r="T165" i="62"/>
  <c r="V165" i="62" s="1"/>
  <c r="M165" i="62"/>
  <c r="P165" i="62" s="1"/>
  <c r="J165" i="62"/>
  <c r="I165" i="62"/>
  <c r="F165" i="62"/>
  <c r="B165" i="62"/>
  <c r="AF164" i="62"/>
  <c r="AH164" i="62" s="1"/>
  <c r="AC164" i="62"/>
  <c r="AE164" i="62" s="1"/>
  <c r="Z164" i="62"/>
  <c r="AB164" i="62" s="1"/>
  <c r="W164" i="62"/>
  <c r="Y164" i="62" s="1"/>
  <c r="T164" i="62"/>
  <c r="V164" i="62" s="1"/>
  <c r="M164" i="62"/>
  <c r="P164" i="62" s="1"/>
  <c r="J164" i="62"/>
  <c r="I164" i="62"/>
  <c r="F164" i="62"/>
  <c r="B164" i="62"/>
  <c r="AF163" i="62"/>
  <c r="AH163" i="62" s="1"/>
  <c r="AC163" i="62"/>
  <c r="AE163" i="62" s="1"/>
  <c r="Z163" i="62"/>
  <c r="AB163" i="62" s="1"/>
  <c r="W163" i="62"/>
  <c r="Y163" i="62" s="1"/>
  <c r="T163" i="62"/>
  <c r="V163" i="62" s="1"/>
  <c r="M163" i="62"/>
  <c r="P163" i="62" s="1"/>
  <c r="J163" i="62"/>
  <c r="I163" i="62"/>
  <c r="F163" i="62"/>
  <c r="B163" i="62"/>
  <c r="AF162" i="62"/>
  <c r="AH162" i="62" s="1"/>
  <c r="AC162" i="62"/>
  <c r="AE162" i="62" s="1"/>
  <c r="Z162" i="62"/>
  <c r="AB162" i="62" s="1"/>
  <c r="W162" i="62"/>
  <c r="Y162" i="62" s="1"/>
  <c r="T162" i="62"/>
  <c r="V162" i="62" s="1"/>
  <c r="M162" i="62"/>
  <c r="P162" i="62" s="1"/>
  <c r="J162" i="62"/>
  <c r="I162" i="62"/>
  <c r="F162" i="62"/>
  <c r="B162" i="62"/>
  <c r="AF161" i="62"/>
  <c r="AH161" i="62" s="1"/>
  <c r="AC161" i="62"/>
  <c r="AE161" i="62" s="1"/>
  <c r="Z161" i="62"/>
  <c r="AB161" i="62" s="1"/>
  <c r="W161" i="62"/>
  <c r="Y161" i="62" s="1"/>
  <c r="T161" i="62"/>
  <c r="V161" i="62" s="1"/>
  <c r="M161" i="62"/>
  <c r="P161" i="62" s="1"/>
  <c r="J161" i="62"/>
  <c r="I161" i="62"/>
  <c r="F161" i="62"/>
  <c r="B161" i="62"/>
  <c r="AF160" i="62"/>
  <c r="AH160" i="62" s="1"/>
  <c r="AC160" i="62"/>
  <c r="AE160" i="62" s="1"/>
  <c r="Z160" i="62"/>
  <c r="AB160" i="62" s="1"/>
  <c r="W160" i="62"/>
  <c r="Y160" i="62" s="1"/>
  <c r="T160" i="62"/>
  <c r="V160" i="62" s="1"/>
  <c r="M160" i="62"/>
  <c r="P160" i="62" s="1"/>
  <c r="J160" i="62"/>
  <c r="I160" i="62"/>
  <c r="F160" i="62"/>
  <c r="B160" i="62"/>
  <c r="AF159" i="62"/>
  <c r="AH159" i="62" s="1"/>
  <c r="AC159" i="62"/>
  <c r="AE159" i="62" s="1"/>
  <c r="Z159" i="62"/>
  <c r="AB159" i="62" s="1"/>
  <c r="W159" i="62"/>
  <c r="Y159" i="62" s="1"/>
  <c r="T159" i="62"/>
  <c r="V159" i="62" s="1"/>
  <c r="M159" i="62"/>
  <c r="P159" i="62" s="1"/>
  <c r="J159" i="62"/>
  <c r="I159" i="62"/>
  <c r="F159" i="62"/>
  <c r="B159" i="62"/>
  <c r="AF158" i="62"/>
  <c r="AH158" i="62" s="1"/>
  <c r="AC158" i="62"/>
  <c r="AE158" i="62" s="1"/>
  <c r="Z158" i="62"/>
  <c r="AB158" i="62" s="1"/>
  <c r="W158" i="62"/>
  <c r="Y158" i="62" s="1"/>
  <c r="T158" i="62"/>
  <c r="V158" i="62" s="1"/>
  <c r="M158" i="62"/>
  <c r="P158" i="62" s="1"/>
  <c r="J158" i="62"/>
  <c r="I158" i="62"/>
  <c r="F158" i="62"/>
  <c r="B158" i="62"/>
  <c r="AF157" i="62"/>
  <c r="AH157" i="62" s="1"/>
  <c r="AC157" i="62"/>
  <c r="AE157" i="62" s="1"/>
  <c r="Z157" i="62"/>
  <c r="AB157" i="62" s="1"/>
  <c r="W157" i="62"/>
  <c r="Y157" i="62" s="1"/>
  <c r="T157" i="62"/>
  <c r="V157" i="62" s="1"/>
  <c r="M157" i="62"/>
  <c r="P157" i="62" s="1"/>
  <c r="J157" i="62"/>
  <c r="I157" i="62"/>
  <c r="F157" i="62"/>
  <c r="B157" i="62"/>
  <c r="AF156" i="62"/>
  <c r="AH156" i="62" s="1"/>
  <c r="AC156" i="62"/>
  <c r="AE156" i="62" s="1"/>
  <c r="Z156" i="62"/>
  <c r="AB156" i="62" s="1"/>
  <c r="W156" i="62"/>
  <c r="Y156" i="62" s="1"/>
  <c r="T156" i="62"/>
  <c r="V156" i="62" s="1"/>
  <c r="M156" i="62"/>
  <c r="P156" i="62" s="1"/>
  <c r="J156" i="62"/>
  <c r="I156" i="62"/>
  <c r="F156" i="62"/>
  <c r="B156" i="62"/>
  <c r="AF155" i="62"/>
  <c r="AH155" i="62" s="1"/>
  <c r="AC155" i="62"/>
  <c r="AE155" i="62" s="1"/>
  <c r="Z155" i="62"/>
  <c r="AB155" i="62" s="1"/>
  <c r="W155" i="62"/>
  <c r="Y155" i="62" s="1"/>
  <c r="T155" i="62"/>
  <c r="V155" i="62" s="1"/>
  <c r="M155" i="62"/>
  <c r="P155" i="62" s="1"/>
  <c r="J155" i="62"/>
  <c r="I155" i="62"/>
  <c r="F155" i="62"/>
  <c r="B155" i="62"/>
  <c r="AF154" i="62"/>
  <c r="AH154" i="62" s="1"/>
  <c r="AC154" i="62"/>
  <c r="AE154" i="62" s="1"/>
  <c r="Z154" i="62"/>
  <c r="AB154" i="62" s="1"/>
  <c r="W154" i="62"/>
  <c r="Y154" i="62" s="1"/>
  <c r="T154" i="62"/>
  <c r="V154" i="62" s="1"/>
  <c r="M154" i="62"/>
  <c r="P154" i="62" s="1"/>
  <c r="J154" i="62"/>
  <c r="I154" i="62"/>
  <c r="F154" i="62"/>
  <c r="B154" i="62"/>
  <c r="AF153" i="62"/>
  <c r="AH153" i="62" s="1"/>
  <c r="AC153" i="62"/>
  <c r="AE153" i="62" s="1"/>
  <c r="Z153" i="62"/>
  <c r="AB153" i="62" s="1"/>
  <c r="W153" i="62"/>
  <c r="Y153" i="62" s="1"/>
  <c r="T153" i="62"/>
  <c r="V153" i="62" s="1"/>
  <c r="M153" i="62"/>
  <c r="P153" i="62" s="1"/>
  <c r="J153" i="62"/>
  <c r="I153" i="62"/>
  <c r="F153" i="62"/>
  <c r="B153" i="62"/>
  <c r="AF152" i="62"/>
  <c r="AH152" i="62" s="1"/>
  <c r="AC152" i="62"/>
  <c r="AE152" i="62" s="1"/>
  <c r="Z152" i="62"/>
  <c r="AB152" i="62" s="1"/>
  <c r="W152" i="62"/>
  <c r="Y152" i="62" s="1"/>
  <c r="T152" i="62"/>
  <c r="V152" i="62" s="1"/>
  <c r="M152" i="62"/>
  <c r="P152" i="62" s="1"/>
  <c r="J152" i="62"/>
  <c r="I152" i="62"/>
  <c r="F152" i="62"/>
  <c r="B152" i="62"/>
  <c r="AF151" i="62"/>
  <c r="AH151" i="62" s="1"/>
  <c r="AC151" i="62"/>
  <c r="AE151" i="62" s="1"/>
  <c r="Z151" i="62"/>
  <c r="AB151" i="62" s="1"/>
  <c r="W151" i="62"/>
  <c r="Y151" i="62" s="1"/>
  <c r="T151" i="62"/>
  <c r="V151" i="62" s="1"/>
  <c r="M151" i="62"/>
  <c r="P151" i="62" s="1"/>
  <c r="J151" i="62"/>
  <c r="I151" i="62"/>
  <c r="F151" i="62"/>
  <c r="B151" i="62"/>
  <c r="AF150" i="62"/>
  <c r="AH150" i="62" s="1"/>
  <c r="AC150" i="62"/>
  <c r="AE150" i="62" s="1"/>
  <c r="Z150" i="62"/>
  <c r="AB150" i="62" s="1"/>
  <c r="W150" i="62"/>
  <c r="Y150" i="62" s="1"/>
  <c r="T150" i="62"/>
  <c r="V150" i="62" s="1"/>
  <c r="M150" i="62"/>
  <c r="P150" i="62" s="1"/>
  <c r="J150" i="62"/>
  <c r="I150" i="62"/>
  <c r="F150" i="62"/>
  <c r="B150" i="62"/>
  <c r="AF149" i="62"/>
  <c r="AH149" i="62" s="1"/>
  <c r="AC149" i="62"/>
  <c r="AE149" i="62" s="1"/>
  <c r="Z149" i="62"/>
  <c r="AB149" i="62" s="1"/>
  <c r="W149" i="62"/>
  <c r="Y149" i="62" s="1"/>
  <c r="T149" i="62"/>
  <c r="V149" i="62" s="1"/>
  <c r="M149" i="62"/>
  <c r="P149" i="62" s="1"/>
  <c r="J149" i="62"/>
  <c r="I149" i="62"/>
  <c r="F149" i="62"/>
  <c r="B149" i="62"/>
  <c r="AF148" i="62"/>
  <c r="AH148" i="62" s="1"/>
  <c r="AC148" i="62"/>
  <c r="AE148" i="62" s="1"/>
  <c r="Z148" i="62"/>
  <c r="AB148" i="62" s="1"/>
  <c r="W148" i="62"/>
  <c r="Y148" i="62" s="1"/>
  <c r="T148" i="62"/>
  <c r="V148" i="62" s="1"/>
  <c r="M148" i="62"/>
  <c r="P148" i="62" s="1"/>
  <c r="J148" i="62"/>
  <c r="I148" i="62"/>
  <c r="F148" i="62"/>
  <c r="B148" i="62"/>
  <c r="AF147" i="62"/>
  <c r="AH147" i="62" s="1"/>
  <c r="AC147" i="62"/>
  <c r="AE147" i="62" s="1"/>
  <c r="Z147" i="62"/>
  <c r="AB147" i="62" s="1"/>
  <c r="W147" i="62"/>
  <c r="Y147" i="62" s="1"/>
  <c r="T147" i="62"/>
  <c r="V147" i="62" s="1"/>
  <c r="M147" i="62"/>
  <c r="P147" i="62" s="1"/>
  <c r="J147" i="62"/>
  <c r="I147" i="62"/>
  <c r="F147" i="62"/>
  <c r="B147" i="62"/>
  <c r="AF146" i="62"/>
  <c r="AH146" i="62" s="1"/>
  <c r="AC146" i="62"/>
  <c r="AE146" i="62" s="1"/>
  <c r="Z146" i="62"/>
  <c r="AB146" i="62" s="1"/>
  <c r="W146" i="62"/>
  <c r="Y146" i="62" s="1"/>
  <c r="T146" i="62"/>
  <c r="V146" i="62" s="1"/>
  <c r="M146" i="62"/>
  <c r="P146" i="62" s="1"/>
  <c r="J146" i="62"/>
  <c r="I146" i="62"/>
  <c r="F146" i="62"/>
  <c r="B146" i="62"/>
  <c r="AF145" i="62"/>
  <c r="AH145" i="62" s="1"/>
  <c r="AC145" i="62"/>
  <c r="AE145" i="62" s="1"/>
  <c r="Z145" i="62"/>
  <c r="AB145" i="62" s="1"/>
  <c r="W145" i="62"/>
  <c r="Y145" i="62" s="1"/>
  <c r="T145" i="62"/>
  <c r="V145" i="62" s="1"/>
  <c r="M145" i="62"/>
  <c r="P145" i="62" s="1"/>
  <c r="J145" i="62"/>
  <c r="I145" i="62"/>
  <c r="F145" i="62"/>
  <c r="B145" i="62"/>
  <c r="AF144" i="62"/>
  <c r="AH144" i="62" s="1"/>
  <c r="AC144" i="62"/>
  <c r="AE144" i="62" s="1"/>
  <c r="Z144" i="62"/>
  <c r="AB144" i="62" s="1"/>
  <c r="W144" i="62"/>
  <c r="Y144" i="62" s="1"/>
  <c r="T144" i="62"/>
  <c r="V144" i="62" s="1"/>
  <c r="M144" i="62"/>
  <c r="P144" i="62" s="1"/>
  <c r="J144" i="62"/>
  <c r="I144" i="62"/>
  <c r="F144" i="62"/>
  <c r="B144" i="62"/>
  <c r="AF143" i="62"/>
  <c r="AH143" i="62" s="1"/>
  <c r="AC143" i="62"/>
  <c r="AE143" i="62" s="1"/>
  <c r="Z143" i="62"/>
  <c r="AB143" i="62" s="1"/>
  <c r="W143" i="62"/>
  <c r="Y143" i="62" s="1"/>
  <c r="T143" i="62"/>
  <c r="V143" i="62" s="1"/>
  <c r="M143" i="62"/>
  <c r="P143" i="62" s="1"/>
  <c r="J143" i="62"/>
  <c r="I143" i="62"/>
  <c r="F143" i="62"/>
  <c r="B143" i="62"/>
  <c r="AF142" i="62"/>
  <c r="AH142" i="62" s="1"/>
  <c r="AC142" i="62"/>
  <c r="AE142" i="62" s="1"/>
  <c r="Z142" i="62"/>
  <c r="AB142" i="62" s="1"/>
  <c r="W142" i="62"/>
  <c r="Y142" i="62" s="1"/>
  <c r="T142" i="62"/>
  <c r="V142" i="62" s="1"/>
  <c r="M142" i="62"/>
  <c r="P142" i="62" s="1"/>
  <c r="J142" i="62"/>
  <c r="I142" i="62"/>
  <c r="F142" i="62"/>
  <c r="B142" i="62"/>
  <c r="AF141" i="62"/>
  <c r="AH141" i="62" s="1"/>
  <c r="AC141" i="62"/>
  <c r="AE141" i="62" s="1"/>
  <c r="Z141" i="62"/>
  <c r="AB141" i="62" s="1"/>
  <c r="W141" i="62"/>
  <c r="Y141" i="62" s="1"/>
  <c r="T141" i="62"/>
  <c r="V141" i="62" s="1"/>
  <c r="M141" i="62"/>
  <c r="P141" i="62" s="1"/>
  <c r="J141" i="62"/>
  <c r="I141" i="62"/>
  <c r="F141" i="62"/>
  <c r="B141" i="62"/>
  <c r="AF140" i="62"/>
  <c r="AH140" i="62" s="1"/>
  <c r="AC140" i="62"/>
  <c r="AE140" i="62" s="1"/>
  <c r="Z140" i="62"/>
  <c r="AB140" i="62" s="1"/>
  <c r="W140" i="62"/>
  <c r="Y140" i="62" s="1"/>
  <c r="T140" i="62"/>
  <c r="V140" i="62" s="1"/>
  <c r="M140" i="62"/>
  <c r="P140" i="62" s="1"/>
  <c r="J140" i="62"/>
  <c r="I140" i="62"/>
  <c r="F140" i="62"/>
  <c r="B140" i="62"/>
  <c r="AF139" i="62"/>
  <c r="AH139" i="62" s="1"/>
  <c r="AC139" i="62"/>
  <c r="AE139" i="62" s="1"/>
  <c r="Z139" i="62"/>
  <c r="AB139" i="62" s="1"/>
  <c r="W139" i="62"/>
  <c r="Y139" i="62" s="1"/>
  <c r="T139" i="62"/>
  <c r="V139" i="62" s="1"/>
  <c r="M139" i="62"/>
  <c r="P139" i="62" s="1"/>
  <c r="J139" i="62"/>
  <c r="I139" i="62"/>
  <c r="F139" i="62"/>
  <c r="B139" i="62"/>
  <c r="AF138" i="62"/>
  <c r="AH138" i="62" s="1"/>
  <c r="AC138" i="62"/>
  <c r="AE138" i="62" s="1"/>
  <c r="Z138" i="62"/>
  <c r="AB138" i="62" s="1"/>
  <c r="W138" i="62"/>
  <c r="Y138" i="62" s="1"/>
  <c r="T138" i="62"/>
  <c r="V138" i="62" s="1"/>
  <c r="M138" i="62"/>
  <c r="P138" i="62" s="1"/>
  <c r="J138" i="62"/>
  <c r="I138" i="62"/>
  <c r="F138" i="62"/>
  <c r="B138" i="62"/>
  <c r="AF137" i="62"/>
  <c r="AH137" i="62" s="1"/>
  <c r="AC137" i="62"/>
  <c r="AE137" i="62" s="1"/>
  <c r="Z137" i="62"/>
  <c r="AB137" i="62" s="1"/>
  <c r="W137" i="62"/>
  <c r="Y137" i="62" s="1"/>
  <c r="T137" i="62"/>
  <c r="V137" i="62" s="1"/>
  <c r="M137" i="62"/>
  <c r="P137" i="62" s="1"/>
  <c r="J137" i="62"/>
  <c r="I137" i="62"/>
  <c r="F137" i="62"/>
  <c r="B137" i="62"/>
  <c r="AF136" i="62"/>
  <c r="AH136" i="62" s="1"/>
  <c r="AC136" i="62"/>
  <c r="AE136" i="62" s="1"/>
  <c r="Z136" i="62"/>
  <c r="AB136" i="62" s="1"/>
  <c r="W136" i="62"/>
  <c r="Y136" i="62" s="1"/>
  <c r="T136" i="62"/>
  <c r="V136" i="62" s="1"/>
  <c r="M136" i="62"/>
  <c r="P136" i="62" s="1"/>
  <c r="J136" i="62"/>
  <c r="I136" i="62"/>
  <c r="F136" i="62"/>
  <c r="B136" i="62"/>
  <c r="AF135" i="62"/>
  <c r="AH135" i="62" s="1"/>
  <c r="AC135" i="62"/>
  <c r="AE135" i="62" s="1"/>
  <c r="Z135" i="62"/>
  <c r="AB135" i="62" s="1"/>
  <c r="W135" i="62"/>
  <c r="Y135" i="62" s="1"/>
  <c r="T135" i="62"/>
  <c r="V135" i="62" s="1"/>
  <c r="M135" i="62"/>
  <c r="P135" i="62" s="1"/>
  <c r="J135" i="62"/>
  <c r="I135" i="62"/>
  <c r="F135" i="62"/>
  <c r="B135" i="62"/>
  <c r="AF134" i="62"/>
  <c r="AH134" i="62" s="1"/>
  <c r="AC134" i="62"/>
  <c r="AE134" i="62" s="1"/>
  <c r="Z134" i="62"/>
  <c r="AB134" i="62" s="1"/>
  <c r="W134" i="62"/>
  <c r="Y134" i="62" s="1"/>
  <c r="T134" i="62"/>
  <c r="V134" i="62" s="1"/>
  <c r="M134" i="62"/>
  <c r="P134" i="62" s="1"/>
  <c r="J134" i="62"/>
  <c r="I134" i="62"/>
  <c r="F134" i="62"/>
  <c r="B134" i="62"/>
  <c r="AF133" i="62"/>
  <c r="AH133" i="62" s="1"/>
  <c r="AC133" i="62"/>
  <c r="AE133" i="62" s="1"/>
  <c r="Z133" i="62"/>
  <c r="AB133" i="62" s="1"/>
  <c r="W133" i="62"/>
  <c r="Y133" i="62" s="1"/>
  <c r="T133" i="62"/>
  <c r="V133" i="62" s="1"/>
  <c r="M133" i="62"/>
  <c r="P133" i="62" s="1"/>
  <c r="J133" i="62"/>
  <c r="I133" i="62"/>
  <c r="F133" i="62"/>
  <c r="B133" i="62"/>
  <c r="AF132" i="62"/>
  <c r="AH132" i="62" s="1"/>
  <c r="AC132" i="62"/>
  <c r="AE132" i="62" s="1"/>
  <c r="Z132" i="62"/>
  <c r="AB132" i="62" s="1"/>
  <c r="W132" i="62"/>
  <c r="Y132" i="62" s="1"/>
  <c r="T132" i="62"/>
  <c r="V132" i="62" s="1"/>
  <c r="M132" i="62"/>
  <c r="P132" i="62" s="1"/>
  <c r="J132" i="62"/>
  <c r="I132" i="62"/>
  <c r="F132" i="62"/>
  <c r="B132" i="62"/>
  <c r="AF131" i="62"/>
  <c r="AH131" i="62" s="1"/>
  <c r="AC131" i="62"/>
  <c r="AE131" i="62" s="1"/>
  <c r="Z131" i="62"/>
  <c r="AB131" i="62" s="1"/>
  <c r="W131" i="62"/>
  <c r="Y131" i="62" s="1"/>
  <c r="T131" i="62"/>
  <c r="V131" i="62" s="1"/>
  <c r="M131" i="62"/>
  <c r="P131" i="62" s="1"/>
  <c r="J131" i="62"/>
  <c r="I131" i="62"/>
  <c r="F131" i="62"/>
  <c r="B131" i="62"/>
  <c r="AF130" i="62"/>
  <c r="AH130" i="62" s="1"/>
  <c r="AC130" i="62"/>
  <c r="AE130" i="62" s="1"/>
  <c r="Z130" i="62"/>
  <c r="AB130" i="62" s="1"/>
  <c r="W130" i="62"/>
  <c r="Y130" i="62" s="1"/>
  <c r="T130" i="62"/>
  <c r="V130" i="62" s="1"/>
  <c r="M130" i="62"/>
  <c r="P130" i="62" s="1"/>
  <c r="J130" i="62"/>
  <c r="I130" i="62"/>
  <c r="F130" i="62"/>
  <c r="B130" i="62"/>
  <c r="AF129" i="62"/>
  <c r="AH129" i="62" s="1"/>
  <c r="AC129" i="62"/>
  <c r="AE129" i="62" s="1"/>
  <c r="Z129" i="62"/>
  <c r="AB129" i="62" s="1"/>
  <c r="W129" i="62"/>
  <c r="Y129" i="62" s="1"/>
  <c r="T129" i="62"/>
  <c r="V129" i="62" s="1"/>
  <c r="M129" i="62"/>
  <c r="P129" i="62" s="1"/>
  <c r="J129" i="62"/>
  <c r="I129" i="62"/>
  <c r="F129" i="62"/>
  <c r="B129" i="62"/>
  <c r="AF128" i="62"/>
  <c r="AH128" i="62" s="1"/>
  <c r="AC128" i="62"/>
  <c r="AE128" i="62" s="1"/>
  <c r="Z128" i="62"/>
  <c r="AB128" i="62" s="1"/>
  <c r="W128" i="62"/>
  <c r="Y128" i="62" s="1"/>
  <c r="T128" i="62"/>
  <c r="V128" i="62" s="1"/>
  <c r="M128" i="62"/>
  <c r="P128" i="62" s="1"/>
  <c r="J128" i="62"/>
  <c r="I128" i="62"/>
  <c r="F128" i="62"/>
  <c r="B128" i="62"/>
  <c r="AF127" i="62"/>
  <c r="AH127" i="62" s="1"/>
  <c r="AC127" i="62"/>
  <c r="AE127" i="62" s="1"/>
  <c r="Z127" i="62"/>
  <c r="AB127" i="62" s="1"/>
  <c r="W127" i="62"/>
  <c r="Y127" i="62" s="1"/>
  <c r="T127" i="62"/>
  <c r="V127" i="62" s="1"/>
  <c r="M127" i="62"/>
  <c r="P127" i="62" s="1"/>
  <c r="J127" i="62"/>
  <c r="I127" i="62"/>
  <c r="F127" i="62"/>
  <c r="B127" i="62"/>
  <c r="AF126" i="62"/>
  <c r="AH126" i="62" s="1"/>
  <c r="AC126" i="62"/>
  <c r="AE126" i="62" s="1"/>
  <c r="Z126" i="62"/>
  <c r="AB126" i="62" s="1"/>
  <c r="W126" i="62"/>
  <c r="Y126" i="62" s="1"/>
  <c r="T126" i="62"/>
  <c r="V126" i="62" s="1"/>
  <c r="M126" i="62"/>
  <c r="P126" i="62" s="1"/>
  <c r="J126" i="62"/>
  <c r="I126" i="62"/>
  <c r="F126" i="62"/>
  <c r="B126" i="62"/>
  <c r="AF125" i="62"/>
  <c r="AH125" i="62" s="1"/>
  <c r="AC125" i="62"/>
  <c r="AE125" i="62" s="1"/>
  <c r="Z125" i="62"/>
  <c r="AB125" i="62" s="1"/>
  <c r="W125" i="62"/>
  <c r="Y125" i="62" s="1"/>
  <c r="T125" i="62"/>
  <c r="V125" i="62" s="1"/>
  <c r="M125" i="62"/>
  <c r="P125" i="62" s="1"/>
  <c r="J125" i="62"/>
  <c r="I125" i="62"/>
  <c r="F125" i="62"/>
  <c r="B125" i="62"/>
  <c r="AF124" i="62"/>
  <c r="AH124" i="62" s="1"/>
  <c r="AC124" i="62"/>
  <c r="AE124" i="62" s="1"/>
  <c r="Z124" i="62"/>
  <c r="AB124" i="62" s="1"/>
  <c r="W124" i="62"/>
  <c r="Y124" i="62" s="1"/>
  <c r="T124" i="62"/>
  <c r="V124" i="62" s="1"/>
  <c r="M124" i="62"/>
  <c r="P124" i="62" s="1"/>
  <c r="J124" i="62"/>
  <c r="I124" i="62"/>
  <c r="F124" i="62"/>
  <c r="B124" i="62"/>
  <c r="AF123" i="62"/>
  <c r="AH123" i="62" s="1"/>
  <c r="AC123" i="62"/>
  <c r="AE123" i="62" s="1"/>
  <c r="Z123" i="62"/>
  <c r="AB123" i="62" s="1"/>
  <c r="W123" i="62"/>
  <c r="Y123" i="62" s="1"/>
  <c r="T123" i="62"/>
  <c r="V123" i="62" s="1"/>
  <c r="M123" i="62"/>
  <c r="P123" i="62" s="1"/>
  <c r="J123" i="62"/>
  <c r="I123" i="62"/>
  <c r="F123" i="62"/>
  <c r="B123" i="62"/>
  <c r="AF122" i="62"/>
  <c r="AH122" i="62" s="1"/>
  <c r="AC122" i="62"/>
  <c r="AE122" i="62" s="1"/>
  <c r="Z122" i="62"/>
  <c r="AB122" i="62" s="1"/>
  <c r="W122" i="62"/>
  <c r="Y122" i="62" s="1"/>
  <c r="T122" i="62"/>
  <c r="V122" i="62" s="1"/>
  <c r="M122" i="62"/>
  <c r="P122" i="62" s="1"/>
  <c r="J122" i="62"/>
  <c r="I122" i="62"/>
  <c r="F122" i="62"/>
  <c r="B122" i="62"/>
  <c r="AF121" i="62"/>
  <c r="AH121" i="62" s="1"/>
  <c r="AC121" i="62"/>
  <c r="AE121" i="62" s="1"/>
  <c r="Z121" i="62"/>
  <c r="AB121" i="62" s="1"/>
  <c r="W121" i="62"/>
  <c r="Y121" i="62" s="1"/>
  <c r="T121" i="62"/>
  <c r="V121" i="62" s="1"/>
  <c r="M121" i="62"/>
  <c r="P121" i="62" s="1"/>
  <c r="J121" i="62"/>
  <c r="I121" i="62"/>
  <c r="F121" i="62"/>
  <c r="B121" i="62"/>
  <c r="AF120" i="62"/>
  <c r="AH120" i="62" s="1"/>
  <c r="AC120" i="62"/>
  <c r="AE120" i="62" s="1"/>
  <c r="Z120" i="62"/>
  <c r="AB120" i="62" s="1"/>
  <c r="W120" i="62"/>
  <c r="Y120" i="62" s="1"/>
  <c r="T120" i="62"/>
  <c r="V120" i="62" s="1"/>
  <c r="M120" i="62"/>
  <c r="P120" i="62" s="1"/>
  <c r="J120" i="62"/>
  <c r="I120" i="62"/>
  <c r="F120" i="62"/>
  <c r="B120" i="62"/>
  <c r="AF119" i="62"/>
  <c r="AH119" i="62" s="1"/>
  <c r="AC119" i="62"/>
  <c r="AE119" i="62" s="1"/>
  <c r="Z119" i="62"/>
  <c r="AB119" i="62" s="1"/>
  <c r="W119" i="62"/>
  <c r="Y119" i="62" s="1"/>
  <c r="T119" i="62"/>
  <c r="V119" i="62" s="1"/>
  <c r="M119" i="62"/>
  <c r="P119" i="62" s="1"/>
  <c r="J119" i="62"/>
  <c r="I119" i="62"/>
  <c r="F119" i="62"/>
  <c r="B119" i="62"/>
  <c r="AF118" i="62"/>
  <c r="AH118" i="62" s="1"/>
  <c r="AC118" i="62"/>
  <c r="AE118" i="62" s="1"/>
  <c r="Z118" i="62"/>
  <c r="AB118" i="62" s="1"/>
  <c r="W118" i="62"/>
  <c r="Y118" i="62" s="1"/>
  <c r="T118" i="62"/>
  <c r="V118" i="62" s="1"/>
  <c r="M118" i="62"/>
  <c r="P118" i="62" s="1"/>
  <c r="J118" i="62"/>
  <c r="I118" i="62"/>
  <c r="F118" i="62"/>
  <c r="B118" i="62"/>
  <c r="AF117" i="62"/>
  <c r="AH117" i="62" s="1"/>
  <c r="AC117" i="62"/>
  <c r="AE117" i="62" s="1"/>
  <c r="Z117" i="62"/>
  <c r="AB117" i="62" s="1"/>
  <c r="W117" i="62"/>
  <c r="Y117" i="62" s="1"/>
  <c r="T117" i="62"/>
  <c r="V117" i="62" s="1"/>
  <c r="M117" i="62"/>
  <c r="P117" i="62" s="1"/>
  <c r="J117" i="62"/>
  <c r="I117" i="62"/>
  <c r="F117" i="62"/>
  <c r="B117" i="62"/>
  <c r="AF116" i="62"/>
  <c r="AH116" i="62" s="1"/>
  <c r="AC116" i="62"/>
  <c r="AE116" i="62" s="1"/>
  <c r="Z116" i="62"/>
  <c r="AB116" i="62" s="1"/>
  <c r="W116" i="62"/>
  <c r="Y116" i="62" s="1"/>
  <c r="T116" i="62"/>
  <c r="V116" i="62" s="1"/>
  <c r="M116" i="62"/>
  <c r="P116" i="62" s="1"/>
  <c r="J116" i="62"/>
  <c r="I116" i="62"/>
  <c r="F116" i="62"/>
  <c r="B116" i="62"/>
  <c r="AF115" i="62"/>
  <c r="AH115" i="62" s="1"/>
  <c r="AC115" i="62"/>
  <c r="AE115" i="62" s="1"/>
  <c r="Z115" i="62"/>
  <c r="AB115" i="62" s="1"/>
  <c r="W115" i="62"/>
  <c r="Y115" i="62" s="1"/>
  <c r="T115" i="62"/>
  <c r="V115" i="62" s="1"/>
  <c r="M115" i="62"/>
  <c r="P115" i="62" s="1"/>
  <c r="J115" i="62"/>
  <c r="I115" i="62"/>
  <c r="F115" i="62"/>
  <c r="B115" i="62"/>
  <c r="AF114" i="62"/>
  <c r="AH114" i="62" s="1"/>
  <c r="AC114" i="62"/>
  <c r="AE114" i="62" s="1"/>
  <c r="Z114" i="62"/>
  <c r="AB114" i="62" s="1"/>
  <c r="W114" i="62"/>
  <c r="Y114" i="62" s="1"/>
  <c r="T114" i="62"/>
  <c r="V114" i="62" s="1"/>
  <c r="M114" i="62"/>
  <c r="P114" i="62" s="1"/>
  <c r="J114" i="62"/>
  <c r="I114" i="62"/>
  <c r="F114" i="62"/>
  <c r="B114" i="62"/>
  <c r="AF113" i="62"/>
  <c r="AH113" i="62" s="1"/>
  <c r="AC113" i="62"/>
  <c r="AE113" i="62" s="1"/>
  <c r="Z113" i="62"/>
  <c r="AB113" i="62" s="1"/>
  <c r="W113" i="62"/>
  <c r="Y113" i="62" s="1"/>
  <c r="T113" i="62"/>
  <c r="V113" i="62" s="1"/>
  <c r="M113" i="62"/>
  <c r="P113" i="62" s="1"/>
  <c r="J113" i="62"/>
  <c r="I113" i="62"/>
  <c r="F113" i="62"/>
  <c r="B113" i="62"/>
  <c r="AF112" i="62"/>
  <c r="AH112" i="62" s="1"/>
  <c r="AC112" i="62"/>
  <c r="AE112" i="62" s="1"/>
  <c r="Z112" i="62"/>
  <c r="AB112" i="62" s="1"/>
  <c r="W112" i="62"/>
  <c r="Y112" i="62" s="1"/>
  <c r="T112" i="62"/>
  <c r="V112" i="62" s="1"/>
  <c r="M112" i="62"/>
  <c r="P112" i="62" s="1"/>
  <c r="J112" i="62"/>
  <c r="I112" i="62"/>
  <c r="F112" i="62"/>
  <c r="B112" i="62"/>
  <c r="AF111" i="62"/>
  <c r="AH111" i="62" s="1"/>
  <c r="AC111" i="62"/>
  <c r="AE111" i="62" s="1"/>
  <c r="Z111" i="62"/>
  <c r="AB111" i="62" s="1"/>
  <c r="W111" i="62"/>
  <c r="Y111" i="62" s="1"/>
  <c r="T111" i="62"/>
  <c r="V111" i="62" s="1"/>
  <c r="M111" i="62"/>
  <c r="P111" i="62" s="1"/>
  <c r="J111" i="62"/>
  <c r="I111" i="62"/>
  <c r="F111" i="62"/>
  <c r="B111" i="62"/>
  <c r="AF110" i="62"/>
  <c r="AH110" i="62" s="1"/>
  <c r="AC110" i="62"/>
  <c r="AE110" i="62" s="1"/>
  <c r="Z110" i="62"/>
  <c r="AB110" i="62" s="1"/>
  <c r="W110" i="62"/>
  <c r="Y110" i="62" s="1"/>
  <c r="T110" i="62"/>
  <c r="V110" i="62" s="1"/>
  <c r="M110" i="62"/>
  <c r="P110" i="62" s="1"/>
  <c r="J110" i="62"/>
  <c r="I110" i="62"/>
  <c r="F110" i="62"/>
  <c r="B110" i="62"/>
  <c r="AF109" i="62"/>
  <c r="AH109" i="62" s="1"/>
  <c r="AC109" i="62"/>
  <c r="AE109" i="62" s="1"/>
  <c r="Z109" i="62"/>
  <c r="AB109" i="62" s="1"/>
  <c r="W109" i="62"/>
  <c r="Y109" i="62" s="1"/>
  <c r="T109" i="62"/>
  <c r="V109" i="62" s="1"/>
  <c r="M109" i="62"/>
  <c r="P109" i="62" s="1"/>
  <c r="J109" i="62"/>
  <c r="I109" i="62"/>
  <c r="F109" i="62"/>
  <c r="B109" i="62"/>
  <c r="AF108" i="62"/>
  <c r="AH108" i="62" s="1"/>
  <c r="AC108" i="62"/>
  <c r="AE108" i="62" s="1"/>
  <c r="Z108" i="62"/>
  <c r="AB108" i="62" s="1"/>
  <c r="W108" i="62"/>
  <c r="Y108" i="62" s="1"/>
  <c r="T108" i="62"/>
  <c r="V108" i="62" s="1"/>
  <c r="M108" i="62"/>
  <c r="P108" i="62" s="1"/>
  <c r="J108" i="62"/>
  <c r="I108" i="62"/>
  <c r="F108" i="62"/>
  <c r="B108" i="62"/>
  <c r="AF107" i="62"/>
  <c r="AH107" i="62" s="1"/>
  <c r="AC107" i="62"/>
  <c r="AE107" i="62" s="1"/>
  <c r="Z107" i="62"/>
  <c r="AB107" i="62" s="1"/>
  <c r="W107" i="62"/>
  <c r="Y107" i="62" s="1"/>
  <c r="T107" i="62"/>
  <c r="V107" i="62" s="1"/>
  <c r="M107" i="62"/>
  <c r="P107" i="62" s="1"/>
  <c r="J107" i="62"/>
  <c r="I107" i="62"/>
  <c r="F107" i="62"/>
  <c r="B107" i="62"/>
  <c r="AF106" i="62"/>
  <c r="AH106" i="62" s="1"/>
  <c r="AC106" i="62"/>
  <c r="AE106" i="62" s="1"/>
  <c r="Z106" i="62"/>
  <c r="AB106" i="62" s="1"/>
  <c r="W106" i="62"/>
  <c r="Y106" i="62" s="1"/>
  <c r="T106" i="62"/>
  <c r="V106" i="62" s="1"/>
  <c r="M106" i="62"/>
  <c r="P106" i="62" s="1"/>
  <c r="J106" i="62"/>
  <c r="I106" i="62"/>
  <c r="F106" i="62"/>
  <c r="B106" i="62"/>
  <c r="AF105" i="62"/>
  <c r="AH105" i="62" s="1"/>
  <c r="AC105" i="62"/>
  <c r="AE105" i="62" s="1"/>
  <c r="Z105" i="62"/>
  <c r="AB105" i="62" s="1"/>
  <c r="W105" i="62"/>
  <c r="Y105" i="62" s="1"/>
  <c r="T105" i="62"/>
  <c r="V105" i="62" s="1"/>
  <c r="M105" i="62"/>
  <c r="P105" i="62" s="1"/>
  <c r="J105" i="62"/>
  <c r="I105" i="62"/>
  <c r="F105" i="62"/>
  <c r="B105" i="62"/>
  <c r="AF104" i="62"/>
  <c r="AH104" i="62" s="1"/>
  <c r="AC104" i="62"/>
  <c r="AE104" i="62" s="1"/>
  <c r="Z104" i="62"/>
  <c r="AB104" i="62" s="1"/>
  <c r="W104" i="62"/>
  <c r="Y104" i="62" s="1"/>
  <c r="T104" i="62"/>
  <c r="V104" i="62" s="1"/>
  <c r="M104" i="62"/>
  <c r="P104" i="62" s="1"/>
  <c r="J104" i="62"/>
  <c r="I104" i="62"/>
  <c r="F104" i="62"/>
  <c r="B104" i="62"/>
  <c r="AF103" i="62"/>
  <c r="AH103" i="62" s="1"/>
  <c r="AC103" i="62"/>
  <c r="AE103" i="62" s="1"/>
  <c r="Z103" i="62"/>
  <c r="AB103" i="62" s="1"/>
  <c r="W103" i="62"/>
  <c r="Y103" i="62" s="1"/>
  <c r="T103" i="62"/>
  <c r="V103" i="62" s="1"/>
  <c r="M103" i="62"/>
  <c r="P103" i="62" s="1"/>
  <c r="J103" i="62"/>
  <c r="I103" i="62"/>
  <c r="F103" i="62"/>
  <c r="B103" i="62"/>
  <c r="AF102" i="62"/>
  <c r="AH102" i="62" s="1"/>
  <c r="AC102" i="62"/>
  <c r="AE102" i="62" s="1"/>
  <c r="Z102" i="62"/>
  <c r="AB102" i="62" s="1"/>
  <c r="W102" i="62"/>
  <c r="Y102" i="62" s="1"/>
  <c r="T102" i="62"/>
  <c r="V102" i="62" s="1"/>
  <c r="M102" i="62"/>
  <c r="P102" i="62" s="1"/>
  <c r="J102" i="62"/>
  <c r="I102" i="62"/>
  <c r="F102" i="62"/>
  <c r="B102" i="62"/>
  <c r="AF101" i="62"/>
  <c r="AH101" i="62" s="1"/>
  <c r="AC101" i="62"/>
  <c r="AE101" i="62" s="1"/>
  <c r="Z101" i="62"/>
  <c r="AB101" i="62" s="1"/>
  <c r="W101" i="62"/>
  <c r="Y101" i="62" s="1"/>
  <c r="T101" i="62"/>
  <c r="V101" i="62" s="1"/>
  <c r="M101" i="62"/>
  <c r="P101" i="62" s="1"/>
  <c r="J101" i="62"/>
  <c r="I101" i="62"/>
  <c r="F101" i="62"/>
  <c r="B101" i="62"/>
  <c r="AF100" i="62"/>
  <c r="AH100" i="62" s="1"/>
  <c r="AC100" i="62"/>
  <c r="AE100" i="62" s="1"/>
  <c r="Z100" i="62"/>
  <c r="AB100" i="62" s="1"/>
  <c r="W100" i="62"/>
  <c r="Y100" i="62" s="1"/>
  <c r="T100" i="62"/>
  <c r="V100" i="62" s="1"/>
  <c r="M100" i="62"/>
  <c r="P100" i="62" s="1"/>
  <c r="J100" i="62"/>
  <c r="I100" i="62"/>
  <c r="F100" i="62"/>
  <c r="B100" i="62"/>
  <c r="AF99" i="62"/>
  <c r="AH99" i="62" s="1"/>
  <c r="AC99" i="62"/>
  <c r="AE99" i="62" s="1"/>
  <c r="Z99" i="62"/>
  <c r="AB99" i="62" s="1"/>
  <c r="W99" i="62"/>
  <c r="Y99" i="62" s="1"/>
  <c r="T99" i="62"/>
  <c r="V99" i="62" s="1"/>
  <c r="M99" i="62"/>
  <c r="P99" i="62" s="1"/>
  <c r="J99" i="62"/>
  <c r="I99" i="62"/>
  <c r="F99" i="62"/>
  <c r="B99" i="62"/>
  <c r="AF98" i="62"/>
  <c r="AH98" i="62" s="1"/>
  <c r="AC98" i="62"/>
  <c r="AE98" i="62" s="1"/>
  <c r="Z98" i="62"/>
  <c r="AB98" i="62" s="1"/>
  <c r="W98" i="62"/>
  <c r="Y98" i="62" s="1"/>
  <c r="T98" i="62"/>
  <c r="V98" i="62" s="1"/>
  <c r="M98" i="62"/>
  <c r="P98" i="62" s="1"/>
  <c r="J98" i="62"/>
  <c r="I98" i="62"/>
  <c r="F98" i="62"/>
  <c r="B98" i="62"/>
  <c r="AF97" i="62"/>
  <c r="AH97" i="62" s="1"/>
  <c r="AC97" i="62"/>
  <c r="AE97" i="62" s="1"/>
  <c r="Z97" i="62"/>
  <c r="AB97" i="62" s="1"/>
  <c r="W97" i="62"/>
  <c r="Y97" i="62" s="1"/>
  <c r="T97" i="62"/>
  <c r="V97" i="62" s="1"/>
  <c r="M97" i="62"/>
  <c r="P97" i="62" s="1"/>
  <c r="J97" i="62"/>
  <c r="I97" i="62"/>
  <c r="F97" i="62"/>
  <c r="B97" i="62"/>
  <c r="AF96" i="62"/>
  <c r="AH96" i="62" s="1"/>
  <c r="AC96" i="62"/>
  <c r="AE96" i="62" s="1"/>
  <c r="Z96" i="62"/>
  <c r="AB96" i="62" s="1"/>
  <c r="W96" i="62"/>
  <c r="Y96" i="62" s="1"/>
  <c r="T96" i="62"/>
  <c r="V96" i="62" s="1"/>
  <c r="M96" i="62"/>
  <c r="P96" i="62" s="1"/>
  <c r="J96" i="62"/>
  <c r="I96" i="62"/>
  <c r="F96" i="62"/>
  <c r="B96" i="62"/>
  <c r="AF95" i="62"/>
  <c r="AH95" i="62" s="1"/>
  <c r="AC95" i="62"/>
  <c r="AE95" i="62" s="1"/>
  <c r="Z95" i="62"/>
  <c r="AB95" i="62" s="1"/>
  <c r="W95" i="62"/>
  <c r="Y95" i="62" s="1"/>
  <c r="T95" i="62"/>
  <c r="V95" i="62" s="1"/>
  <c r="M95" i="62"/>
  <c r="P95" i="62" s="1"/>
  <c r="J95" i="62"/>
  <c r="I95" i="62"/>
  <c r="F95" i="62"/>
  <c r="B95" i="62"/>
  <c r="AF94" i="62"/>
  <c r="AH94" i="62" s="1"/>
  <c r="AC94" i="62"/>
  <c r="AE94" i="62" s="1"/>
  <c r="Z94" i="62"/>
  <c r="AB94" i="62" s="1"/>
  <c r="W94" i="62"/>
  <c r="Y94" i="62" s="1"/>
  <c r="T94" i="62"/>
  <c r="V94" i="62" s="1"/>
  <c r="M94" i="62"/>
  <c r="P94" i="62" s="1"/>
  <c r="J94" i="62"/>
  <c r="I94" i="62"/>
  <c r="F94" i="62"/>
  <c r="B94" i="62"/>
  <c r="AF93" i="62"/>
  <c r="AH93" i="62" s="1"/>
  <c r="AC93" i="62"/>
  <c r="AE93" i="62" s="1"/>
  <c r="Z93" i="62"/>
  <c r="AB93" i="62" s="1"/>
  <c r="W93" i="62"/>
  <c r="Y93" i="62" s="1"/>
  <c r="T93" i="62"/>
  <c r="V93" i="62" s="1"/>
  <c r="M93" i="62"/>
  <c r="P93" i="62" s="1"/>
  <c r="J93" i="62"/>
  <c r="I93" i="62"/>
  <c r="F93" i="62"/>
  <c r="B93" i="62"/>
  <c r="AF92" i="62"/>
  <c r="AH92" i="62" s="1"/>
  <c r="AC92" i="62"/>
  <c r="AE92" i="62" s="1"/>
  <c r="Z92" i="62"/>
  <c r="AB92" i="62" s="1"/>
  <c r="W92" i="62"/>
  <c r="Y92" i="62" s="1"/>
  <c r="T92" i="62"/>
  <c r="V92" i="62" s="1"/>
  <c r="M92" i="62"/>
  <c r="P92" i="62" s="1"/>
  <c r="J92" i="62"/>
  <c r="I92" i="62"/>
  <c r="F92" i="62"/>
  <c r="B92" i="62"/>
  <c r="AF91" i="62"/>
  <c r="AH91" i="62" s="1"/>
  <c r="AC91" i="62"/>
  <c r="AE91" i="62" s="1"/>
  <c r="Z91" i="62"/>
  <c r="AB91" i="62" s="1"/>
  <c r="W91" i="62"/>
  <c r="Y91" i="62" s="1"/>
  <c r="T91" i="62"/>
  <c r="V91" i="62" s="1"/>
  <c r="M91" i="62"/>
  <c r="P91" i="62" s="1"/>
  <c r="J91" i="62"/>
  <c r="I91" i="62"/>
  <c r="F91" i="62"/>
  <c r="B91" i="62"/>
  <c r="AF90" i="62"/>
  <c r="AH90" i="62" s="1"/>
  <c r="AC90" i="62"/>
  <c r="AE90" i="62" s="1"/>
  <c r="Z90" i="62"/>
  <c r="AB90" i="62" s="1"/>
  <c r="W90" i="62"/>
  <c r="Y90" i="62" s="1"/>
  <c r="T90" i="62"/>
  <c r="V90" i="62" s="1"/>
  <c r="M90" i="62"/>
  <c r="P90" i="62" s="1"/>
  <c r="J90" i="62"/>
  <c r="I90" i="62"/>
  <c r="F90" i="62"/>
  <c r="B90" i="62"/>
  <c r="AF89" i="62"/>
  <c r="AH89" i="62" s="1"/>
  <c r="AC89" i="62"/>
  <c r="AE89" i="62" s="1"/>
  <c r="Z89" i="62"/>
  <c r="AB89" i="62" s="1"/>
  <c r="W89" i="62"/>
  <c r="Y89" i="62" s="1"/>
  <c r="T89" i="62"/>
  <c r="V89" i="62" s="1"/>
  <c r="M89" i="62"/>
  <c r="P89" i="62" s="1"/>
  <c r="J89" i="62"/>
  <c r="I89" i="62"/>
  <c r="F89" i="62"/>
  <c r="B89" i="62"/>
  <c r="AF88" i="62"/>
  <c r="AH88" i="62" s="1"/>
  <c r="AC88" i="62"/>
  <c r="AE88" i="62" s="1"/>
  <c r="Z88" i="62"/>
  <c r="AB88" i="62" s="1"/>
  <c r="W88" i="62"/>
  <c r="Y88" i="62" s="1"/>
  <c r="T88" i="62"/>
  <c r="V88" i="62" s="1"/>
  <c r="M88" i="62"/>
  <c r="P88" i="62" s="1"/>
  <c r="J88" i="62"/>
  <c r="I88" i="62"/>
  <c r="F88" i="62"/>
  <c r="B88" i="62"/>
  <c r="AF87" i="62"/>
  <c r="AH87" i="62" s="1"/>
  <c r="AC87" i="62"/>
  <c r="AE87" i="62" s="1"/>
  <c r="Z87" i="62"/>
  <c r="AB87" i="62" s="1"/>
  <c r="W87" i="62"/>
  <c r="Y87" i="62" s="1"/>
  <c r="T87" i="62"/>
  <c r="V87" i="62" s="1"/>
  <c r="M87" i="62"/>
  <c r="P87" i="62" s="1"/>
  <c r="J87" i="62"/>
  <c r="I87" i="62"/>
  <c r="F87" i="62"/>
  <c r="B87" i="62"/>
  <c r="AF86" i="62"/>
  <c r="AH86" i="62" s="1"/>
  <c r="AC86" i="62"/>
  <c r="AE86" i="62" s="1"/>
  <c r="Z86" i="62"/>
  <c r="AB86" i="62" s="1"/>
  <c r="W86" i="62"/>
  <c r="Y86" i="62" s="1"/>
  <c r="T86" i="62"/>
  <c r="V86" i="62" s="1"/>
  <c r="M86" i="62"/>
  <c r="P86" i="62" s="1"/>
  <c r="J86" i="62"/>
  <c r="I86" i="62"/>
  <c r="F86" i="62"/>
  <c r="B86" i="62"/>
  <c r="AF85" i="62"/>
  <c r="AH85" i="62" s="1"/>
  <c r="AC85" i="62"/>
  <c r="AE85" i="62" s="1"/>
  <c r="Z85" i="62"/>
  <c r="AB85" i="62" s="1"/>
  <c r="W85" i="62"/>
  <c r="Y85" i="62" s="1"/>
  <c r="T85" i="62"/>
  <c r="V85" i="62" s="1"/>
  <c r="M85" i="62"/>
  <c r="P85" i="62" s="1"/>
  <c r="J85" i="62"/>
  <c r="I85" i="62"/>
  <c r="F85" i="62"/>
  <c r="B85" i="62"/>
  <c r="AF84" i="62"/>
  <c r="AH84" i="62" s="1"/>
  <c r="AC84" i="62"/>
  <c r="AE84" i="62" s="1"/>
  <c r="Z84" i="62"/>
  <c r="AB84" i="62" s="1"/>
  <c r="W84" i="62"/>
  <c r="Y84" i="62" s="1"/>
  <c r="T84" i="62"/>
  <c r="V84" i="62" s="1"/>
  <c r="M84" i="62"/>
  <c r="P84" i="62" s="1"/>
  <c r="J84" i="62"/>
  <c r="I84" i="62"/>
  <c r="F84" i="62"/>
  <c r="B84" i="62"/>
  <c r="AF83" i="62"/>
  <c r="AH83" i="62" s="1"/>
  <c r="AC83" i="62"/>
  <c r="AE83" i="62" s="1"/>
  <c r="Z83" i="62"/>
  <c r="AB83" i="62" s="1"/>
  <c r="W83" i="62"/>
  <c r="Y83" i="62" s="1"/>
  <c r="T83" i="62"/>
  <c r="V83" i="62" s="1"/>
  <c r="M83" i="62"/>
  <c r="P83" i="62" s="1"/>
  <c r="J83" i="62"/>
  <c r="I83" i="62"/>
  <c r="F83" i="62"/>
  <c r="B83" i="62"/>
  <c r="AF82" i="62"/>
  <c r="AH82" i="62" s="1"/>
  <c r="AC82" i="62"/>
  <c r="AE82" i="62" s="1"/>
  <c r="Z82" i="62"/>
  <c r="AB82" i="62" s="1"/>
  <c r="W82" i="62"/>
  <c r="Y82" i="62" s="1"/>
  <c r="T82" i="62"/>
  <c r="V82" i="62" s="1"/>
  <c r="M82" i="62"/>
  <c r="P82" i="62" s="1"/>
  <c r="J82" i="62"/>
  <c r="I82" i="62"/>
  <c r="F82" i="62"/>
  <c r="B82" i="62"/>
  <c r="AF81" i="62"/>
  <c r="AH81" i="62" s="1"/>
  <c r="AC81" i="62"/>
  <c r="AE81" i="62" s="1"/>
  <c r="Z81" i="62"/>
  <c r="AB81" i="62" s="1"/>
  <c r="W81" i="62"/>
  <c r="Y81" i="62" s="1"/>
  <c r="T81" i="62"/>
  <c r="V81" i="62" s="1"/>
  <c r="M81" i="62"/>
  <c r="P81" i="62" s="1"/>
  <c r="J81" i="62"/>
  <c r="I81" i="62"/>
  <c r="F81" i="62"/>
  <c r="B81" i="62"/>
  <c r="AF80" i="62"/>
  <c r="AH80" i="62" s="1"/>
  <c r="AC80" i="62"/>
  <c r="AE80" i="62" s="1"/>
  <c r="Z80" i="62"/>
  <c r="AB80" i="62" s="1"/>
  <c r="W80" i="62"/>
  <c r="Y80" i="62" s="1"/>
  <c r="T80" i="62"/>
  <c r="V80" i="62" s="1"/>
  <c r="M80" i="62"/>
  <c r="P80" i="62" s="1"/>
  <c r="J80" i="62"/>
  <c r="I80" i="62"/>
  <c r="F80" i="62"/>
  <c r="B80" i="62"/>
  <c r="AF79" i="62"/>
  <c r="AH79" i="62" s="1"/>
  <c r="AC79" i="62"/>
  <c r="AE79" i="62" s="1"/>
  <c r="Z79" i="62"/>
  <c r="AB79" i="62" s="1"/>
  <c r="W79" i="62"/>
  <c r="Y79" i="62" s="1"/>
  <c r="T79" i="62"/>
  <c r="V79" i="62" s="1"/>
  <c r="M79" i="62"/>
  <c r="P79" i="62" s="1"/>
  <c r="J79" i="62"/>
  <c r="I79" i="62"/>
  <c r="F79" i="62"/>
  <c r="B79" i="62"/>
  <c r="AF78" i="62"/>
  <c r="AH78" i="62" s="1"/>
  <c r="AC78" i="62"/>
  <c r="AE78" i="62" s="1"/>
  <c r="Z78" i="62"/>
  <c r="AB78" i="62" s="1"/>
  <c r="W78" i="62"/>
  <c r="Y78" i="62" s="1"/>
  <c r="T78" i="62"/>
  <c r="V78" i="62" s="1"/>
  <c r="M78" i="62"/>
  <c r="P78" i="62" s="1"/>
  <c r="J78" i="62"/>
  <c r="I78" i="62"/>
  <c r="F78" i="62"/>
  <c r="B78" i="62"/>
  <c r="AF77" i="62"/>
  <c r="AH77" i="62" s="1"/>
  <c r="AC77" i="62"/>
  <c r="AE77" i="62" s="1"/>
  <c r="Z77" i="62"/>
  <c r="AB77" i="62" s="1"/>
  <c r="W77" i="62"/>
  <c r="Y77" i="62" s="1"/>
  <c r="T77" i="62"/>
  <c r="V77" i="62" s="1"/>
  <c r="M77" i="62"/>
  <c r="P77" i="62" s="1"/>
  <c r="J77" i="62"/>
  <c r="I77" i="62"/>
  <c r="F77" i="62"/>
  <c r="B77" i="62"/>
  <c r="AF76" i="62"/>
  <c r="AH76" i="62" s="1"/>
  <c r="AC76" i="62"/>
  <c r="AE76" i="62" s="1"/>
  <c r="Z76" i="62"/>
  <c r="AB76" i="62" s="1"/>
  <c r="W76" i="62"/>
  <c r="Y76" i="62" s="1"/>
  <c r="T76" i="62"/>
  <c r="V76" i="62" s="1"/>
  <c r="M76" i="62"/>
  <c r="P76" i="62" s="1"/>
  <c r="J76" i="62"/>
  <c r="I76" i="62"/>
  <c r="F76" i="62"/>
  <c r="B76" i="62"/>
  <c r="AF75" i="62"/>
  <c r="AH75" i="62" s="1"/>
  <c r="AC75" i="62"/>
  <c r="AE75" i="62" s="1"/>
  <c r="Z75" i="62"/>
  <c r="AB75" i="62" s="1"/>
  <c r="W75" i="62"/>
  <c r="Y75" i="62" s="1"/>
  <c r="T75" i="62"/>
  <c r="V75" i="62" s="1"/>
  <c r="M75" i="62"/>
  <c r="P75" i="62" s="1"/>
  <c r="J75" i="62"/>
  <c r="I75" i="62"/>
  <c r="F75" i="62"/>
  <c r="B75" i="62"/>
  <c r="AF74" i="62"/>
  <c r="AH74" i="62" s="1"/>
  <c r="AC74" i="62"/>
  <c r="AE74" i="62" s="1"/>
  <c r="Z74" i="62"/>
  <c r="AB74" i="62" s="1"/>
  <c r="W74" i="62"/>
  <c r="Y74" i="62" s="1"/>
  <c r="T74" i="62"/>
  <c r="V74" i="62" s="1"/>
  <c r="M74" i="62"/>
  <c r="P74" i="62" s="1"/>
  <c r="J74" i="62"/>
  <c r="I74" i="62"/>
  <c r="F74" i="62"/>
  <c r="B74" i="62"/>
  <c r="AF73" i="62"/>
  <c r="AH73" i="62" s="1"/>
  <c r="AC73" i="62"/>
  <c r="AE73" i="62" s="1"/>
  <c r="Z73" i="62"/>
  <c r="AB73" i="62" s="1"/>
  <c r="W73" i="62"/>
  <c r="Y73" i="62" s="1"/>
  <c r="T73" i="62"/>
  <c r="V73" i="62" s="1"/>
  <c r="M73" i="62"/>
  <c r="P73" i="62" s="1"/>
  <c r="J73" i="62"/>
  <c r="I73" i="62"/>
  <c r="F73" i="62"/>
  <c r="B73" i="62"/>
  <c r="AF72" i="62"/>
  <c r="AH72" i="62" s="1"/>
  <c r="AC72" i="62"/>
  <c r="AE72" i="62" s="1"/>
  <c r="Z72" i="62"/>
  <c r="AB72" i="62" s="1"/>
  <c r="W72" i="62"/>
  <c r="Y72" i="62" s="1"/>
  <c r="T72" i="62"/>
  <c r="V72" i="62" s="1"/>
  <c r="M72" i="62"/>
  <c r="P72" i="62" s="1"/>
  <c r="J72" i="62"/>
  <c r="I72" i="62"/>
  <c r="F72" i="62"/>
  <c r="B72" i="62"/>
  <c r="AF71" i="62"/>
  <c r="AH71" i="62" s="1"/>
  <c r="AC71" i="62"/>
  <c r="AE71" i="62" s="1"/>
  <c r="Z71" i="62"/>
  <c r="AB71" i="62" s="1"/>
  <c r="W71" i="62"/>
  <c r="Y71" i="62" s="1"/>
  <c r="T71" i="62"/>
  <c r="V71" i="62" s="1"/>
  <c r="M71" i="62"/>
  <c r="P71" i="62" s="1"/>
  <c r="J71" i="62"/>
  <c r="I71" i="62"/>
  <c r="F71" i="62"/>
  <c r="B71" i="62"/>
  <c r="AF70" i="62"/>
  <c r="AH70" i="62" s="1"/>
  <c r="AC70" i="62"/>
  <c r="AE70" i="62" s="1"/>
  <c r="Z70" i="62"/>
  <c r="AB70" i="62" s="1"/>
  <c r="W70" i="62"/>
  <c r="Y70" i="62" s="1"/>
  <c r="T70" i="62"/>
  <c r="V70" i="62" s="1"/>
  <c r="M70" i="62"/>
  <c r="P70" i="62" s="1"/>
  <c r="J70" i="62"/>
  <c r="I70" i="62"/>
  <c r="F70" i="62"/>
  <c r="B70" i="62"/>
  <c r="AF69" i="62"/>
  <c r="AH69" i="62" s="1"/>
  <c r="AC69" i="62"/>
  <c r="AE69" i="62" s="1"/>
  <c r="Z69" i="62"/>
  <c r="AB69" i="62" s="1"/>
  <c r="W69" i="62"/>
  <c r="Y69" i="62" s="1"/>
  <c r="T69" i="62"/>
  <c r="V69" i="62" s="1"/>
  <c r="M69" i="62"/>
  <c r="P69" i="62" s="1"/>
  <c r="J69" i="62"/>
  <c r="I69" i="62"/>
  <c r="F69" i="62"/>
  <c r="B69" i="62"/>
  <c r="AF68" i="62"/>
  <c r="AH68" i="62" s="1"/>
  <c r="AC68" i="62"/>
  <c r="AE68" i="62" s="1"/>
  <c r="Z68" i="62"/>
  <c r="AB68" i="62" s="1"/>
  <c r="W68" i="62"/>
  <c r="Y68" i="62" s="1"/>
  <c r="T68" i="62"/>
  <c r="V68" i="62" s="1"/>
  <c r="M68" i="62"/>
  <c r="P68" i="62" s="1"/>
  <c r="J68" i="62"/>
  <c r="I68" i="62"/>
  <c r="F68" i="62"/>
  <c r="B68" i="62"/>
  <c r="AF67" i="62"/>
  <c r="AH67" i="62" s="1"/>
  <c r="AC67" i="62"/>
  <c r="AE67" i="62" s="1"/>
  <c r="Z67" i="62"/>
  <c r="AB67" i="62" s="1"/>
  <c r="W67" i="62"/>
  <c r="Y67" i="62" s="1"/>
  <c r="T67" i="62"/>
  <c r="V67" i="62" s="1"/>
  <c r="M67" i="62"/>
  <c r="P67" i="62" s="1"/>
  <c r="J67" i="62"/>
  <c r="I67" i="62"/>
  <c r="F67" i="62"/>
  <c r="B67" i="62"/>
  <c r="AF66" i="62"/>
  <c r="AH66" i="62" s="1"/>
  <c r="AC66" i="62"/>
  <c r="AE66" i="62" s="1"/>
  <c r="Z66" i="62"/>
  <c r="AB66" i="62" s="1"/>
  <c r="W66" i="62"/>
  <c r="Y66" i="62" s="1"/>
  <c r="T66" i="62"/>
  <c r="V66" i="62" s="1"/>
  <c r="M66" i="62"/>
  <c r="P66" i="62" s="1"/>
  <c r="J66" i="62"/>
  <c r="I66" i="62"/>
  <c r="F66" i="62"/>
  <c r="B66" i="62"/>
  <c r="AF65" i="62"/>
  <c r="AH65" i="62" s="1"/>
  <c r="AC65" i="62"/>
  <c r="AE65" i="62" s="1"/>
  <c r="Z65" i="62"/>
  <c r="AB65" i="62" s="1"/>
  <c r="W65" i="62"/>
  <c r="Y65" i="62" s="1"/>
  <c r="T65" i="62"/>
  <c r="V65" i="62" s="1"/>
  <c r="M65" i="62"/>
  <c r="P65" i="62" s="1"/>
  <c r="J65" i="62"/>
  <c r="I65" i="62"/>
  <c r="F65" i="62"/>
  <c r="B65" i="62"/>
  <c r="AF64" i="62"/>
  <c r="AH64" i="62" s="1"/>
  <c r="AC64" i="62"/>
  <c r="AE64" i="62" s="1"/>
  <c r="Z64" i="62"/>
  <c r="AB64" i="62" s="1"/>
  <c r="W64" i="62"/>
  <c r="Y64" i="62" s="1"/>
  <c r="T64" i="62"/>
  <c r="V64" i="62" s="1"/>
  <c r="M64" i="62"/>
  <c r="P64" i="62" s="1"/>
  <c r="J64" i="62"/>
  <c r="I64" i="62"/>
  <c r="F64" i="62"/>
  <c r="B64" i="62"/>
  <c r="AF63" i="62"/>
  <c r="AH63" i="62" s="1"/>
  <c r="AC63" i="62"/>
  <c r="AE63" i="62" s="1"/>
  <c r="Z63" i="62"/>
  <c r="AB63" i="62" s="1"/>
  <c r="W63" i="62"/>
  <c r="Y63" i="62" s="1"/>
  <c r="T63" i="62"/>
  <c r="V63" i="62" s="1"/>
  <c r="M63" i="62"/>
  <c r="P63" i="62" s="1"/>
  <c r="J63" i="62"/>
  <c r="I63" i="62"/>
  <c r="F63" i="62"/>
  <c r="B63" i="62"/>
  <c r="AF62" i="62"/>
  <c r="AH62" i="62" s="1"/>
  <c r="AC62" i="62"/>
  <c r="AE62" i="62" s="1"/>
  <c r="Z62" i="62"/>
  <c r="AB62" i="62" s="1"/>
  <c r="W62" i="62"/>
  <c r="Y62" i="62" s="1"/>
  <c r="T62" i="62"/>
  <c r="V62" i="62" s="1"/>
  <c r="M62" i="62"/>
  <c r="P62" i="62" s="1"/>
  <c r="J62" i="62"/>
  <c r="I62" i="62"/>
  <c r="F62" i="62"/>
  <c r="B62" i="62"/>
  <c r="AF61" i="62"/>
  <c r="AH61" i="62" s="1"/>
  <c r="AC61" i="62"/>
  <c r="AE61" i="62" s="1"/>
  <c r="Z61" i="62"/>
  <c r="AB61" i="62" s="1"/>
  <c r="W61" i="62"/>
  <c r="Y61" i="62" s="1"/>
  <c r="T61" i="62"/>
  <c r="V61" i="62" s="1"/>
  <c r="M61" i="62"/>
  <c r="P61" i="62" s="1"/>
  <c r="J61" i="62"/>
  <c r="I61" i="62"/>
  <c r="F61" i="62"/>
  <c r="B61" i="62"/>
  <c r="AF60" i="62"/>
  <c r="AH60" i="62" s="1"/>
  <c r="AC60" i="62"/>
  <c r="AE60" i="62" s="1"/>
  <c r="Z60" i="62"/>
  <c r="AB60" i="62" s="1"/>
  <c r="W60" i="62"/>
  <c r="Y60" i="62" s="1"/>
  <c r="T60" i="62"/>
  <c r="V60" i="62" s="1"/>
  <c r="M60" i="62"/>
  <c r="P60" i="62" s="1"/>
  <c r="J60" i="62"/>
  <c r="I60" i="62"/>
  <c r="F60" i="62"/>
  <c r="B60" i="62"/>
  <c r="AF59" i="62"/>
  <c r="AH59" i="62" s="1"/>
  <c r="AC59" i="62"/>
  <c r="AE59" i="62" s="1"/>
  <c r="Z59" i="62"/>
  <c r="AB59" i="62" s="1"/>
  <c r="W59" i="62"/>
  <c r="Y59" i="62" s="1"/>
  <c r="T59" i="62"/>
  <c r="V59" i="62" s="1"/>
  <c r="M59" i="62"/>
  <c r="P59" i="62" s="1"/>
  <c r="J59" i="62"/>
  <c r="I59" i="62"/>
  <c r="F59" i="62"/>
  <c r="B59" i="62"/>
  <c r="AF58" i="62"/>
  <c r="AH58" i="62" s="1"/>
  <c r="AC58" i="62"/>
  <c r="AE58" i="62" s="1"/>
  <c r="Z58" i="62"/>
  <c r="AB58" i="62" s="1"/>
  <c r="W58" i="62"/>
  <c r="Y58" i="62" s="1"/>
  <c r="T58" i="62"/>
  <c r="V58" i="62" s="1"/>
  <c r="M58" i="62"/>
  <c r="P58" i="62" s="1"/>
  <c r="J58" i="62"/>
  <c r="I58" i="62"/>
  <c r="F58" i="62"/>
  <c r="B58" i="62"/>
  <c r="AF57" i="62"/>
  <c r="AH57" i="62" s="1"/>
  <c r="AC57" i="62"/>
  <c r="AE57" i="62" s="1"/>
  <c r="Z57" i="62"/>
  <c r="AB57" i="62" s="1"/>
  <c r="W57" i="62"/>
  <c r="Y57" i="62" s="1"/>
  <c r="T57" i="62"/>
  <c r="V57" i="62" s="1"/>
  <c r="M57" i="62"/>
  <c r="P57" i="62" s="1"/>
  <c r="J57" i="62"/>
  <c r="I57" i="62"/>
  <c r="F57" i="62"/>
  <c r="B57" i="62"/>
  <c r="AF56" i="62"/>
  <c r="AH56" i="62" s="1"/>
  <c r="AC56" i="62"/>
  <c r="AE56" i="62" s="1"/>
  <c r="Z56" i="62"/>
  <c r="AB56" i="62" s="1"/>
  <c r="W56" i="62"/>
  <c r="Y56" i="62" s="1"/>
  <c r="T56" i="62"/>
  <c r="V56" i="62" s="1"/>
  <c r="M56" i="62"/>
  <c r="P56" i="62" s="1"/>
  <c r="J56" i="62"/>
  <c r="I56" i="62"/>
  <c r="F56" i="62"/>
  <c r="B56" i="62"/>
  <c r="AF55" i="62"/>
  <c r="AH55" i="62" s="1"/>
  <c r="AC55" i="62"/>
  <c r="AE55" i="62" s="1"/>
  <c r="Z55" i="62"/>
  <c r="AB55" i="62" s="1"/>
  <c r="W55" i="62"/>
  <c r="Y55" i="62" s="1"/>
  <c r="T55" i="62"/>
  <c r="V55" i="62" s="1"/>
  <c r="M55" i="62"/>
  <c r="P55" i="62" s="1"/>
  <c r="J55" i="62"/>
  <c r="I55" i="62"/>
  <c r="F55" i="62"/>
  <c r="B55" i="62"/>
  <c r="AF54" i="62"/>
  <c r="AH54" i="62" s="1"/>
  <c r="AC54" i="62"/>
  <c r="AE54" i="62" s="1"/>
  <c r="Z54" i="62"/>
  <c r="AB54" i="62" s="1"/>
  <c r="W54" i="62"/>
  <c r="Y54" i="62" s="1"/>
  <c r="T54" i="62"/>
  <c r="V54" i="62" s="1"/>
  <c r="M54" i="62"/>
  <c r="P54" i="62" s="1"/>
  <c r="J54" i="62"/>
  <c r="I54" i="62"/>
  <c r="F54" i="62"/>
  <c r="B54" i="62"/>
  <c r="AF53" i="62"/>
  <c r="AH53" i="62" s="1"/>
  <c r="AC53" i="62"/>
  <c r="AE53" i="62" s="1"/>
  <c r="Z53" i="62"/>
  <c r="AB53" i="62" s="1"/>
  <c r="W53" i="62"/>
  <c r="Y53" i="62" s="1"/>
  <c r="T53" i="62"/>
  <c r="V53" i="62" s="1"/>
  <c r="M53" i="62"/>
  <c r="P53" i="62" s="1"/>
  <c r="J53" i="62"/>
  <c r="I53" i="62"/>
  <c r="F53" i="62"/>
  <c r="B53" i="62"/>
  <c r="AF52" i="62"/>
  <c r="AH52" i="62" s="1"/>
  <c r="AC52" i="62"/>
  <c r="AE52" i="62" s="1"/>
  <c r="Z52" i="62"/>
  <c r="AB52" i="62" s="1"/>
  <c r="W52" i="62"/>
  <c r="Y52" i="62" s="1"/>
  <c r="T52" i="62"/>
  <c r="V52" i="62" s="1"/>
  <c r="M52" i="62"/>
  <c r="P52" i="62" s="1"/>
  <c r="J52" i="62"/>
  <c r="I52" i="62"/>
  <c r="F52" i="62"/>
  <c r="B52" i="62"/>
  <c r="AF51" i="62"/>
  <c r="AH51" i="62" s="1"/>
  <c r="AC51" i="62"/>
  <c r="AE51" i="62" s="1"/>
  <c r="Z51" i="62"/>
  <c r="AB51" i="62" s="1"/>
  <c r="W51" i="62"/>
  <c r="Y51" i="62" s="1"/>
  <c r="T51" i="62"/>
  <c r="V51" i="62" s="1"/>
  <c r="M51" i="62"/>
  <c r="P51" i="62" s="1"/>
  <c r="J51" i="62"/>
  <c r="I51" i="62"/>
  <c r="F51" i="62"/>
  <c r="B51" i="62"/>
  <c r="AF50" i="62"/>
  <c r="AH50" i="62" s="1"/>
  <c r="AC50" i="62"/>
  <c r="AE50" i="62" s="1"/>
  <c r="Z50" i="62"/>
  <c r="AB50" i="62" s="1"/>
  <c r="W50" i="62"/>
  <c r="Y50" i="62" s="1"/>
  <c r="T50" i="62"/>
  <c r="V50" i="62" s="1"/>
  <c r="M50" i="62"/>
  <c r="P50" i="62" s="1"/>
  <c r="J50" i="62"/>
  <c r="I50" i="62"/>
  <c r="F50" i="62"/>
  <c r="B50" i="62"/>
  <c r="AF49" i="62"/>
  <c r="AH49" i="62" s="1"/>
  <c r="AC49" i="62"/>
  <c r="AE49" i="62" s="1"/>
  <c r="Z49" i="62"/>
  <c r="AB49" i="62" s="1"/>
  <c r="W49" i="62"/>
  <c r="Y49" i="62" s="1"/>
  <c r="T49" i="62"/>
  <c r="V49" i="62" s="1"/>
  <c r="M49" i="62"/>
  <c r="P49" i="62" s="1"/>
  <c r="J49" i="62"/>
  <c r="I49" i="62"/>
  <c r="F49" i="62"/>
  <c r="B49" i="62"/>
  <c r="AF48" i="62"/>
  <c r="AH48" i="62" s="1"/>
  <c r="AC48" i="62"/>
  <c r="AE48" i="62" s="1"/>
  <c r="Z48" i="62"/>
  <c r="AB48" i="62" s="1"/>
  <c r="W48" i="62"/>
  <c r="Y48" i="62" s="1"/>
  <c r="T48" i="62"/>
  <c r="V48" i="62" s="1"/>
  <c r="M48" i="62"/>
  <c r="P48" i="62" s="1"/>
  <c r="J48" i="62"/>
  <c r="I48" i="62"/>
  <c r="F48" i="62"/>
  <c r="B48" i="62"/>
  <c r="AF47" i="62"/>
  <c r="AH47" i="62" s="1"/>
  <c r="AC47" i="62"/>
  <c r="AE47" i="62" s="1"/>
  <c r="Z47" i="62"/>
  <c r="AB47" i="62" s="1"/>
  <c r="W47" i="62"/>
  <c r="Y47" i="62" s="1"/>
  <c r="T47" i="62"/>
  <c r="V47" i="62" s="1"/>
  <c r="M47" i="62"/>
  <c r="P47" i="62" s="1"/>
  <c r="J47" i="62"/>
  <c r="I47" i="62"/>
  <c r="F47" i="62"/>
  <c r="B47" i="62"/>
  <c r="AF46" i="62"/>
  <c r="AH46" i="62" s="1"/>
  <c r="AC46" i="62"/>
  <c r="AE46" i="62" s="1"/>
  <c r="Z46" i="62"/>
  <c r="AB46" i="62" s="1"/>
  <c r="W46" i="62"/>
  <c r="Y46" i="62" s="1"/>
  <c r="T46" i="62"/>
  <c r="V46" i="62" s="1"/>
  <c r="M46" i="62"/>
  <c r="P46" i="62" s="1"/>
  <c r="J46" i="62"/>
  <c r="I46" i="62"/>
  <c r="F46" i="62"/>
  <c r="B46" i="62"/>
  <c r="AF45" i="62"/>
  <c r="AH45" i="62" s="1"/>
  <c r="AC45" i="62"/>
  <c r="AE45" i="62" s="1"/>
  <c r="Z45" i="62"/>
  <c r="AB45" i="62" s="1"/>
  <c r="W45" i="62"/>
  <c r="Y45" i="62" s="1"/>
  <c r="T45" i="62"/>
  <c r="V45" i="62" s="1"/>
  <c r="M45" i="62"/>
  <c r="P45" i="62" s="1"/>
  <c r="J45" i="62"/>
  <c r="I45" i="62"/>
  <c r="F45" i="62"/>
  <c r="B45" i="62"/>
  <c r="AF44" i="62"/>
  <c r="AH44" i="62" s="1"/>
  <c r="AC44" i="62"/>
  <c r="AE44" i="62" s="1"/>
  <c r="Z44" i="62"/>
  <c r="AB44" i="62" s="1"/>
  <c r="W44" i="62"/>
  <c r="Y44" i="62" s="1"/>
  <c r="T44" i="62"/>
  <c r="V44" i="62" s="1"/>
  <c r="M44" i="62"/>
  <c r="P44" i="62" s="1"/>
  <c r="J44" i="62"/>
  <c r="I44" i="62"/>
  <c r="F44" i="62"/>
  <c r="B44" i="62"/>
  <c r="AF43" i="62"/>
  <c r="AH43" i="62" s="1"/>
  <c r="AC43" i="62"/>
  <c r="AE43" i="62" s="1"/>
  <c r="Z43" i="62"/>
  <c r="AB43" i="62" s="1"/>
  <c r="W43" i="62"/>
  <c r="Y43" i="62" s="1"/>
  <c r="T43" i="62"/>
  <c r="V43" i="62" s="1"/>
  <c r="M43" i="62"/>
  <c r="P43" i="62" s="1"/>
  <c r="J43" i="62"/>
  <c r="I43" i="62"/>
  <c r="F43" i="62"/>
  <c r="B43" i="62"/>
  <c r="AF42" i="62"/>
  <c r="AH42" i="62" s="1"/>
  <c r="AC42" i="62"/>
  <c r="AE42" i="62" s="1"/>
  <c r="Z42" i="62"/>
  <c r="AB42" i="62" s="1"/>
  <c r="W42" i="62"/>
  <c r="Y42" i="62" s="1"/>
  <c r="T42" i="62"/>
  <c r="V42" i="62" s="1"/>
  <c r="M42" i="62"/>
  <c r="P42" i="62" s="1"/>
  <c r="J42" i="62"/>
  <c r="I42" i="62"/>
  <c r="F42" i="62"/>
  <c r="B42" i="62"/>
  <c r="AF41" i="62"/>
  <c r="AH41" i="62" s="1"/>
  <c r="AC41" i="62"/>
  <c r="AE41" i="62" s="1"/>
  <c r="Z41" i="62"/>
  <c r="AB41" i="62" s="1"/>
  <c r="W41" i="62"/>
  <c r="Y41" i="62" s="1"/>
  <c r="T41" i="62"/>
  <c r="V41" i="62" s="1"/>
  <c r="M41" i="62"/>
  <c r="P41" i="62" s="1"/>
  <c r="J41" i="62"/>
  <c r="I41" i="62"/>
  <c r="F41" i="62"/>
  <c r="B41" i="62"/>
  <c r="AF40" i="62"/>
  <c r="AH40" i="62" s="1"/>
  <c r="AC40" i="62"/>
  <c r="AE40" i="62" s="1"/>
  <c r="Z40" i="62"/>
  <c r="AB40" i="62" s="1"/>
  <c r="W40" i="62"/>
  <c r="Y40" i="62" s="1"/>
  <c r="T40" i="62"/>
  <c r="V40" i="62" s="1"/>
  <c r="M40" i="62"/>
  <c r="P40" i="62" s="1"/>
  <c r="J40" i="62"/>
  <c r="I40" i="62"/>
  <c r="F40" i="62"/>
  <c r="B40" i="62"/>
  <c r="AF39" i="62"/>
  <c r="AH39" i="62" s="1"/>
  <c r="AC39" i="62"/>
  <c r="AE39" i="62" s="1"/>
  <c r="Z39" i="62"/>
  <c r="AB39" i="62" s="1"/>
  <c r="W39" i="62"/>
  <c r="Y39" i="62" s="1"/>
  <c r="T39" i="62"/>
  <c r="V39" i="62" s="1"/>
  <c r="M39" i="62"/>
  <c r="P39" i="62" s="1"/>
  <c r="J39" i="62"/>
  <c r="I39" i="62"/>
  <c r="F39" i="62"/>
  <c r="B39" i="62"/>
  <c r="AF38" i="62"/>
  <c r="AH38" i="62" s="1"/>
  <c r="AC38" i="62"/>
  <c r="AE38" i="62" s="1"/>
  <c r="Z38" i="62"/>
  <c r="AB38" i="62" s="1"/>
  <c r="W38" i="62"/>
  <c r="Y38" i="62" s="1"/>
  <c r="T38" i="62"/>
  <c r="V38" i="62" s="1"/>
  <c r="M38" i="62"/>
  <c r="P38" i="62" s="1"/>
  <c r="J38" i="62"/>
  <c r="I38" i="62"/>
  <c r="F38" i="62"/>
  <c r="B38" i="62"/>
  <c r="AF37" i="62"/>
  <c r="AH37" i="62" s="1"/>
  <c r="AC37" i="62"/>
  <c r="AE37" i="62" s="1"/>
  <c r="Z37" i="62"/>
  <c r="AB37" i="62" s="1"/>
  <c r="W37" i="62"/>
  <c r="Y37" i="62" s="1"/>
  <c r="T37" i="62"/>
  <c r="V37" i="62" s="1"/>
  <c r="M37" i="62"/>
  <c r="P37" i="62" s="1"/>
  <c r="J37" i="62"/>
  <c r="I37" i="62"/>
  <c r="F37" i="62"/>
  <c r="B37" i="62"/>
  <c r="AF36" i="62"/>
  <c r="AH36" i="62" s="1"/>
  <c r="AC36" i="62"/>
  <c r="AE36" i="62" s="1"/>
  <c r="Z36" i="62"/>
  <c r="AB36" i="62" s="1"/>
  <c r="W36" i="62"/>
  <c r="Y36" i="62" s="1"/>
  <c r="T36" i="62"/>
  <c r="V36" i="62" s="1"/>
  <c r="M36" i="62"/>
  <c r="P36" i="62" s="1"/>
  <c r="J36" i="62"/>
  <c r="I36" i="62"/>
  <c r="F36" i="62"/>
  <c r="B36" i="62"/>
  <c r="AF35" i="62"/>
  <c r="AH35" i="62" s="1"/>
  <c r="AC35" i="62"/>
  <c r="AE35" i="62" s="1"/>
  <c r="Z35" i="62"/>
  <c r="AB35" i="62" s="1"/>
  <c r="W35" i="62"/>
  <c r="Y35" i="62" s="1"/>
  <c r="T35" i="62"/>
  <c r="V35" i="62" s="1"/>
  <c r="M35" i="62"/>
  <c r="P35" i="62" s="1"/>
  <c r="J35" i="62"/>
  <c r="I35" i="62"/>
  <c r="F35" i="62"/>
  <c r="B35" i="62"/>
  <c r="AF34" i="62"/>
  <c r="AH34" i="62" s="1"/>
  <c r="AC34" i="62"/>
  <c r="AE34" i="62" s="1"/>
  <c r="Z34" i="62"/>
  <c r="AB34" i="62" s="1"/>
  <c r="W34" i="62"/>
  <c r="Y34" i="62" s="1"/>
  <c r="T34" i="62"/>
  <c r="V34" i="62" s="1"/>
  <c r="M34" i="62"/>
  <c r="P34" i="62" s="1"/>
  <c r="J34" i="62"/>
  <c r="I34" i="62"/>
  <c r="F34" i="62"/>
  <c r="B34" i="62"/>
  <c r="AF33" i="62"/>
  <c r="AH33" i="62" s="1"/>
  <c r="AC33" i="62"/>
  <c r="AE33" i="62" s="1"/>
  <c r="Z33" i="62"/>
  <c r="AB33" i="62" s="1"/>
  <c r="W33" i="62"/>
  <c r="Y33" i="62" s="1"/>
  <c r="T33" i="62"/>
  <c r="V33" i="62" s="1"/>
  <c r="M33" i="62"/>
  <c r="P33" i="62" s="1"/>
  <c r="J33" i="62"/>
  <c r="I33" i="62"/>
  <c r="F33" i="62"/>
  <c r="B33" i="62"/>
  <c r="AF32" i="62"/>
  <c r="AH32" i="62" s="1"/>
  <c r="AC32" i="62"/>
  <c r="AE32" i="62" s="1"/>
  <c r="Z32" i="62"/>
  <c r="AB32" i="62" s="1"/>
  <c r="W32" i="62"/>
  <c r="Y32" i="62" s="1"/>
  <c r="T32" i="62"/>
  <c r="V32" i="62" s="1"/>
  <c r="M32" i="62"/>
  <c r="P32" i="62" s="1"/>
  <c r="J32" i="62"/>
  <c r="I32" i="62"/>
  <c r="F32" i="62"/>
  <c r="B32" i="62"/>
  <c r="AF31" i="62"/>
  <c r="AH31" i="62" s="1"/>
  <c r="AC31" i="62"/>
  <c r="AE31" i="62" s="1"/>
  <c r="Z31" i="62"/>
  <c r="AB31" i="62" s="1"/>
  <c r="W31" i="62"/>
  <c r="Y31" i="62" s="1"/>
  <c r="T31" i="62"/>
  <c r="V31" i="62" s="1"/>
  <c r="M31" i="62"/>
  <c r="P31" i="62" s="1"/>
  <c r="J31" i="62"/>
  <c r="I31" i="62"/>
  <c r="F31" i="62"/>
  <c r="B31" i="62"/>
  <c r="AF30" i="62"/>
  <c r="AH30" i="62" s="1"/>
  <c r="AC30" i="62"/>
  <c r="AE30" i="62" s="1"/>
  <c r="Z30" i="62"/>
  <c r="AB30" i="62" s="1"/>
  <c r="W30" i="62"/>
  <c r="Y30" i="62" s="1"/>
  <c r="T30" i="62"/>
  <c r="V30" i="62" s="1"/>
  <c r="M30" i="62"/>
  <c r="P30" i="62" s="1"/>
  <c r="J30" i="62"/>
  <c r="I30" i="62"/>
  <c r="F30" i="62"/>
  <c r="B30" i="62"/>
  <c r="AF29" i="62"/>
  <c r="AH29" i="62" s="1"/>
  <c r="AC29" i="62"/>
  <c r="AE29" i="62" s="1"/>
  <c r="Z29" i="62"/>
  <c r="AB29" i="62" s="1"/>
  <c r="W29" i="62"/>
  <c r="Y29" i="62" s="1"/>
  <c r="T29" i="62"/>
  <c r="V29" i="62" s="1"/>
  <c r="M29" i="62"/>
  <c r="P29" i="62" s="1"/>
  <c r="J29" i="62"/>
  <c r="I29" i="62"/>
  <c r="F29" i="62"/>
  <c r="B29" i="62"/>
  <c r="AF28" i="62"/>
  <c r="AH28" i="62" s="1"/>
  <c r="AC28" i="62"/>
  <c r="AE28" i="62" s="1"/>
  <c r="Z28" i="62"/>
  <c r="AB28" i="62" s="1"/>
  <c r="W28" i="62"/>
  <c r="Y28" i="62" s="1"/>
  <c r="T28" i="62"/>
  <c r="V28" i="62" s="1"/>
  <c r="M28" i="62"/>
  <c r="P28" i="62" s="1"/>
  <c r="J28" i="62"/>
  <c r="I28" i="62"/>
  <c r="F28" i="62"/>
  <c r="B28" i="62"/>
  <c r="AF27" i="62"/>
  <c r="AH27" i="62" s="1"/>
  <c r="AC27" i="62"/>
  <c r="AE27" i="62" s="1"/>
  <c r="Z27" i="62"/>
  <c r="AB27" i="62" s="1"/>
  <c r="W27" i="62"/>
  <c r="Y27" i="62" s="1"/>
  <c r="T27" i="62"/>
  <c r="V27" i="62" s="1"/>
  <c r="M27" i="62"/>
  <c r="P27" i="62" s="1"/>
  <c r="J27" i="62"/>
  <c r="I27" i="62"/>
  <c r="F27" i="62"/>
  <c r="B27" i="62"/>
  <c r="AF26" i="62"/>
  <c r="AH26" i="62" s="1"/>
  <c r="AC26" i="62"/>
  <c r="AE26" i="62" s="1"/>
  <c r="Z26" i="62"/>
  <c r="AB26" i="62" s="1"/>
  <c r="W26" i="62"/>
  <c r="Y26" i="62" s="1"/>
  <c r="T26" i="62"/>
  <c r="V26" i="62" s="1"/>
  <c r="M26" i="62"/>
  <c r="P26" i="62" s="1"/>
  <c r="J26" i="62"/>
  <c r="I26" i="62"/>
  <c r="F26" i="62"/>
  <c r="B26" i="62"/>
  <c r="AF25" i="62"/>
  <c r="AH25" i="62" s="1"/>
  <c r="AC25" i="62"/>
  <c r="AE25" i="62" s="1"/>
  <c r="Z25" i="62"/>
  <c r="AB25" i="62" s="1"/>
  <c r="W25" i="62"/>
  <c r="Y25" i="62" s="1"/>
  <c r="T25" i="62"/>
  <c r="V25" i="62" s="1"/>
  <c r="M25" i="62"/>
  <c r="P25" i="62" s="1"/>
  <c r="J25" i="62"/>
  <c r="I25" i="62"/>
  <c r="F25" i="62"/>
  <c r="B25" i="62"/>
  <c r="AF24" i="62"/>
  <c r="AH24" i="62" s="1"/>
  <c r="AC24" i="62"/>
  <c r="AE24" i="62" s="1"/>
  <c r="Z24" i="62"/>
  <c r="AB24" i="62" s="1"/>
  <c r="W24" i="62"/>
  <c r="Y24" i="62" s="1"/>
  <c r="T24" i="62"/>
  <c r="V24" i="62" s="1"/>
  <c r="M24" i="62"/>
  <c r="P24" i="62" s="1"/>
  <c r="J24" i="62"/>
  <c r="I24" i="62"/>
  <c r="F24" i="62"/>
  <c r="B24" i="62"/>
  <c r="AF23" i="62"/>
  <c r="AH23" i="62" s="1"/>
  <c r="AC23" i="62"/>
  <c r="AE23" i="62" s="1"/>
  <c r="Z23" i="62"/>
  <c r="AB23" i="62" s="1"/>
  <c r="W23" i="62"/>
  <c r="Y23" i="62" s="1"/>
  <c r="T23" i="62"/>
  <c r="V23" i="62" s="1"/>
  <c r="M23" i="62"/>
  <c r="P23" i="62" s="1"/>
  <c r="J23" i="62"/>
  <c r="I23" i="62"/>
  <c r="F23" i="62"/>
  <c r="B23" i="62"/>
  <c r="AF22" i="62"/>
  <c r="AH22" i="62" s="1"/>
  <c r="AC22" i="62"/>
  <c r="AE22" i="62" s="1"/>
  <c r="Z22" i="62"/>
  <c r="AB22" i="62" s="1"/>
  <c r="W22" i="62"/>
  <c r="Y22" i="62" s="1"/>
  <c r="T22" i="62"/>
  <c r="V22" i="62" s="1"/>
  <c r="M22" i="62"/>
  <c r="P22" i="62" s="1"/>
  <c r="J22" i="62"/>
  <c r="I22" i="62"/>
  <c r="F22" i="62"/>
  <c r="B22" i="62"/>
  <c r="AF21" i="62"/>
  <c r="AH21" i="62" s="1"/>
  <c r="AC21" i="62"/>
  <c r="AE21" i="62" s="1"/>
  <c r="Z21" i="62"/>
  <c r="AB21" i="62" s="1"/>
  <c r="W21" i="62"/>
  <c r="Y21" i="62" s="1"/>
  <c r="T21" i="62"/>
  <c r="V21" i="62" s="1"/>
  <c r="M21" i="62"/>
  <c r="P21" i="62" s="1"/>
  <c r="J21" i="62"/>
  <c r="I21" i="62"/>
  <c r="F21" i="62"/>
  <c r="B21" i="62"/>
  <c r="AF20" i="62"/>
  <c r="AH20" i="62" s="1"/>
  <c r="AC20" i="62"/>
  <c r="AE20" i="62" s="1"/>
  <c r="Z20" i="62"/>
  <c r="AB20" i="62" s="1"/>
  <c r="W20" i="62"/>
  <c r="Y20" i="62" s="1"/>
  <c r="T20" i="62"/>
  <c r="V20" i="62" s="1"/>
  <c r="M20" i="62"/>
  <c r="P20" i="62" s="1"/>
  <c r="J20" i="62"/>
  <c r="I20" i="62"/>
  <c r="F20" i="62"/>
  <c r="B20" i="62"/>
  <c r="AF19" i="62"/>
  <c r="AH19" i="62" s="1"/>
  <c r="AC19" i="62"/>
  <c r="AE19" i="62" s="1"/>
  <c r="Z19" i="62"/>
  <c r="AB19" i="62" s="1"/>
  <c r="W19" i="62"/>
  <c r="Y19" i="62" s="1"/>
  <c r="T19" i="62"/>
  <c r="V19" i="62" s="1"/>
  <c r="M19" i="62"/>
  <c r="P19" i="62" s="1"/>
  <c r="J19" i="62"/>
  <c r="I19" i="62"/>
  <c r="F19" i="62"/>
  <c r="B19" i="62"/>
  <c r="AF18" i="62"/>
  <c r="AH18" i="62" s="1"/>
  <c r="AC18" i="62"/>
  <c r="AE18" i="62" s="1"/>
  <c r="Z18" i="62"/>
  <c r="AB18" i="62" s="1"/>
  <c r="W18" i="62"/>
  <c r="Y18" i="62" s="1"/>
  <c r="T18" i="62"/>
  <c r="V18" i="62" s="1"/>
  <c r="M18" i="62"/>
  <c r="P18" i="62" s="1"/>
  <c r="J18" i="62"/>
  <c r="I18" i="62"/>
  <c r="F18" i="62"/>
  <c r="B18" i="62"/>
  <c r="AF17" i="62"/>
  <c r="AH17" i="62" s="1"/>
  <c r="AC17" i="62"/>
  <c r="AE17" i="62" s="1"/>
  <c r="Z17" i="62"/>
  <c r="AB17" i="62" s="1"/>
  <c r="W17" i="62"/>
  <c r="Y17" i="62" s="1"/>
  <c r="T17" i="62"/>
  <c r="V17" i="62" s="1"/>
  <c r="M17" i="62"/>
  <c r="P17" i="62" s="1"/>
  <c r="J17" i="62"/>
  <c r="I17" i="62"/>
  <c r="F17" i="62"/>
  <c r="B17" i="62"/>
  <c r="AF16" i="62"/>
  <c r="AH16" i="62" s="1"/>
  <c r="AC16" i="62"/>
  <c r="AE16" i="62" s="1"/>
  <c r="Z16" i="62"/>
  <c r="AB16" i="62" s="1"/>
  <c r="W16" i="62"/>
  <c r="Y16" i="62" s="1"/>
  <c r="T16" i="62"/>
  <c r="V16" i="62" s="1"/>
  <c r="M16" i="62"/>
  <c r="P16" i="62" s="1"/>
  <c r="J16" i="62"/>
  <c r="I16" i="62"/>
  <c r="F16" i="62"/>
  <c r="B16" i="62"/>
  <c r="AF15" i="62"/>
  <c r="AH15" i="62" s="1"/>
  <c r="AC15" i="62"/>
  <c r="AE15" i="62" s="1"/>
  <c r="Z15" i="62"/>
  <c r="AB15" i="62" s="1"/>
  <c r="W15" i="62"/>
  <c r="Y15" i="62" s="1"/>
  <c r="T15" i="62"/>
  <c r="V15" i="62" s="1"/>
  <c r="M15" i="62"/>
  <c r="P15" i="62" s="1"/>
  <c r="J15" i="62"/>
  <c r="I15" i="62"/>
  <c r="F15" i="62"/>
  <c r="B15" i="62"/>
  <c r="AF14" i="62"/>
  <c r="AH14" i="62" s="1"/>
  <c r="AC14" i="62"/>
  <c r="AE14" i="62" s="1"/>
  <c r="Z14" i="62"/>
  <c r="AB14" i="62" s="1"/>
  <c r="W14" i="62"/>
  <c r="Y14" i="62" s="1"/>
  <c r="T14" i="62"/>
  <c r="V14" i="62" s="1"/>
  <c r="M14" i="62"/>
  <c r="P14" i="62" s="1"/>
  <c r="J14" i="62"/>
  <c r="I14" i="62"/>
  <c r="F14" i="62"/>
  <c r="B14" i="62"/>
  <c r="AF13" i="62"/>
  <c r="AH13" i="62" s="1"/>
  <c r="AC13" i="62"/>
  <c r="AE13" i="62" s="1"/>
  <c r="Z13" i="62"/>
  <c r="AB13" i="62" s="1"/>
  <c r="W13" i="62"/>
  <c r="Y13" i="62" s="1"/>
  <c r="T13" i="62"/>
  <c r="V13" i="62" s="1"/>
  <c r="M13" i="62"/>
  <c r="P13" i="62" s="1"/>
  <c r="J13" i="62"/>
  <c r="I13" i="62"/>
  <c r="F13" i="62"/>
  <c r="B13" i="62"/>
  <c r="AF12" i="62"/>
  <c r="AH12" i="62" s="1"/>
  <c r="AC12" i="62"/>
  <c r="AE12" i="62" s="1"/>
  <c r="Z12" i="62"/>
  <c r="AB12" i="62" s="1"/>
  <c r="W12" i="62"/>
  <c r="Y12" i="62" s="1"/>
  <c r="T12" i="62"/>
  <c r="V12" i="62" s="1"/>
  <c r="M12" i="62"/>
  <c r="P12" i="62" s="1"/>
  <c r="J12" i="62"/>
  <c r="I12" i="62"/>
  <c r="F12" i="62"/>
  <c r="B12" i="62"/>
  <c r="AF11" i="62"/>
  <c r="AH11" i="62" s="1"/>
  <c r="AC11" i="62"/>
  <c r="AE11" i="62" s="1"/>
  <c r="Z11" i="62"/>
  <c r="AB11" i="62" s="1"/>
  <c r="W11" i="62"/>
  <c r="Y11" i="62" s="1"/>
  <c r="T11" i="62"/>
  <c r="V11" i="62" s="1"/>
  <c r="M11" i="62"/>
  <c r="P11" i="62" s="1"/>
  <c r="J11" i="62"/>
  <c r="I11" i="62"/>
  <c r="F11" i="62"/>
  <c r="B11" i="62"/>
  <c r="AF10" i="62"/>
  <c r="AH10" i="62" s="1"/>
  <c r="AC10" i="62"/>
  <c r="AE10" i="62" s="1"/>
  <c r="Z10" i="62"/>
  <c r="AB10" i="62" s="1"/>
  <c r="W10" i="62"/>
  <c r="Y10" i="62" s="1"/>
  <c r="T10" i="62"/>
  <c r="V10" i="62" s="1"/>
  <c r="M10" i="62"/>
  <c r="P10" i="62" s="1"/>
  <c r="J10" i="62"/>
  <c r="I10" i="62"/>
  <c r="F10" i="62"/>
  <c r="B10" i="62"/>
  <c r="AF9" i="62"/>
  <c r="AH9" i="62" s="1"/>
  <c r="AC9" i="62"/>
  <c r="AE9" i="62" s="1"/>
  <c r="Z9" i="62"/>
  <c r="AB9" i="62" s="1"/>
  <c r="W9" i="62"/>
  <c r="Y9" i="62" s="1"/>
  <c r="T9" i="62"/>
  <c r="V9" i="62" s="1"/>
  <c r="M9" i="62"/>
  <c r="P9" i="62" s="1"/>
  <c r="J9" i="62"/>
  <c r="I9" i="62"/>
  <c r="F9" i="62"/>
  <c r="B9" i="62"/>
  <c r="Q311" i="62"/>
  <c r="S311" i="62" s="1"/>
  <c r="C311" i="62"/>
  <c r="AJ311" i="62"/>
  <c r="C310" i="62"/>
  <c r="AJ310" i="62"/>
  <c r="Q309" i="62"/>
  <c r="S309" i="62" s="1"/>
  <c r="C309" i="62"/>
  <c r="AJ309" i="62"/>
  <c r="Q308" i="62"/>
  <c r="S308" i="62" s="1"/>
  <c r="C308" i="62"/>
  <c r="AJ308" i="62"/>
  <c r="Q307" i="62"/>
  <c r="S307" i="62" s="1"/>
  <c r="C307" i="62"/>
  <c r="AJ307" i="62"/>
  <c r="Q306" i="62"/>
  <c r="S306" i="62" s="1"/>
  <c r="C306" i="62"/>
  <c r="AJ306" i="62"/>
  <c r="Q305" i="62"/>
  <c r="S305" i="62" s="1"/>
  <c r="C305" i="62"/>
  <c r="AJ305" i="62"/>
  <c r="Q304" i="62"/>
  <c r="S304" i="62" s="1"/>
  <c r="C304" i="62"/>
  <c r="AJ304" i="62"/>
  <c r="C303" i="62"/>
  <c r="AJ303" i="62"/>
  <c r="C302" i="62"/>
  <c r="AJ302" i="62"/>
  <c r="Q301" i="62"/>
  <c r="S301" i="62" s="1"/>
  <c r="C301" i="62"/>
  <c r="AJ301" i="62"/>
  <c r="Q300" i="62"/>
  <c r="S300" i="62" s="1"/>
  <c r="C300" i="62"/>
  <c r="AJ300" i="62"/>
  <c r="Q299" i="62"/>
  <c r="S299" i="62" s="1"/>
  <c r="C299" i="62"/>
  <c r="AJ299" i="62"/>
  <c r="Q298" i="62"/>
  <c r="S298" i="62" s="1"/>
  <c r="C298" i="62"/>
  <c r="AJ298" i="62"/>
  <c r="Q297" i="62"/>
  <c r="S297" i="62" s="1"/>
  <c r="C297" i="62"/>
  <c r="AJ297" i="62"/>
  <c r="C296" i="62"/>
  <c r="AJ296" i="62"/>
  <c r="C295" i="62"/>
  <c r="AJ295" i="62"/>
  <c r="C294" i="62"/>
  <c r="AJ294" i="62"/>
  <c r="C293" i="62"/>
  <c r="AJ293" i="62"/>
  <c r="Q292" i="62"/>
  <c r="S292" i="62" s="1"/>
  <c r="C292" i="62"/>
  <c r="AJ292" i="62"/>
  <c r="Q291" i="62"/>
  <c r="S291" i="62" s="1"/>
  <c r="C291" i="62"/>
  <c r="AJ291" i="62"/>
  <c r="Q290" i="62"/>
  <c r="S290" i="62" s="1"/>
  <c r="C290" i="62"/>
  <c r="AJ290" i="62"/>
  <c r="Q289" i="62"/>
  <c r="S289" i="62" s="1"/>
  <c r="C289" i="62"/>
  <c r="AJ289" i="62"/>
  <c r="Q288" i="62"/>
  <c r="S288" i="62" s="1"/>
  <c r="C288" i="62"/>
  <c r="AJ288" i="62"/>
  <c r="C287" i="62"/>
  <c r="AJ287" i="62"/>
  <c r="C286" i="62"/>
  <c r="AJ286" i="62"/>
  <c r="C285" i="62"/>
  <c r="AJ285" i="62"/>
  <c r="C284" i="62"/>
  <c r="AJ284" i="62"/>
  <c r="Q283" i="62"/>
  <c r="S283" i="62" s="1"/>
  <c r="C283" i="62"/>
  <c r="AJ283" i="62"/>
  <c r="Q282" i="62"/>
  <c r="S282" i="62" s="1"/>
  <c r="C282" i="62"/>
  <c r="AJ282" i="62"/>
  <c r="Q281" i="62"/>
  <c r="S281" i="62" s="1"/>
  <c r="C281" i="62"/>
  <c r="AJ281" i="62"/>
  <c r="Q280" i="62"/>
  <c r="S280" i="62" s="1"/>
  <c r="C280" i="62"/>
  <c r="AJ280" i="62"/>
  <c r="Q279" i="62"/>
  <c r="S279" i="62" s="1"/>
  <c r="C279" i="62"/>
  <c r="AJ279" i="62"/>
  <c r="C278" i="62"/>
  <c r="AJ278" i="62"/>
  <c r="C277" i="62"/>
  <c r="AJ277" i="62"/>
  <c r="C276" i="62"/>
  <c r="AJ276" i="62"/>
  <c r="C275" i="62"/>
  <c r="AJ275" i="62"/>
  <c r="Q274" i="62"/>
  <c r="S274" i="62" s="1"/>
  <c r="C274" i="62"/>
  <c r="AJ274" i="62"/>
  <c r="Q273" i="62"/>
  <c r="S273" i="62" s="1"/>
  <c r="C273" i="62"/>
  <c r="AJ273" i="62"/>
  <c r="Q272" i="62"/>
  <c r="S272" i="62" s="1"/>
  <c r="C272" i="62"/>
  <c r="AJ272" i="62"/>
  <c r="Q271" i="62"/>
  <c r="S271" i="62" s="1"/>
  <c r="C271" i="62"/>
  <c r="AJ271" i="62"/>
  <c r="Q270" i="62"/>
  <c r="S270" i="62" s="1"/>
  <c r="C270" i="62"/>
  <c r="AJ270" i="62"/>
  <c r="C269" i="62"/>
  <c r="AJ269" i="62"/>
  <c r="C268" i="62"/>
  <c r="AJ268" i="62"/>
  <c r="C267" i="62"/>
  <c r="AJ267" i="62"/>
  <c r="C266" i="62"/>
  <c r="AJ266" i="62"/>
  <c r="Q265" i="62"/>
  <c r="S265" i="62" s="1"/>
  <c r="C265" i="62"/>
  <c r="AJ265" i="62"/>
  <c r="Q264" i="62"/>
  <c r="S264" i="62" s="1"/>
  <c r="C264" i="62"/>
  <c r="AJ264" i="62"/>
  <c r="Q263" i="62"/>
  <c r="S263" i="62" s="1"/>
  <c r="C263" i="62"/>
  <c r="AJ263" i="62"/>
  <c r="Q262" i="62"/>
  <c r="S262" i="62" s="1"/>
  <c r="C262" i="62"/>
  <c r="AJ262" i="62"/>
  <c r="H262" i="62" s="1"/>
  <c r="Q261" i="62"/>
  <c r="S261" i="62" s="1"/>
  <c r="C261" i="62"/>
  <c r="AJ261" i="62"/>
  <c r="C260" i="62"/>
  <c r="AJ260" i="62"/>
  <c r="C259" i="62"/>
  <c r="AJ259" i="62"/>
  <c r="C258" i="62"/>
  <c r="AJ258" i="62"/>
  <c r="C257" i="62"/>
  <c r="AJ257" i="62"/>
  <c r="Q256" i="62"/>
  <c r="S256" i="62" s="1"/>
  <c r="C256" i="62"/>
  <c r="AJ256" i="62"/>
  <c r="Q255" i="62"/>
  <c r="S255" i="62" s="1"/>
  <c r="C255" i="62"/>
  <c r="AJ255" i="62"/>
  <c r="Q254" i="62"/>
  <c r="S254" i="62" s="1"/>
  <c r="C254" i="62"/>
  <c r="AJ254" i="62"/>
  <c r="H254" i="62" s="1"/>
  <c r="Q253" i="62"/>
  <c r="S253" i="62" s="1"/>
  <c r="C253" i="62"/>
  <c r="AJ253" i="62"/>
  <c r="Q252" i="62"/>
  <c r="S252" i="62" s="1"/>
  <c r="C252" i="62"/>
  <c r="AJ252" i="62"/>
  <c r="C251" i="62"/>
  <c r="AJ251" i="62"/>
  <c r="C250" i="62"/>
  <c r="AJ250" i="62"/>
  <c r="C249" i="62"/>
  <c r="AJ249" i="62"/>
  <c r="C248" i="62"/>
  <c r="AJ248" i="62"/>
  <c r="Q247" i="62"/>
  <c r="S247" i="62" s="1"/>
  <c r="C247" i="62"/>
  <c r="AJ247" i="62"/>
  <c r="Q246" i="62"/>
  <c r="S246" i="62" s="1"/>
  <c r="C246" i="62"/>
  <c r="AJ246" i="62"/>
  <c r="H246" i="62" s="1"/>
  <c r="Q245" i="62"/>
  <c r="S245" i="62" s="1"/>
  <c r="C245" i="62"/>
  <c r="AJ245" i="62"/>
  <c r="Q244" i="62"/>
  <c r="S244" i="62" s="1"/>
  <c r="C244" i="62"/>
  <c r="AJ244" i="62"/>
  <c r="Q243" i="62"/>
  <c r="S243" i="62" s="1"/>
  <c r="C243" i="62"/>
  <c r="AJ243" i="62"/>
  <c r="Q242" i="62"/>
  <c r="S242" i="62" s="1"/>
  <c r="C242" i="62"/>
  <c r="AJ242" i="62"/>
  <c r="C241" i="62"/>
  <c r="AJ241" i="62"/>
  <c r="C240" i="62"/>
  <c r="AJ240" i="62"/>
  <c r="C239" i="62"/>
  <c r="AJ239" i="62"/>
  <c r="Q238" i="62"/>
  <c r="S238" i="62" s="1"/>
  <c r="C238" i="62"/>
  <c r="AJ238" i="62"/>
  <c r="H238" i="62" s="1"/>
  <c r="Q237" i="62"/>
  <c r="S237" i="62" s="1"/>
  <c r="C237" i="62"/>
  <c r="AJ237" i="62"/>
  <c r="Q236" i="62"/>
  <c r="S236" i="62" s="1"/>
  <c r="C236" i="62"/>
  <c r="AJ236" i="62"/>
  <c r="Q235" i="62"/>
  <c r="S235" i="62" s="1"/>
  <c r="C235" i="62"/>
  <c r="AJ235" i="62"/>
  <c r="Q234" i="62"/>
  <c r="S234" i="62" s="1"/>
  <c r="C234" i="62"/>
  <c r="AJ234" i="62"/>
  <c r="C233" i="62"/>
  <c r="AJ233" i="62"/>
  <c r="C232" i="62"/>
  <c r="AJ232" i="62"/>
  <c r="C231" i="62"/>
  <c r="AJ231" i="62"/>
  <c r="Q230" i="62"/>
  <c r="S230" i="62" s="1"/>
  <c r="C230" i="62"/>
  <c r="AJ230" i="62"/>
  <c r="Q229" i="62"/>
  <c r="S229" i="62" s="1"/>
  <c r="C229" i="62"/>
  <c r="AJ229" i="62"/>
  <c r="Q228" i="62"/>
  <c r="S228" i="62" s="1"/>
  <c r="C228" i="62"/>
  <c r="AJ228" i="62"/>
  <c r="Q227" i="62"/>
  <c r="S227" i="62" s="1"/>
  <c r="C227" i="62"/>
  <c r="AJ227" i="62"/>
  <c r="Q226" i="62"/>
  <c r="S226" i="62" s="1"/>
  <c r="C226" i="62"/>
  <c r="AJ226" i="62"/>
  <c r="H226" i="62" s="1"/>
  <c r="C225" i="62"/>
  <c r="AJ225" i="62"/>
  <c r="C224" i="62"/>
  <c r="AJ224" i="62"/>
  <c r="C223" i="62"/>
  <c r="AJ223" i="62"/>
  <c r="Q222" i="62"/>
  <c r="S222" i="62" s="1"/>
  <c r="C222" i="62"/>
  <c r="AJ222" i="62"/>
  <c r="Q221" i="62"/>
  <c r="S221" i="62" s="1"/>
  <c r="C221" i="62"/>
  <c r="AJ221" i="62"/>
  <c r="Q220" i="62"/>
  <c r="S220" i="62" s="1"/>
  <c r="C220" i="62"/>
  <c r="AJ220" i="62"/>
  <c r="Q219" i="62"/>
  <c r="S219" i="62" s="1"/>
  <c r="C219" i="62"/>
  <c r="AJ219" i="62"/>
  <c r="Q218" i="62"/>
  <c r="S218" i="62" s="1"/>
  <c r="C218" i="62"/>
  <c r="AJ218" i="62"/>
  <c r="H218" i="62" s="1"/>
  <c r="C217" i="62"/>
  <c r="AJ217" i="62"/>
  <c r="C216" i="62"/>
  <c r="AJ216" i="62"/>
  <c r="C215" i="62"/>
  <c r="AJ215" i="62"/>
  <c r="Q214" i="62"/>
  <c r="S214" i="62" s="1"/>
  <c r="C214" i="62"/>
  <c r="AJ214" i="62"/>
  <c r="H214" i="62" s="1"/>
  <c r="Q213" i="62"/>
  <c r="S213" i="62" s="1"/>
  <c r="C213" i="62"/>
  <c r="AJ213" i="62"/>
  <c r="Q212" i="62"/>
  <c r="S212" i="62" s="1"/>
  <c r="C212" i="62"/>
  <c r="AJ212" i="62"/>
  <c r="Q211" i="62"/>
  <c r="S211" i="62" s="1"/>
  <c r="C211" i="62"/>
  <c r="AJ211" i="62"/>
  <c r="Q210" i="62"/>
  <c r="S210" i="62" s="1"/>
  <c r="C210" i="62"/>
  <c r="AJ210" i="62"/>
  <c r="H210" i="62" s="1"/>
  <c r="C209" i="62"/>
  <c r="AJ209" i="62"/>
  <c r="C208" i="62"/>
  <c r="AJ208" i="62"/>
  <c r="C207" i="62"/>
  <c r="AJ207" i="62"/>
  <c r="Q206" i="62"/>
  <c r="S206" i="62" s="1"/>
  <c r="C206" i="62"/>
  <c r="AJ206" i="62"/>
  <c r="Q205" i="62"/>
  <c r="S205" i="62" s="1"/>
  <c r="C205" i="62"/>
  <c r="AJ205" i="62"/>
  <c r="Q204" i="62"/>
  <c r="S204" i="62" s="1"/>
  <c r="C204" i="62"/>
  <c r="AJ204" i="62"/>
  <c r="Q203" i="62"/>
  <c r="S203" i="62" s="1"/>
  <c r="C203" i="62"/>
  <c r="AJ203" i="62"/>
  <c r="Q202" i="62"/>
  <c r="S202" i="62" s="1"/>
  <c r="C202" i="62"/>
  <c r="AJ202" i="62"/>
  <c r="H202" i="62" s="1"/>
  <c r="C201" i="62"/>
  <c r="AJ201" i="62"/>
  <c r="C200" i="62"/>
  <c r="AJ200" i="62"/>
  <c r="C199" i="62"/>
  <c r="AJ199" i="62"/>
  <c r="Q198" i="62"/>
  <c r="S198" i="62" s="1"/>
  <c r="C198" i="62"/>
  <c r="AJ198" i="62"/>
  <c r="H198" i="62" s="1"/>
  <c r="Q197" i="62"/>
  <c r="S197" i="62" s="1"/>
  <c r="C197" i="62"/>
  <c r="AJ197" i="62"/>
  <c r="Q196" i="62"/>
  <c r="S196" i="62" s="1"/>
  <c r="C196" i="62"/>
  <c r="AJ196" i="62"/>
  <c r="Q195" i="62"/>
  <c r="S195" i="62" s="1"/>
  <c r="C195" i="62"/>
  <c r="AJ195" i="62"/>
  <c r="Q194" i="62"/>
  <c r="S194" i="62" s="1"/>
  <c r="C194" i="62"/>
  <c r="AJ194" i="62"/>
  <c r="H194" i="62" s="1"/>
  <c r="C193" i="62"/>
  <c r="AJ193" i="62"/>
  <c r="C192" i="62"/>
  <c r="AJ192" i="62"/>
  <c r="C191" i="62"/>
  <c r="AJ191" i="62"/>
  <c r="Q190" i="62"/>
  <c r="S190" i="62" s="1"/>
  <c r="C190" i="62"/>
  <c r="AJ190" i="62"/>
  <c r="Q189" i="62"/>
  <c r="S189" i="62" s="1"/>
  <c r="C189" i="62"/>
  <c r="AJ189" i="62"/>
  <c r="Q188" i="62"/>
  <c r="S188" i="62" s="1"/>
  <c r="C188" i="62"/>
  <c r="AJ188" i="62"/>
  <c r="Q187" i="62"/>
  <c r="S187" i="62" s="1"/>
  <c r="C187" i="62"/>
  <c r="AJ187" i="62"/>
  <c r="Q186" i="62"/>
  <c r="S186" i="62" s="1"/>
  <c r="C186" i="62"/>
  <c r="AJ186" i="62"/>
  <c r="C185" i="62"/>
  <c r="AJ185" i="62"/>
  <c r="C184" i="62"/>
  <c r="AJ184" i="62"/>
  <c r="C183" i="62"/>
  <c r="AJ183" i="62"/>
  <c r="Q182" i="62"/>
  <c r="S182" i="62" s="1"/>
  <c r="C182" i="62"/>
  <c r="AJ182" i="62"/>
  <c r="Q181" i="62"/>
  <c r="S181" i="62" s="1"/>
  <c r="C181" i="62"/>
  <c r="AJ181" i="62"/>
  <c r="Q180" i="62"/>
  <c r="S180" i="62" s="1"/>
  <c r="C180" i="62"/>
  <c r="AJ180" i="62"/>
  <c r="Q179" i="62"/>
  <c r="S179" i="62" s="1"/>
  <c r="C179" i="62"/>
  <c r="AJ179" i="62"/>
  <c r="Q178" i="62"/>
  <c r="S178" i="62" s="1"/>
  <c r="C178" i="62"/>
  <c r="AJ178" i="62"/>
  <c r="Q177" i="62"/>
  <c r="S177" i="62" s="1"/>
  <c r="C177" i="62"/>
  <c r="AJ177" i="62"/>
  <c r="C176" i="62"/>
  <c r="AJ176" i="62"/>
  <c r="C175" i="62"/>
  <c r="AJ175" i="62"/>
  <c r="C174" i="62"/>
  <c r="AJ174" i="62"/>
  <c r="C173" i="62"/>
  <c r="AJ173" i="62"/>
  <c r="C172" i="62"/>
  <c r="AJ172" i="62"/>
  <c r="C171" i="62"/>
  <c r="AJ171" i="62"/>
  <c r="C170" i="62"/>
  <c r="AJ170" i="62"/>
  <c r="C169" i="62"/>
  <c r="AJ169" i="62"/>
  <c r="C168" i="62"/>
  <c r="AJ168" i="62"/>
  <c r="Q167" i="62"/>
  <c r="S167" i="62" s="1"/>
  <c r="C167" i="62"/>
  <c r="AJ167" i="62"/>
  <c r="Q166" i="62"/>
  <c r="S166" i="62" s="1"/>
  <c r="C166" i="62"/>
  <c r="AJ166" i="62"/>
  <c r="Q165" i="62"/>
  <c r="S165" i="62" s="1"/>
  <c r="C165" i="62"/>
  <c r="AJ165" i="62"/>
  <c r="Q164" i="62"/>
  <c r="S164" i="62" s="1"/>
  <c r="C164" i="62"/>
  <c r="AJ164" i="62"/>
  <c r="Q163" i="62"/>
  <c r="S163" i="62" s="1"/>
  <c r="C163" i="62"/>
  <c r="AJ163" i="62"/>
  <c r="Q162" i="62"/>
  <c r="S162" i="62" s="1"/>
  <c r="C162" i="62"/>
  <c r="AJ162" i="62"/>
  <c r="Q161" i="62"/>
  <c r="S161" i="62" s="1"/>
  <c r="C161" i="62"/>
  <c r="AJ161" i="62"/>
  <c r="C160" i="62"/>
  <c r="AJ160" i="62"/>
  <c r="C159" i="62"/>
  <c r="AJ159" i="62"/>
  <c r="C158" i="62"/>
  <c r="AJ158" i="62"/>
  <c r="Q157" i="62"/>
  <c r="S157" i="62" s="1"/>
  <c r="C157" i="62"/>
  <c r="AJ157" i="62"/>
  <c r="Q156" i="62"/>
  <c r="S156" i="62" s="1"/>
  <c r="C156" i="62"/>
  <c r="AJ156" i="62"/>
  <c r="Q155" i="62"/>
  <c r="S155" i="62" s="1"/>
  <c r="C155" i="62"/>
  <c r="AJ155" i="62"/>
  <c r="Q154" i="62"/>
  <c r="S154" i="62" s="1"/>
  <c r="C154" i="62"/>
  <c r="AJ154" i="62"/>
  <c r="Q153" i="62"/>
  <c r="S153" i="62" s="1"/>
  <c r="C153" i="62"/>
  <c r="AJ153" i="62"/>
  <c r="Q152" i="62"/>
  <c r="S152" i="62" s="1"/>
  <c r="C152" i="62"/>
  <c r="AJ152" i="62"/>
  <c r="C151" i="62"/>
  <c r="AJ151" i="62"/>
  <c r="Q150" i="62"/>
  <c r="S150" i="62" s="1"/>
  <c r="C150" i="62"/>
  <c r="AJ150" i="62"/>
  <c r="C149" i="62"/>
  <c r="AJ149" i="62"/>
  <c r="Q148" i="62"/>
  <c r="S148" i="62" s="1"/>
  <c r="C148" i="62"/>
  <c r="AJ148" i="62"/>
  <c r="C147" i="62"/>
  <c r="AJ147" i="62"/>
  <c r="Q146" i="62"/>
  <c r="S146" i="62" s="1"/>
  <c r="C146" i="62"/>
  <c r="AJ146" i="62"/>
  <c r="C145" i="62"/>
  <c r="AJ145" i="62"/>
  <c r="Q144" i="62"/>
  <c r="S144" i="62" s="1"/>
  <c r="C144" i="62"/>
  <c r="AJ144" i="62"/>
  <c r="C143" i="62"/>
  <c r="AJ143" i="62"/>
  <c r="Q142" i="62"/>
  <c r="S142" i="62" s="1"/>
  <c r="C142" i="62"/>
  <c r="AJ142" i="62"/>
  <c r="C141" i="62"/>
  <c r="AJ141" i="62"/>
  <c r="Q140" i="62"/>
  <c r="S140" i="62" s="1"/>
  <c r="C140" i="62"/>
  <c r="AJ140" i="62"/>
  <c r="C139" i="62"/>
  <c r="AJ139" i="62"/>
  <c r="Q138" i="62"/>
  <c r="S138" i="62" s="1"/>
  <c r="C138" i="62"/>
  <c r="AJ138" i="62"/>
  <c r="C137" i="62"/>
  <c r="AJ137" i="62"/>
  <c r="Q136" i="62"/>
  <c r="S136" i="62" s="1"/>
  <c r="C136" i="62"/>
  <c r="AJ136" i="62"/>
  <c r="Q135" i="62"/>
  <c r="S135" i="62" s="1"/>
  <c r="C135" i="62"/>
  <c r="AJ135" i="62"/>
  <c r="Q134" i="62"/>
  <c r="S134" i="62" s="1"/>
  <c r="C134" i="62"/>
  <c r="AJ134" i="62"/>
  <c r="H134" i="62" s="1"/>
  <c r="L11" i="62" l="1"/>
  <c r="L13" i="62"/>
  <c r="L15" i="62"/>
  <c r="L17" i="62"/>
  <c r="L19" i="62"/>
  <c r="L21" i="62"/>
  <c r="L23" i="62"/>
  <c r="L25" i="62"/>
  <c r="L27" i="62"/>
  <c r="L29" i="62"/>
  <c r="L31" i="62"/>
  <c r="L33" i="62"/>
  <c r="L35" i="62"/>
  <c r="L37" i="62"/>
  <c r="L39" i="62"/>
  <c r="L41" i="62"/>
  <c r="L43" i="62"/>
  <c r="L45" i="62"/>
  <c r="L47" i="62"/>
  <c r="L49" i="62"/>
  <c r="L51" i="62"/>
  <c r="L53" i="62"/>
  <c r="L55" i="62"/>
  <c r="L57" i="62"/>
  <c r="L59" i="62"/>
  <c r="L61" i="62"/>
  <c r="L63" i="62"/>
  <c r="L65" i="62"/>
  <c r="L67" i="62"/>
  <c r="L69" i="62"/>
  <c r="L71" i="62"/>
  <c r="L73" i="62"/>
  <c r="L75" i="62"/>
  <c r="L77" i="62"/>
  <c r="L79" i="62"/>
  <c r="L81" i="62"/>
  <c r="L83" i="62"/>
  <c r="L85" i="62"/>
  <c r="L87" i="62"/>
  <c r="L89" i="62"/>
  <c r="L91" i="62"/>
  <c r="L93" i="62"/>
  <c r="L95" i="62"/>
  <c r="L97" i="62"/>
  <c r="L99" i="62"/>
  <c r="L101" i="62"/>
  <c r="L103" i="62"/>
  <c r="L105" i="62"/>
  <c r="L107" i="62"/>
  <c r="L109" i="62"/>
  <c r="L111" i="62"/>
  <c r="L113" i="62"/>
  <c r="L115" i="62"/>
  <c r="L117" i="62"/>
  <c r="L119" i="62"/>
  <c r="L121" i="62"/>
  <c r="L123" i="62"/>
  <c r="L125" i="62"/>
  <c r="L127" i="62"/>
  <c r="L129" i="62"/>
  <c r="L131" i="62"/>
  <c r="L133" i="62"/>
  <c r="L135" i="62"/>
  <c r="L137" i="62"/>
  <c r="L139" i="62"/>
  <c r="L141" i="62"/>
  <c r="L143" i="62"/>
  <c r="L145" i="62"/>
  <c r="L147" i="62"/>
  <c r="L149" i="62"/>
  <c r="L151" i="62"/>
  <c r="L153" i="62"/>
  <c r="L155" i="62"/>
  <c r="L157" i="62"/>
  <c r="L159" i="62"/>
  <c r="L161" i="62"/>
  <c r="L163" i="62"/>
  <c r="L165" i="62"/>
  <c r="L167" i="62"/>
  <c r="L169" i="62"/>
  <c r="L171" i="62"/>
  <c r="L173" i="62"/>
  <c r="L175" i="62"/>
  <c r="L177" i="62"/>
  <c r="L179" i="62"/>
  <c r="L181" i="62"/>
  <c r="L183" i="62"/>
  <c r="L185" i="62"/>
  <c r="L187" i="62"/>
  <c r="L189" i="62"/>
  <c r="L191" i="62"/>
  <c r="L193" i="62"/>
  <c r="L195" i="62"/>
  <c r="L197" i="62"/>
  <c r="L199" i="62"/>
  <c r="L201" i="62"/>
  <c r="L203" i="62"/>
  <c r="L205" i="62"/>
  <c r="L207" i="62"/>
  <c r="L209" i="62"/>
  <c r="L211" i="62"/>
  <c r="L213" i="62"/>
  <c r="L215" i="62"/>
  <c r="L217" i="62"/>
  <c r="L219" i="62"/>
  <c r="L221" i="62"/>
  <c r="L223" i="62"/>
  <c r="L225" i="62"/>
  <c r="L227" i="62"/>
  <c r="L229" i="62"/>
  <c r="L231" i="62"/>
  <c r="L233" i="62"/>
  <c r="L235" i="62"/>
  <c r="L237" i="62"/>
  <c r="L239" i="62"/>
  <c r="L241" i="62"/>
  <c r="L243" i="62"/>
  <c r="L245" i="62"/>
  <c r="L247" i="62"/>
  <c r="L249" i="62"/>
  <c r="L251" i="62"/>
  <c r="L253" i="62"/>
  <c r="L255" i="62"/>
  <c r="L257" i="62"/>
  <c r="L259" i="62"/>
  <c r="L261" i="62"/>
  <c r="L263" i="62"/>
  <c r="L265" i="62"/>
  <c r="L267" i="62"/>
  <c r="L269" i="62"/>
  <c r="L271" i="62"/>
  <c r="L273" i="62"/>
  <c r="L275" i="62"/>
  <c r="L277" i="62"/>
  <c r="L279" i="62"/>
  <c r="L281" i="62"/>
  <c r="L283" i="62"/>
  <c r="L285" i="62"/>
  <c r="L287" i="62"/>
  <c r="L289" i="62"/>
  <c r="L291" i="62"/>
  <c r="L293" i="62"/>
  <c r="L295" i="62"/>
  <c r="L297" i="62"/>
  <c r="L299" i="62"/>
  <c r="L301" i="62"/>
  <c r="L303" i="62"/>
  <c r="L305" i="62"/>
  <c r="L307" i="62"/>
  <c r="L309" i="62"/>
  <c r="L311" i="62"/>
  <c r="H163" i="62"/>
  <c r="L12" i="62"/>
  <c r="L14" i="62"/>
  <c r="L16" i="62"/>
  <c r="L18" i="62"/>
  <c r="L20" i="62"/>
  <c r="L22" i="62"/>
  <c r="L24" i="62"/>
  <c r="L26" i="62"/>
  <c r="L28" i="62"/>
  <c r="L30" i="62"/>
  <c r="L32" i="62"/>
  <c r="L34" i="62"/>
  <c r="L36" i="62"/>
  <c r="L38" i="62"/>
  <c r="L40" i="62"/>
  <c r="L42" i="62"/>
  <c r="L44" i="62"/>
  <c r="L46" i="62"/>
  <c r="L48" i="62"/>
  <c r="L50" i="62"/>
  <c r="L52" i="62"/>
  <c r="L54" i="62"/>
  <c r="L56" i="62"/>
  <c r="L58" i="62"/>
  <c r="L60" i="62"/>
  <c r="L62" i="62"/>
  <c r="L64" i="62"/>
  <c r="L66" i="62"/>
  <c r="L68" i="62"/>
  <c r="L70" i="62"/>
  <c r="L72" i="62"/>
  <c r="L74" i="62"/>
  <c r="L76" i="62"/>
  <c r="L78" i="62"/>
  <c r="L80" i="62"/>
  <c r="L82" i="62"/>
  <c r="L84" i="62"/>
  <c r="L86" i="62"/>
  <c r="L88" i="62"/>
  <c r="L90" i="62"/>
  <c r="L92" i="62"/>
  <c r="L94" i="62"/>
  <c r="L96" i="62"/>
  <c r="L98" i="62"/>
  <c r="L100" i="62"/>
  <c r="L102" i="62"/>
  <c r="L104" i="62"/>
  <c r="L106" i="62"/>
  <c r="L108" i="62"/>
  <c r="L110" i="62"/>
  <c r="L112" i="62"/>
  <c r="L114" i="62"/>
  <c r="L116" i="62"/>
  <c r="L118" i="62"/>
  <c r="L120" i="62"/>
  <c r="L122" i="62"/>
  <c r="L124" i="62"/>
  <c r="L126" i="62"/>
  <c r="L128" i="62"/>
  <c r="L130" i="62"/>
  <c r="L132" i="62"/>
  <c r="L134" i="62"/>
  <c r="L136" i="62"/>
  <c r="L138" i="62"/>
  <c r="L140" i="62"/>
  <c r="L142" i="62"/>
  <c r="L144" i="62"/>
  <c r="L146" i="62"/>
  <c r="L148" i="62"/>
  <c r="L150" i="62"/>
  <c r="L152" i="62"/>
  <c r="L154" i="62"/>
  <c r="L156" i="62"/>
  <c r="L158" i="62"/>
  <c r="L160" i="62"/>
  <c r="L162" i="62"/>
  <c r="L164" i="62"/>
  <c r="L166" i="62"/>
  <c r="L168" i="62"/>
  <c r="L170" i="62"/>
  <c r="L172" i="62"/>
  <c r="L174" i="62"/>
  <c r="L176" i="62"/>
  <c r="L178" i="62"/>
  <c r="L180" i="62"/>
  <c r="L182" i="62"/>
  <c r="L184" i="62"/>
  <c r="L186" i="62"/>
  <c r="L188" i="62"/>
  <c r="L190" i="62"/>
  <c r="L192" i="62"/>
  <c r="L194" i="62"/>
  <c r="L196" i="62"/>
  <c r="L198" i="62"/>
  <c r="L200" i="62"/>
  <c r="L202" i="62"/>
  <c r="L204" i="62"/>
  <c r="L206" i="62"/>
  <c r="L208" i="62"/>
  <c r="L210" i="62"/>
  <c r="L212" i="62"/>
  <c r="L214" i="62"/>
  <c r="L216" i="62"/>
  <c r="L218" i="62"/>
  <c r="L220" i="62"/>
  <c r="L222" i="62"/>
  <c r="L224" i="62"/>
  <c r="L226" i="62"/>
  <c r="L228" i="62"/>
  <c r="L230" i="62"/>
  <c r="L232" i="62"/>
  <c r="L234" i="62"/>
  <c r="L236" i="62"/>
  <c r="L238" i="62"/>
  <c r="L240" i="62"/>
  <c r="L242" i="62"/>
  <c r="L244" i="62"/>
  <c r="L246" i="62"/>
  <c r="L248" i="62"/>
  <c r="L250" i="62"/>
  <c r="L252" i="62"/>
  <c r="L254" i="62"/>
  <c r="L256" i="62"/>
  <c r="L258" i="62"/>
  <c r="L260" i="62"/>
  <c r="L262" i="62"/>
  <c r="L264" i="62"/>
  <c r="L266" i="62"/>
  <c r="L268" i="62"/>
  <c r="L270" i="62"/>
  <c r="L272" i="62"/>
  <c r="L274" i="62"/>
  <c r="L276" i="62"/>
  <c r="L278" i="62"/>
  <c r="L280" i="62"/>
  <c r="L282" i="62"/>
  <c r="L284" i="62"/>
  <c r="L286" i="62"/>
  <c r="L288" i="62"/>
  <c r="L290" i="62"/>
  <c r="L292" i="62"/>
  <c r="L294" i="62"/>
  <c r="L296" i="62"/>
  <c r="L298" i="62"/>
  <c r="L300" i="62"/>
  <c r="L302" i="62"/>
  <c r="L304" i="62"/>
  <c r="L306" i="62"/>
  <c r="L308" i="62"/>
  <c r="L310" i="62"/>
  <c r="L9" i="62"/>
  <c r="L10" i="62"/>
  <c r="D157" i="73"/>
  <c r="AC157" i="73"/>
  <c r="D181" i="73"/>
  <c r="AC181" i="73"/>
  <c r="AC261" i="73"/>
  <c r="D261" i="73"/>
  <c r="AC277" i="73"/>
  <c r="D277" i="73"/>
  <c r="AC148" i="73"/>
  <c r="D148" i="73"/>
  <c r="D156" i="73"/>
  <c r="AC156" i="73"/>
  <c r="D180" i="73"/>
  <c r="AC180" i="73"/>
  <c r="D196" i="73"/>
  <c r="AC196" i="73"/>
  <c r="D204" i="73"/>
  <c r="AC204" i="73"/>
  <c r="D212" i="73"/>
  <c r="AC212" i="73"/>
  <c r="D220" i="73"/>
  <c r="AC220" i="73"/>
  <c r="D228" i="73"/>
  <c r="AC228" i="73"/>
  <c r="D236" i="73"/>
  <c r="AC236" i="73"/>
  <c r="D244" i="73"/>
  <c r="AC244" i="73"/>
  <c r="D252" i="73"/>
  <c r="AC252" i="73"/>
  <c r="D260" i="73"/>
  <c r="AC260" i="73"/>
  <c r="D268" i="73"/>
  <c r="AC268" i="73"/>
  <c r="D269" i="73"/>
  <c r="AC269" i="73"/>
  <c r="D147" i="73"/>
  <c r="AC147" i="73"/>
  <c r="AC155" i="73"/>
  <c r="D155" i="73"/>
  <c r="D171" i="73"/>
  <c r="AC171" i="73"/>
  <c r="D179" i="73"/>
  <c r="AC179" i="73"/>
  <c r="D187" i="73"/>
  <c r="AC187" i="73"/>
  <c r="D195" i="73"/>
  <c r="AC195" i="73"/>
  <c r="AC203" i="73"/>
  <c r="D203" i="73"/>
  <c r="D211" i="73"/>
  <c r="AC211" i="73"/>
  <c r="D219" i="73"/>
  <c r="AC219" i="73"/>
  <c r="D227" i="73"/>
  <c r="AC227" i="73"/>
  <c r="D235" i="73"/>
  <c r="AC235" i="73"/>
  <c r="D243" i="73"/>
  <c r="AC243" i="73"/>
  <c r="D251" i="73"/>
  <c r="AC251" i="73"/>
  <c r="AC259" i="73"/>
  <c r="D259" i="73"/>
  <c r="D307" i="73"/>
  <c r="AC307" i="73"/>
  <c r="D315" i="73"/>
  <c r="AC315" i="73"/>
  <c r="AC154" i="73"/>
  <c r="D154" i="73"/>
  <c r="AC218" i="73"/>
  <c r="D218" i="73"/>
  <c r="D250" i="73"/>
  <c r="AC250" i="73"/>
  <c r="D153" i="73"/>
  <c r="AC153" i="73"/>
  <c r="AC161" i="73"/>
  <c r="D161" i="73"/>
  <c r="D169" i="73"/>
  <c r="AC169" i="73"/>
  <c r="D185" i="73"/>
  <c r="AC185" i="73"/>
  <c r="AC289" i="73"/>
  <c r="D289" i="73"/>
  <c r="D297" i="73"/>
  <c r="AC297" i="73"/>
  <c r="D305" i="73"/>
  <c r="AC305" i="73"/>
  <c r="AC313" i="73"/>
  <c r="D313" i="73"/>
  <c r="D321" i="73"/>
  <c r="AC321" i="73"/>
  <c r="AC149" i="73"/>
  <c r="D149" i="73"/>
  <c r="AC298" i="73"/>
  <c r="D298" i="73"/>
  <c r="AC152" i="73"/>
  <c r="D152" i="73"/>
  <c r="D160" i="73"/>
  <c r="AC160" i="73"/>
  <c r="D184" i="73"/>
  <c r="AC184" i="73"/>
  <c r="D296" i="73"/>
  <c r="AC296" i="73"/>
  <c r="D186" i="73"/>
  <c r="AC186" i="73"/>
  <c r="D194" i="73"/>
  <c r="AC194" i="73"/>
  <c r="D202" i="73"/>
  <c r="AC202" i="73"/>
  <c r="D210" i="73"/>
  <c r="AC210" i="73"/>
  <c r="AC226" i="73"/>
  <c r="D226" i="73"/>
  <c r="AC234" i="73"/>
  <c r="D234" i="73"/>
  <c r="AC242" i="73"/>
  <c r="D242" i="73"/>
  <c r="AC314" i="73"/>
  <c r="D314" i="73"/>
  <c r="D280" i="73"/>
  <c r="AC280" i="73"/>
  <c r="D288" i="73"/>
  <c r="AC288" i="73"/>
  <c r="D304" i="73"/>
  <c r="AC304" i="73"/>
  <c r="AC151" i="73"/>
  <c r="D151" i="73"/>
  <c r="D159" i="73"/>
  <c r="AC159" i="73"/>
  <c r="D183" i="73"/>
  <c r="AC183" i="73"/>
  <c r="D271" i="73"/>
  <c r="AC271" i="73"/>
  <c r="D279" i="73"/>
  <c r="AC279" i="73"/>
  <c r="D287" i="73"/>
  <c r="AC287" i="73"/>
  <c r="D295" i="73"/>
  <c r="AC295" i="73"/>
  <c r="AC162" i="73"/>
  <c r="D162" i="73"/>
  <c r="AC170" i="73"/>
  <c r="D170" i="73"/>
  <c r="D178" i="73"/>
  <c r="AC178" i="73"/>
  <c r="AC306" i="73"/>
  <c r="D306" i="73"/>
  <c r="D322" i="73"/>
  <c r="AC322" i="73"/>
  <c r="AC150" i="73"/>
  <c r="D150" i="73"/>
  <c r="AC158" i="73"/>
  <c r="D158" i="73"/>
  <c r="D182" i="73"/>
  <c r="AC182" i="73"/>
  <c r="AC262" i="73"/>
  <c r="D262" i="73"/>
  <c r="AC270" i="73"/>
  <c r="D270" i="73"/>
  <c r="AC278" i="73"/>
  <c r="D278" i="73"/>
  <c r="AC286" i="73"/>
  <c r="D286" i="73"/>
  <c r="H165" i="62"/>
  <c r="H293" i="62"/>
  <c r="H297" i="62"/>
  <c r="H305" i="62"/>
  <c r="H228" i="62"/>
  <c r="H232" i="62"/>
  <c r="H240" i="62"/>
  <c r="H244" i="62"/>
  <c r="H252" i="62"/>
  <c r="H256" i="62"/>
  <c r="H260" i="62"/>
  <c r="H284" i="62"/>
  <c r="H308" i="62"/>
  <c r="H156" i="62"/>
  <c r="H265" i="62"/>
  <c r="H292" i="62"/>
  <c r="H149" i="62"/>
  <c r="H153" i="62"/>
  <c r="H173" i="62"/>
  <c r="H281" i="62"/>
  <c r="H236" i="62"/>
  <c r="H151" i="62"/>
  <c r="H171" i="62"/>
  <c r="H279" i="62"/>
  <c r="H271" i="62"/>
  <c r="H299" i="62"/>
  <c r="H182" i="62"/>
  <c r="H186" i="62"/>
  <c r="H141" i="62"/>
  <c r="H273" i="62"/>
  <c r="H301" i="62"/>
  <c r="E135" i="62"/>
  <c r="E136" i="62"/>
  <c r="E137" i="62"/>
  <c r="E139" i="62"/>
  <c r="E140" i="62"/>
  <c r="E141" i="62"/>
  <c r="E142" i="62"/>
  <c r="E143" i="62"/>
  <c r="E144" i="62"/>
  <c r="E145" i="62"/>
  <c r="E147" i="62"/>
  <c r="E148" i="62"/>
  <c r="E149" i="62"/>
  <c r="E150" i="62"/>
  <c r="E151" i="62"/>
  <c r="E152" i="62"/>
  <c r="E153" i="62"/>
  <c r="E156" i="62"/>
  <c r="E157" i="62"/>
  <c r="E158" i="62"/>
  <c r="E159" i="62"/>
  <c r="E160" i="62"/>
  <c r="E161" i="62"/>
  <c r="E163" i="62"/>
  <c r="E164" i="62"/>
  <c r="E165" i="62"/>
  <c r="AI165" i="62" s="1"/>
  <c r="AK165" i="62" s="1"/>
  <c r="AL165" i="62" s="1"/>
  <c r="E166" i="62"/>
  <c r="E167" i="62"/>
  <c r="E168" i="62"/>
  <c r="E169" i="62"/>
  <c r="E170" i="62"/>
  <c r="E171" i="62"/>
  <c r="E172" i="62"/>
  <c r="E173" i="62"/>
  <c r="E174" i="62"/>
  <c r="E175" i="62"/>
  <c r="E176" i="62"/>
  <c r="E177" i="62"/>
  <c r="E179" i="62"/>
  <c r="E180" i="62"/>
  <c r="E181" i="62"/>
  <c r="E182" i="62"/>
  <c r="E183" i="62"/>
  <c r="E184" i="62"/>
  <c r="E185" i="62"/>
  <c r="E186" i="62"/>
  <c r="E187" i="62"/>
  <c r="E188" i="62"/>
  <c r="E189" i="62"/>
  <c r="E190" i="62"/>
  <c r="E191" i="62"/>
  <c r="E192" i="62"/>
  <c r="E193" i="62"/>
  <c r="E194" i="62"/>
  <c r="E195" i="62"/>
  <c r="E196" i="62"/>
  <c r="E197" i="62"/>
  <c r="E198" i="62"/>
  <c r="AI198" i="62" s="1"/>
  <c r="AK198" i="62" s="1"/>
  <c r="AL198" i="62" s="1"/>
  <c r="AM198" i="62" s="1"/>
  <c r="E199" i="62"/>
  <c r="E200" i="62"/>
  <c r="E201" i="62"/>
  <c r="E202" i="62"/>
  <c r="E203" i="62"/>
  <c r="E204" i="62"/>
  <c r="E205" i="62"/>
  <c r="E206" i="62"/>
  <c r="E207" i="62"/>
  <c r="E208" i="62"/>
  <c r="E209" i="62"/>
  <c r="E210" i="62"/>
  <c r="E211" i="62"/>
  <c r="E212" i="62"/>
  <c r="E213" i="62"/>
  <c r="E214" i="62"/>
  <c r="AI214" i="62" s="1"/>
  <c r="AK214" i="62" s="1"/>
  <c r="AL214" i="62" s="1"/>
  <c r="E215" i="62"/>
  <c r="E216" i="62"/>
  <c r="E217" i="62"/>
  <c r="E218" i="62"/>
  <c r="E219" i="62"/>
  <c r="E220" i="62"/>
  <c r="E221" i="62"/>
  <c r="E222" i="62"/>
  <c r="E223" i="62"/>
  <c r="E224" i="62"/>
  <c r="E225" i="62"/>
  <c r="E226" i="62"/>
  <c r="E227" i="62"/>
  <c r="E228" i="62"/>
  <c r="E229" i="62"/>
  <c r="E231" i="62"/>
  <c r="E232" i="62"/>
  <c r="E234" i="62"/>
  <c r="E235" i="62"/>
  <c r="E236" i="62"/>
  <c r="E237" i="62"/>
  <c r="E238" i="62"/>
  <c r="E240" i="62"/>
  <c r="E242" i="62"/>
  <c r="E243" i="62"/>
  <c r="E244" i="62"/>
  <c r="E245" i="62"/>
  <c r="E246" i="62"/>
  <c r="AI246" i="62" s="1"/>
  <c r="AK246" i="62" s="1"/>
  <c r="AL246" i="62" s="1"/>
  <c r="E248" i="62"/>
  <c r="E250" i="62"/>
  <c r="E252" i="62"/>
  <c r="E253" i="62"/>
  <c r="E254" i="62"/>
  <c r="E255" i="62"/>
  <c r="E256" i="62"/>
  <c r="E257" i="62"/>
  <c r="E258" i="62"/>
  <c r="E260" i="62"/>
  <c r="E261" i="62"/>
  <c r="E262" i="62"/>
  <c r="AI262" i="62" s="1"/>
  <c r="AK262" i="62" s="1"/>
  <c r="AL262" i="62" s="1"/>
  <c r="AM262" i="62" s="1"/>
  <c r="E263" i="62"/>
  <c r="E264" i="62"/>
  <c r="E265" i="62"/>
  <c r="E266" i="62"/>
  <c r="E267" i="62"/>
  <c r="E268" i="62"/>
  <c r="E269" i="62"/>
  <c r="E270" i="62"/>
  <c r="E271" i="62"/>
  <c r="E272" i="62"/>
  <c r="E273" i="62"/>
  <c r="E274" i="62"/>
  <c r="E275" i="62"/>
  <c r="E276" i="62"/>
  <c r="E277" i="62"/>
  <c r="E278" i="62"/>
  <c r="E279" i="62"/>
  <c r="E280" i="62"/>
  <c r="E281" i="62"/>
  <c r="E282" i="62"/>
  <c r="E284" i="62"/>
  <c r="E285" i="62"/>
  <c r="E286" i="62"/>
  <c r="E288" i="62"/>
  <c r="E289" i="62"/>
  <c r="E290" i="62"/>
  <c r="E292" i="62"/>
  <c r="E293" i="62"/>
  <c r="E294" i="62"/>
  <c r="E296" i="62"/>
  <c r="E297" i="62"/>
  <c r="E298" i="62"/>
  <c r="E299" i="62"/>
  <c r="E300" i="62"/>
  <c r="E301" i="62"/>
  <c r="E302" i="62"/>
  <c r="E304" i="62"/>
  <c r="E305" i="62"/>
  <c r="E306" i="62"/>
  <c r="E308" i="62"/>
  <c r="E309" i="62"/>
  <c r="E310" i="62"/>
  <c r="E155" i="62"/>
  <c r="E178" i="62"/>
  <c r="E283" i="62"/>
  <c r="E287" i="62"/>
  <c r="E291" i="62"/>
  <c r="E295" i="62"/>
  <c r="E303" i="62"/>
  <c r="E307" i="62"/>
  <c r="H307" i="62"/>
  <c r="E311" i="62"/>
  <c r="H311" i="62"/>
  <c r="E230" i="62"/>
  <c r="AM237" i="62"/>
  <c r="AM273" i="62"/>
  <c r="H142" i="62"/>
  <c r="H143" i="62"/>
  <c r="H145" i="62"/>
  <c r="H150" i="62"/>
  <c r="AM156" i="62"/>
  <c r="H159" i="62"/>
  <c r="H243" i="62"/>
  <c r="H139" i="62"/>
  <c r="H147" i="62"/>
  <c r="H157" i="62"/>
  <c r="H195" i="62"/>
  <c r="H140" i="62"/>
  <c r="H148" i="62"/>
  <c r="H188" i="62"/>
  <c r="H135" i="62"/>
  <c r="H267" i="62"/>
  <c r="H283" i="62"/>
  <c r="H205" i="62"/>
  <c r="H309" i="62"/>
  <c r="H137" i="62"/>
  <c r="H144" i="62"/>
  <c r="H161" i="62"/>
  <c r="H175" i="62"/>
  <c r="H177" i="62"/>
  <c r="H183" i="62"/>
  <c r="H193" i="62"/>
  <c r="H221" i="62"/>
  <c r="AM229" i="62"/>
  <c r="AM134" i="62"/>
  <c r="H136" i="62"/>
  <c r="H152" i="62"/>
  <c r="AM165" i="62"/>
  <c r="H167" i="62"/>
  <c r="H169" i="62"/>
  <c r="AM213" i="62"/>
  <c r="H275" i="62"/>
  <c r="H276" i="62"/>
  <c r="H158" i="62"/>
  <c r="H164" i="62"/>
  <c r="H166" i="62"/>
  <c r="H172" i="62"/>
  <c r="H184" i="62"/>
  <c r="H189" i="62"/>
  <c r="AM197" i="62"/>
  <c r="H215" i="62"/>
  <c r="H248" i="62"/>
  <c r="H253" i="62"/>
  <c r="H266" i="62"/>
  <c r="H288" i="62"/>
  <c r="AM300" i="62"/>
  <c r="H303" i="62"/>
  <c r="H179" i="62"/>
  <c r="H199" i="62"/>
  <c r="H206" i="62"/>
  <c r="H222" i="62"/>
  <c r="H235" i="62"/>
  <c r="H250" i="62"/>
  <c r="H268" i="62"/>
  <c r="H302" i="62"/>
  <c r="H168" i="62"/>
  <c r="H170" i="62"/>
  <c r="H176" i="62"/>
  <c r="AM181" i="62"/>
  <c r="H190" i="62"/>
  <c r="H200" i="62"/>
  <c r="H204" i="62"/>
  <c r="H209" i="62"/>
  <c r="H211" i="62"/>
  <c r="AM214" i="62"/>
  <c r="H216" i="62"/>
  <c r="H220" i="62"/>
  <c r="H225" i="62"/>
  <c r="AM246" i="62"/>
  <c r="H263" i="62"/>
  <c r="H274" i="62"/>
  <c r="H285" i="62"/>
  <c r="H289" i="62"/>
  <c r="AM308" i="62"/>
  <c r="H310" i="62"/>
  <c r="H181" i="62"/>
  <c r="H187" i="62"/>
  <c r="AM189" i="62"/>
  <c r="H192" i="62"/>
  <c r="H197" i="62"/>
  <c r="H203" i="62"/>
  <c r="AM205" i="62"/>
  <c r="H208" i="62"/>
  <c r="H213" i="62"/>
  <c r="H219" i="62"/>
  <c r="AM221" i="62"/>
  <c r="H224" i="62"/>
  <c r="H230" i="62"/>
  <c r="H242" i="62"/>
  <c r="H245" i="62"/>
  <c r="H264" i="62"/>
  <c r="H269" i="62"/>
  <c r="H272" i="62"/>
  <c r="H277" i="62"/>
  <c r="H280" i="62"/>
  <c r="AM282" i="62"/>
  <c r="AM291" i="62"/>
  <c r="H296" i="62"/>
  <c r="H300" i="62"/>
  <c r="H180" i="62"/>
  <c r="H185" i="62"/>
  <c r="H191" i="62"/>
  <c r="H196" i="62"/>
  <c r="H201" i="62"/>
  <c r="H207" i="62"/>
  <c r="H212" i="62"/>
  <c r="H217" i="62"/>
  <c r="H223" i="62"/>
  <c r="H234" i="62"/>
  <c r="H237" i="62"/>
  <c r="H251" i="62"/>
  <c r="AM255" i="62"/>
  <c r="H258" i="62"/>
  <c r="H261" i="62"/>
  <c r="H270" i="62"/>
  <c r="H278" i="62"/>
  <c r="H291" i="62"/>
  <c r="H295" i="62"/>
  <c r="H298" i="62"/>
  <c r="H227" i="62"/>
  <c r="H231" i="62"/>
  <c r="H255" i="62"/>
  <c r="H257" i="62"/>
  <c r="AM264" i="62"/>
  <c r="H287" i="62"/>
  <c r="H306" i="62"/>
  <c r="E259" i="62"/>
  <c r="E233" i="62"/>
  <c r="E239" i="62"/>
  <c r="E241" i="62"/>
  <c r="E247" i="62"/>
  <c r="E249" i="62"/>
  <c r="H259" i="62"/>
  <c r="H229" i="62"/>
  <c r="H233" i="62"/>
  <c r="H239" i="62"/>
  <c r="H241" i="62"/>
  <c r="H247" i="62"/>
  <c r="H249" i="62"/>
  <c r="E251" i="62"/>
  <c r="H304" i="62"/>
  <c r="H282" i="62"/>
  <c r="H286" i="62"/>
  <c r="H290" i="62"/>
  <c r="H294" i="62"/>
  <c r="E134" i="62"/>
  <c r="AI134" i="62" s="1"/>
  <c r="AK134" i="62" s="1"/>
  <c r="AL134" i="62" s="1"/>
  <c r="H138" i="62"/>
  <c r="H146" i="62"/>
  <c r="H154" i="62"/>
  <c r="E138" i="62"/>
  <c r="E146" i="62"/>
  <c r="E154" i="62"/>
  <c r="H178" i="62"/>
  <c r="H155" i="62"/>
  <c r="E162" i="62"/>
  <c r="H160" i="62"/>
  <c r="H162" i="62"/>
  <c r="H174" i="62"/>
  <c r="AI252" i="62" l="1"/>
  <c r="AK252" i="62" s="1"/>
  <c r="AL252" i="62" s="1"/>
  <c r="AM252" i="62" s="1"/>
  <c r="AI153" i="62"/>
  <c r="AK153" i="62" s="1"/>
  <c r="AL153" i="62" s="1"/>
  <c r="AM153" i="62" s="1"/>
  <c r="AI163" i="62"/>
  <c r="AK163" i="62" s="1"/>
  <c r="AL163" i="62" s="1"/>
  <c r="AM163" i="62" s="1"/>
  <c r="AI261" i="62"/>
  <c r="AK261" i="62" s="1"/>
  <c r="AL261" i="62" s="1"/>
  <c r="AM261" i="62" s="1"/>
  <c r="AI238" i="62"/>
  <c r="AK238" i="62" s="1"/>
  <c r="AL238" i="62" s="1"/>
  <c r="AM238" i="62" s="1"/>
  <c r="AI254" i="62"/>
  <c r="AK254" i="62" s="1"/>
  <c r="AL254" i="62" s="1"/>
  <c r="AM254" i="62" s="1"/>
  <c r="AI256" i="62"/>
  <c r="AK256" i="62" s="1"/>
  <c r="AL256" i="62" s="1"/>
  <c r="AM256" i="62" s="1"/>
  <c r="AI226" i="62"/>
  <c r="AK226" i="62" s="1"/>
  <c r="AL226" i="62" s="1"/>
  <c r="AM226" i="62" s="1"/>
  <c r="AI218" i="62"/>
  <c r="AK218" i="62" s="1"/>
  <c r="AL218" i="62" s="1"/>
  <c r="AM218" i="62" s="1"/>
  <c r="AI210" i="62"/>
  <c r="AK210" i="62" s="1"/>
  <c r="AL210" i="62" s="1"/>
  <c r="AM210" i="62" s="1"/>
  <c r="AI202" i="62"/>
  <c r="AK202" i="62" s="1"/>
  <c r="AL202" i="62" s="1"/>
  <c r="AM202" i="62" s="1"/>
  <c r="AI194" i="62"/>
  <c r="AK194" i="62" s="1"/>
  <c r="AL194" i="62" s="1"/>
  <c r="AM194" i="62" s="1"/>
  <c r="E297" i="73"/>
  <c r="AK297" i="73"/>
  <c r="E244" i="73"/>
  <c r="AK244" i="73"/>
  <c r="AI236" i="62"/>
  <c r="AK236" i="62" s="1"/>
  <c r="AL236" i="62" s="1"/>
  <c r="AM236" i="62" s="1"/>
  <c r="AK178" i="73"/>
  <c r="E178" i="73"/>
  <c r="AK159" i="73"/>
  <c r="E159" i="73"/>
  <c r="E242" i="73"/>
  <c r="AK242" i="73"/>
  <c r="E313" i="73"/>
  <c r="AK313" i="73"/>
  <c r="E289" i="73"/>
  <c r="AK289" i="73"/>
  <c r="AK161" i="73"/>
  <c r="E161" i="73"/>
  <c r="E259" i="73"/>
  <c r="AK259" i="73"/>
  <c r="E269" i="73"/>
  <c r="AK269" i="73"/>
  <c r="E220" i="73"/>
  <c r="AK220" i="73"/>
  <c r="AK180" i="73"/>
  <c r="E180" i="73"/>
  <c r="E150" i="73"/>
  <c r="AK150" i="73"/>
  <c r="E298" i="73"/>
  <c r="AK298" i="73"/>
  <c r="AK169" i="73"/>
  <c r="E169" i="73"/>
  <c r="E219" i="73"/>
  <c r="AK219" i="73"/>
  <c r="E306" i="73"/>
  <c r="AK306" i="73"/>
  <c r="AK170" i="73"/>
  <c r="E170" i="73"/>
  <c r="E288" i="73"/>
  <c r="AK288" i="73"/>
  <c r="AK194" i="73"/>
  <c r="E194" i="73"/>
  <c r="AK184" i="73"/>
  <c r="E184" i="73"/>
  <c r="AK185" i="73"/>
  <c r="E185" i="73"/>
  <c r="E250" i="73"/>
  <c r="AK250" i="73"/>
  <c r="E235" i="73"/>
  <c r="AK235" i="73"/>
  <c r="E195" i="73"/>
  <c r="AK195" i="73"/>
  <c r="E260" i="73"/>
  <c r="AK260" i="73"/>
  <c r="AK156" i="73"/>
  <c r="E156" i="73"/>
  <c r="E277" i="73"/>
  <c r="AK277" i="73"/>
  <c r="E270" i="73"/>
  <c r="AK270" i="73"/>
  <c r="E279" i="73"/>
  <c r="AK279" i="73"/>
  <c r="AK151" i="73"/>
  <c r="E151" i="73"/>
  <c r="E314" i="73"/>
  <c r="AK314" i="73"/>
  <c r="E211" i="73"/>
  <c r="AK211" i="73"/>
  <c r="AK171" i="73"/>
  <c r="E171" i="73"/>
  <c r="E236" i="73"/>
  <c r="AK236" i="73"/>
  <c r="E196" i="73"/>
  <c r="AK196" i="73"/>
  <c r="AK148" i="73"/>
  <c r="E148" i="73"/>
  <c r="E179" i="73"/>
  <c r="AK179" i="73"/>
  <c r="AI195" i="62"/>
  <c r="AK195" i="62" s="1"/>
  <c r="AL195" i="62" s="1"/>
  <c r="AM195" i="62" s="1"/>
  <c r="AK158" i="73"/>
  <c r="E158" i="73"/>
  <c r="E210" i="73"/>
  <c r="AK210" i="73"/>
  <c r="E315" i="73"/>
  <c r="AK315" i="73"/>
  <c r="AK147" i="73"/>
  <c r="E147" i="73"/>
  <c r="E212" i="73"/>
  <c r="AK212" i="73"/>
  <c r="E183" i="73"/>
  <c r="AK183" i="73"/>
  <c r="E286" i="73"/>
  <c r="AK286" i="73"/>
  <c r="E182" i="73"/>
  <c r="AK182" i="73"/>
  <c r="AK162" i="73"/>
  <c r="E162" i="73"/>
  <c r="E295" i="73"/>
  <c r="AK295" i="73"/>
  <c r="E280" i="73"/>
  <c r="AK280" i="73"/>
  <c r="E234" i="73"/>
  <c r="AK234" i="73"/>
  <c r="AK186" i="73"/>
  <c r="E186" i="73"/>
  <c r="AK160" i="73"/>
  <c r="E160" i="73"/>
  <c r="E305" i="73"/>
  <c r="AK305" i="73"/>
  <c r="E218" i="73"/>
  <c r="AK218" i="73"/>
  <c r="E251" i="73"/>
  <c r="AK251" i="73"/>
  <c r="E227" i="73"/>
  <c r="AK227" i="73"/>
  <c r="E187" i="73"/>
  <c r="AK187" i="73"/>
  <c r="AK181" i="73"/>
  <c r="E181" i="73"/>
  <c r="AK322" i="73"/>
  <c r="E322" i="73"/>
  <c r="E287" i="73"/>
  <c r="AK287" i="73"/>
  <c r="AK155" i="73"/>
  <c r="E155" i="73"/>
  <c r="E262" i="73"/>
  <c r="AK262" i="73"/>
  <c r="E271" i="73"/>
  <c r="AK271" i="73"/>
  <c r="AK202" i="73"/>
  <c r="E202" i="73"/>
  <c r="E149" i="73"/>
  <c r="AK149" i="73"/>
  <c r="AK153" i="73"/>
  <c r="E153" i="73"/>
  <c r="AE153" i="73"/>
  <c r="E203" i="73"/>
  <c r="AK203" i="73"/>
  <c r="E252" i="73"/>
  <c r="AK252" i="73"/>
  <c r="E228" i="73"/>
  <c r="AK228" i="73"/>
  <c r="E261" i="73"/>
  <c r="AK261" i="73"/>
  <c r="E278" i="73"/>
  <c r="AK278" i="73"/>
  <c r="E304" i="73"/>
  <c r="AK304" i="73"/>
  <c r="E226" i="73"/>
  <c r="AK226" i="73"/>
  <c r="E296" i="73"/>
  <c r="AK296" i="73"/>
  <c r="AK152" i="73"/>
  <c r="E152" i="73"/>
  <c r="AK321" i="73"/>
  <c r="E321" i="73"/>
  <c r="AK154" i="73"/>
  <c r="E154" i="73"/>
  <c r="E307" i="73"/>
  <c r="AK307" i="73"/>
  <c r="E243" i="73"/>
  <c r="AK243" i="73"/>
  <c r="E268" i="73"/>
  <c r="AK268" i="73"/>
  <c r="AK204" i="73"/>
  <c r="E204" i="73"/>
  <c r="AK157" i="73"/>
  <c r="E157" i="73"/>
  <c r="AF159" i="73"/>
  <c r="AI299" i="62"/>
  <c r="AK299" i="62" s="1"/>
  <c r="AL299" i="62" s="1"/>
  <c r="AM299" i="62" s="1"/>
  <c r="AI166" i="62"/>
  <c r="AK166" i="62" s="1"/>
  <c r="AL166" i="62" s="1"/>
  <c r="AM166" i="62" s="1"/>
  <c r="AI187" i="62"/>
  <c r="AK187" i="62" s="1"/>
  <c r="AL187" i="62" s="1"/>
  <c r="AM187" i="62" s="1"/>
  <c r="AI179" i="62"/>
  <c r="AK179" i="62" s="1"/>
  <c r="AL179" i="62" s="1"/>
  <c r="AM179" i="62" s="1"/>
  <c r="AI297" i="62"/>
  <c r="AK297" i="62" s="1"/>
  <c r="AL297" i="62" s="1"/>
  <c r="AM297" i="62" s="1"/>
  <c r="AI308" i="62"/>
  <c r="AK308" i="62" s="1"/>
  <c r="AL308" i="62" s="1"/>
  <c r="AI305" i="62"/>
  <c r="AK305" i="62" s="1"/>
  <c r="AL305" i="62" s="1"/>
  <c r="AM305" i="62" s="1"/>
  <c r="AI244" i="62"/>
  <c r="AK244" i="62" s="1"/>
  <c r="AL244" i="62" s="1"/>
  <c r="AM244" i="62" s="1"/>
  <c r="AI228" i="62"/>
  <c r="AK228" i="62" s="1"/>
  <c r="AL228" i="62" s="1"/>
  <c r="AM228" i="62" s="1"/>
  <c r="AI157" i="62"/>
  <c r="AK157" i="62" s="1"/>
  <c r="AL157" i="62" s="1"/>
  <c r="AM157" i="62" s="1"/>
  <c r="AI227" i="62"/>
  <c r="AK227" i="62" s="1"/>
  <c r="AL227" i="62" s="1"/>
  <c r="AM227" i="62" s="1"/>
  <c r="AI281" i="62"/>
  <c r="AK281" i="62" s="1"/>
  <c r="AL281" i="62" s="1"/>
  <c r="AM281" i="62" s="1"/>
  <c r="AI291" i="62"/>
  <c r="AK291" i="62" s="1"/>
  <c r="AL291" i="62" s="1"/>
  <c r="AI307" i="62"/>
  <c r="AK307" i="62" s="1"/>
  <c r="AL307" i="62" s="1"/>
  <c r="AM307" i="62" s="1"/>
  <c r="AI245" i="62"/>
  <c r="AK245" i="62" s="1"/>
  <c r="AL245" i="62" s="1"/>
  <c r="AM245" i="62" s="1"/>
  <c r="AI211" i="62"/>
  <c r="AK211" i="62" s="1"/>
  <c r="AL211" i="62" s="1"/>
  <c r="AM211" i="62" s="1"/>
  <c r="AI161" i="62"/>
  <c r="AK161" i="62" s="1"/>
  <c r="AL161" i="62" s="1"/>
  <c r="AM161" i="62" s="1"/>
  <c r="AI292" i="62"/>
  <c r="AK292" i="62" s="1"/>
  <c r="AL292" i="62" s="1"/>
  <c r="AM292" i="62" s="1"/>
  <c r="AI306" i="62"/>
  <c r="AK306" i="62" s="1"/>
  <c r="AL306" i="62" s="1"/>
  <c r="AM306" i="62" s="1"/>
  <c r="AI237" i="62"/>
  <c r="AK237" i="62" s="1"/>
  <c r="AL237" i="62" s="1"/>
  <c r="AI219" i="62"/>
  <c r="AK219" i="62" s="1"/>
  <c r="AL219" i="62" s="1"/>
  <c r="AM219" i="62" s="1"/>
  <c r="AI186" i="62"/>
  <c r="AK186" i="62" s="1"/>
  <c r="AL186" i="62" s="1"/>
  <c r="AM186" i="62" s="1"/>
  <c r="AI182" i="62"/>
  <c r="AK182" i="62" s="1"/>
  <c r="AL182" i="62" s="1"/>
  <c r="AM182" i="62" s="1"/>
  <c r="AI270" i="62"/>
  <c r="AK270" i="62" s="1"/>
  <c r="AL270" i="62" s="1"/>
  <c r="AM270" i="62" s="1"/>
  <c r="AI234" i="62"/>
  <c r="AK234" i="62" s="1"/>
  <c r="AL234" i="62" s="1"/>
  <c r="AM234" i="62" s="1"/>
  <c r="AI203" i="62"/>
  <c r="AK203" i="62" s="1"/>
  <c r="AL203" i="62" s="1"/>
  <c r="AM203" i="62" s="1"/>
  <c r="AI152" i="62"/>
  <c r="AK152" i="62" s="1"/>
  <c r="AL152" i="62" s="1"/>
  <c r="AM152" i="62" s="1"/>
  <c r="AI142" i="62"/>
  <c r="AK142" i="62" s="1"/>
  <c r="AL142" i="62" s="1"/>
  <c r="AM142" i="62" s="1"/>
  <c r="M153" i="73" s="1"/>
  <c r="AJ153" i="73" s="1"/>
  <c r="AI279" i="62"/>
  <c r="AK279" i="62" s="1"/>
  <c r="AL279" i="62" s="1"/>
  <c r="AM279" i="62" s="1"/>
  <c r="AI271" i="62"/>
  <c r="AK271" i="62" s="1"/>
  <c r="AL271" i="62" s="1"/>
  <c r="AM271" i="62" s="1"/>
  <c r="AI155" i="62"/>
  <c r="AK155" i="62" s="1"/>
  <c r="AL155" i="62" s="1"/>
  <c r="AM155" i="62" s="1"/>
  <c r="AI156" i="62"/>
  <c r="AK156" i="62" s="1"/>
  <c r="AL156" i="62" s="1"/>
  <c r="AI280" i="62"/>
  <c r="AK280" i="62" s="1"/>
  <c r="AL280" i="62" s="1"/>
  <c r="AM280" i="62" s="1"/>
  <c r="AI242" i="62"/>
  <c r="AK242" i="62" s="1"/>
  <c r="AL242" i="62" s="1"/>
  <c r="AM242" i="62" s="1"/>
  <c r="AI177" i="62"/>
  <c r="AK177" i="62" s="1"/>
  <c r="AL177" i="62" s="1"/>
  <c r="AM177" i="62" s="1"/>
  <c r="AI290" i="62"/>
  <c r="AK290" i="62" s="1"/>
  <c r="AL290" i="62" s="1"/>
  <c r="AM290" i="62" s="1"/>
  <c r="AI255" i="62"/>
  <c r="AK255" i="62" s="1"/>
  <c r="AL255" i="62" s="1"/>
  <c r="AI300" i="62"/>
  <c r="AK300" i="62" s="1"/>
  <c r="AL300" i="62" s="1"/>
  <c r="AI264" i="62"/>
  <c r="AK264" i="62" s="1"/>
  <c r="AL264" i="62" s="1"/>
  <c r="AI190" i="62"/>
  <c r="AK190" i="62" s="1"/>
  <c r="AL190" i="62" s="1"/>
  <c r="AM190" i="62" s="1"/>
  <c r="AI206" i="62"/>
  <c r="AK206" i="62" s="1"/>
  <c r="AL206" i="62" s="1"/>
  <c r="AM206" i="62" s="1"/>
  <c r="AI150" i="62"/>
  <c r="AK150" i="62" s="1"/>
  <c r="AL150" i="62" s="1"/>
  <c r="AM150" i="62" s="1"/>
  <c r="M161" i="73" s="1"/>
  <c r="AF161" i="73" s="1"/>
  <c r="AI272" i="62"/>
  <c r="AK272" i="62" s="1"/>
  <c r="AL272" i="62" s="1"/>
  <c r="AM272" i="62" s="1"/>
  <c r="AI222" i="62"/>
  <c r="AK222" i="62" s="1"/>
  <c r="AL222" i="62" s="1"/>
  <c r="AM222" i="62" s="1"/>
  <c r="AI136" i="62"/>
  <c r="AK136" i="62" s="1"/>
  <c r="AL136" i="62" s="1"/>
  <c r="AM136" i="62" s="1"/>
  <c r="M147" i="73" s="1"/>
  <c r="AG147" i="73" s="1"/>
  <c r="AI265" i="62"/>
  <c r="AK265" i="62" s="1"/>
  <c r="AL265" i="62" s="1"/>
  <c r="AM265" i="62" s="1"/>
  <c r="AI273" i="62"/>
  <c r="AK273" i="62" s="1"/>
  <c r="AL273" i="62" s="1"/>
  <c r="AI301" i="62"/>
  <c r="AK301" i="62" s="1"/>
  <c r="AL301" i="62" s="1"/>
  <c r="AM301" i="62" s="1"/>
  <c r="AI311" i="62"/>
  <c r="AK311" i="62" s="1"/>
  <c r="AL311" i="62" s="1"/>
  <c r="AM311" i="62" s="1"/>
  <c r="M322" i="73" s="1"/>
  <c r="AI197" i="62"/>
  <c r="AK197" i="62" s="1"/>
  <c r="AL197" i="62" s="1"/>
  <c r="AI189" i="62"/>
  <c r="AK189" i="62" s="1"/>
  <c r="AL189" i="62" s="1"/>
  <c r="AI148" i="62"/>
  <c r="AK148" i="62" s="1"/>
  <c r="AL148" i="62" s="1"/>
  <c r="AM148" i="62" s="1"/>
  <c r="M159" i="73" s="1"/>
  <c r="AI283" i="62"/>
  <c r="AK283" i="62" s="1"/>
  <c r="AL283" i="62" s="1"/>
  <c r="AM283" i="62" s="1"/>
  <c r="AI235" i="62"/>
  <c r="AK235" i="62" s="1"/>
  <c r="AL235" i="62" s="1"/>
  <c r="AM235" i="62" s="1"/>
  <c r="AI144" i="62"/>
  <c r="AK144" i="62" s="1"/>
  <c r="AL144" i="62" s="1"/>
  <c r="AM144" i="62" s="1"/>
  <c r="M155" i="73" s="1"/>
  <c r="AG155" i="73" s="1"/>
  <c r="AI309" i="62"/>
  <c r="AK309" i="62" s="1"/>
  <c r="AL309" i="62" s="1"/>
  <c r="AM309" i="62" s="1"/>
  <c r="AI243" i="62"/>
  <c r="AK243" i="62" s="1"/>
  <c r="AL243" i="62" s="1"/>
  <c r="AM243" i="62" s="1"/>
  <c r="AI282" i="62"/>
  <c r="AK282" i="62" s="1"/>
  <c r="AL282" i="62" s="1"/>
  <c r="AI298" i="62"/>
  <c r="AK298" i="62" s="1"/>
  <c r="AL298" i="62" s="1"/>
  <c r="AM298" i="62" s="1"/>
  <c r="AI180" i="62"/>
  <c r="AK180" i="62" s="1"/>
  <c r="AL180" i="62" s="1"/>
  <c r="AM180" i="62" s="1"/>
  <c r="AI181" i="62"/>
  <c r="AK181" i="62" s="1"/>
  <c r="AL181" i="62" s="1"/>
  <c r="AI274" i="62"/>
  <c r="AK274" i="62" s="1"/>
  <c r="AL274" i="62" s="1"/>
  <c r="AM274" i="62" s="1"/>
  <c r="AI220" i="62"/>
  <c r="AK220" i="62" s="1"/>
  <c r="AL220" i="62" s="1"/>
  <c r="AM220" i="62" s="1"/>
  <c r="AI288" i="62"/>
  <c r="AK288" i="62" s="1"/>
  <c r="AL288" i="62" s="1"/>
  <c r="AM288" i="62" s="1"/>
  <c r="AI164" i="62"/>
  <c r="AK164" i="62" s="1"/>
  <c r="AL164" i="62" s="1"/>
  <c r="AM164" i="62" s="1"/>
  <c r="AI178" i="62"/>
  <c r="AK178" i="62" s="1"/>
  <c r="AL178" i="62" s="1"/>
  <c r="AM178" i="62" s="1"/>
  <c r="AI212" i="62"/>
  <c r="AK212" i="62" s="1"/>
  <c r="AL212" i="62" s="1"/>
  <c r="AM212" i="62" s="1"/>
  <c r="AI213" i="62"/>
  <c r="AK213" i="62" s="1"/>
  <c r="AL213" i="62" s="1"/>
  <c r="AI289" i="62"/>
  <c r="AK289" i="62" s="1"/>
  <c r="AL289" i="62" s="1"/>
  <c r="AM289" i="62" s="1"/>
  <c r="AI263" i="62"/>
  <c r="AK263" i="62" s="1"/>
  <c r="AL263" i="62" s="1"/>
  <c r="AM263" i="62" s="1"/>
  <c r="AI204" i="62"/>
  <c r="AK204" i="62" s="1"/>
  <c r="AL204" i="62" s="1"/>
  <c r="AM204" i="62" s="1"/>
  <c r="AI221" i="62"/>
  <c r="AK221" i="62" s="1"/>
  <c r="AL221" i="62" s="1"/>
  <c r="AI205" i="62"/>
  <c r="AK205" i="62" s="1"/>
  <c r="AL205" i="62" s="1"/>
  <c r="AI135" i="62"/>
  <c r="AK135" i="62" s="1"/>
  <c r="AL135" i="62" s="1"/>
  <c r="AM135" i="62" s="1"/>
  <c r="AI304" i="62"/>
  <c r="AK304" i="62" s="1"/>
  <c r="AL304" i="62" s="1"/>
  <c r="AM304" i="62" s="1"/>
  <c r="M315" i="73" s="1"/>
  <c r="AI229" i="62"/>
  <c r="AK229" i="62" s="1"/>
  <c r="AL229" i="62" s="1"/>
  <c r="AI196" i="62"/>
  <c r="AK196" i="62" s="1"/>
  <c r="AL196" i="62" s="1"/>
  <c r="AM196" i="62" s="1"/>
  <c r="AI230" i="62"/>
  <c r="AK230" i="62" s="1"/>
  <c r="AL230" i="62" s="1"/>
  <c r="AM230" i="62" s="1"/>
  <c r="AI253" i="62"/>
  <c r="AK253" i="62" s="1"/>
  <c r="AL253" i="62" s="1"/>
  <c r="AM253" i="62" s="1"/>
  <c r="AI167" i="62"/>
  <c r="AK167" i="62" s="1"/>
  <c r="AL167" i="62" s="1"/>
  <c r="AM167" i="62" s="1"/>
  <c r="M178" i="73" s="1"/>
  <c r="AG178" i="73" s="1"/>
  <c r="AI188" i="62"/>
  <c r="AK188" i="62" s="1"/>
  <c r="AL188" i="62" s="1"/>
  <c r="AM188" i="62" s="1"/>
  <c r="AI140" i="62"/>
  <c r="AK140" i="62" s="1"/>
  <c r="AL140" i="62" s="1"/>
  <c r="AM140" i="62" s="1"/>
  <c r="M151" i="73" s="1"/>
  <c r="AI247" i="62"/>
  <c r="AK247" i="62" s="1"/>
  <c r="AL247" i="62" s="1"/>
  <c r="AM247" i="62" s="1"/>
  <c r="AI138" i="62"/>
  <c r="AK138" i="62" s="1"/>
  <c r="AL138" i="62" s="1"/>
  <c r="AM138" i="62" s="1"/>
  <c r="M149" i="73" s="1"/>
  <c r="AF149" i="73" s="1"/>
  <c r="AI162" i="62"/>
  <c r="AK162" i="62" s="1"/>
  <c r="AL162" i="62" s="1"/>
  <c r="AM162" i="62" s="1"/>
  <c r="AI146" i="62"/>
  <c r="AK146" i="62" s="1"/>
  <c r="AL146" i="62" s="1"/>
  <c r="AM146" i="62" s="1"/>
  <c r="M157" i="73" s="1"/>
  <c r="AJ157" i="73" s="1"/>
  <c r="AD157" i="73" s="1"/>
  <c r="AI154" i="62"/>
  <c r="AK154" i="62" s="1"/>
  <c r="AL154" i="62" s="1"/>
  <c r="AM154" i="62" s="1"/>
  <c r="H149" i="73"/>
  <c r="H157" i="73"/>
  <c r="AF153" i="73" l="1"/>
  <c r="AG153" i="73"/>
  <c r="AF155" i="73"/>
  <c r="AF178" i="73"/>
  <c r="AJ322" i="73"/>
  <c r="AE322" i="73"/>
  <c r="AJ178" i="73"/>
  <c r="AE178" i="73"/>
  <c r="Z178" i="73" s="1"/>
  <c r="BC178" i="73" s="1"/>
  <c r="AJ155" i="73"/>
  <c r="AE155" i="73"/>
  <c r="AF157" i="73"/>
  <c r="I157" i="73"/>
  <c r="AG157" i="73"/>
  <c r="AJ147" i="73"/>
  <c r="AE147" i="73"/>
  <c r="Y147" i="73" s="1"/>
  <c r="AE157" i="73"/>
  <c r="Y157" i="73" s="1"/>
  <c r="AJ149" i="73"/>
  <c r="AE149" i="73"/>
  <c r="AJ159" i="73"/>
  <c r="AE159" i="73"/>
  <c r="I153" i="73"/>
  <c r="AD153" i="73"/>
  <c r="X153" i="73" s="1"/>
  <c r="AP153" i="73" s="1"/>
  <c r="AG149" i="73"/>
  <c r="AF322" i="73"/>
  <c r="AG159" i="73"/>
  <c r="AT159" i="73" s="1"/>
  <c r="AJ315" i="73"/>
  <c r="AE315" i="73"/>
  <c r="AG322" i="73"/>
  <c r="AI147" i="73"/>
  <c r="AF315" i="73"/>
  <c r="AJ151" i="73"/>
  <c r="AF151" i="73"/>
  <c r="AE151" i="73"/>
  <c r="AJ161" i="73"/>
  <c r="AE161" i="73"/>
  <c r="AF147" i="73"/>
  <c r="AG161" i="73"/>
  <c r="AG315" i="73"/>
  <c r="AG151" i="73"/>
  <c r="AH149" i="73"/>
  <c r="AI155" i="73"/>
  <c r="AI157" i="73"/>
  <c r="AI159" i="73"/>
  <c r="AH147" i="73"/>
  <c r="AI315" i="73"/>
  <c r="BC315" i="73" s="1"/>
  <c r="AH161" i="73"/>
  <c r="AI178" i="73"/>
  <c r="AI153" i="73"/>
  <c r="AH322" i="73"/>
  <c r="AI151" i="73"/>
  <c r="AH159" i="73"/>
  <c r="AH151" i="73"/>
  <c r="AI322" i="73"/>
  <c r="AH178" i="73"/>
  <c r="AI161" i="73"/>
  <c r="AT161" i="73"/>
  <c r="BC159" i="73"/>
  <c r="BB161" i="73"/>
  <c r="AH315" i="73"/>
  <c r="AH153" i="73"/>
  <c r="AI149" i="73"/>
  <c r="AH155" i="73"/>
  <c r="Z315" i="73"/>
  <c r="Y315" i="73"/>
  <c r="AS315" i="73" s="1"/>
  <c r="Y322" i="73"/>
  <c r="Z322" i="73"/>
  <c r="AA153" i="73"/>
  <c r="Z161" i="73"/>
  <c r="Y161" i="73"/>
  <c r="AS161" i="73" s="1"/>
  <c r="Z159" i="73"/>
  <c r="Y159" i="73"/>
  <c r="AS159" i="73" s="1"/>
  <c r="Z155" i="73"/>
  <c r="AT155" i="73" s="1"/>
  <c r="Y155" i="73"/>
  <c r="AS155" i="73" s="1"/>
  <c r="Y151" i="73"/>
  <c r="BB151" i="73" s="1"/>
  <c r="Z151" i="73"/>
  <c r="AT151" i="73" s="1"/>
  <c r="AH157" i="73"/>
  <c r="Z157" i="73"/>
  <c r="AA157" i="73"/>
  <c r="X157" i="73"/>
  <c r="Z149" i="73"/>
  <c r="AT149" i="73" s="1"/>
  <c r="Y149" i="73"/>
  <c r="AS149" i="73" s="1"/>
  <c r="Z153" i="73"/>
  <c r="AT153" i="73" s="1"/>
  <c r="Y153" i="73"/>
  <c r="AS153" i="73" s="1"/>
  <c r="F3" i="105"/>
  <c r="B3" i="105"/>
  <c r="H161" i="73"/>
  <c r="H178" i="73"/>
  <c r="H153" i="73"/>
  <c r="H322" i="73"/>
  <c r="H159" i="73"/>
  <c r="H315" i="73"/>
  <c r="H155" i="73"/>
  <c r="H147" i="73"/>
  <c r="H151" i="73"/>
  <c r="Z147" i="73" l="1"/>
  <c r="Y178" i="73"/>
  <c r="AS178" i="73" s="1"/>
  <c r="AZ153" i="73"/>
  <c r="BC155" i="73"/>
  <c r="AT147" i="73"/>
  <c r="BC147" i="73"/>
  <c r="BB322" i="73"/>
  <c r="AT315" i="73"/>
  <c r="AT178" i="73"/>
  <c r="BC151" i="73"/>
  <c r="BB147" i="73"/>
  <c r="AS147" i="73"/>
  <c r="AT322" i="73"/>
  <c r="I178" i="73"/>
  <c r="AD178" i="73"/>
  <c r="BC157" i="73"/>
  <c r="AT157" i="73"/>
  <c r="AQ153" i="73"/>
  <c r="AD161" i="73"/>
  <c r="I161" i="73"/>
  <c r="AS151" i="73"/>
  <c r="AP157" i="73"/>
  <c r="AS157" i="73"/>
  <c r="BC161" i="73"/>
  <c r="BB159" i="73"/>
  <c r="AS322" i="73"/>
  <c r="AD149" i="73"/>
  <c r="I149" i="73"/>
  <c r="BC322" i="73"/>
  <c r="AZ157" i="73"/>
  <c r="AD147" i="73"/>
  <c r="I147" i="73"/>
  <c r="I155" i="73"/>
  <c r="AD155" i="73"/>
  <c r="BC153" i="73"/>
  <c r="AD151" i="73"/>
  <c r="I151" i="73"/>
  <c r="AQ157" i="73"/>
  <c r="BB149" i="73"/>
  <c r="AD315" i="73"/>
  <c r="I315" i="73"/>
  <c r="AD322" i="73"/>
  <c r="I322" i="73"/>
  <c r="I159" i="73"/>
  <c r="AD159" i="73"/>
  <c r="BB178" i="73"/>
  <c r="BB153" i="73"/>
  <c r="AY153" i="73"/>
  <c r="BB315" i="73"/>
  <c r="BB157" i="73"/>
  <c r="AY157" i="73"/>
  <c r="BB155" i="73"/>
  <c r="BC149" i="73"/>
  <c r="A16" i="73"/>
  <c r="A15" i="73"/>
  <c r="X159" i="73" l="1"/>
  <c r="AA159" i="73"/>
  <c r="AA161" i="73"/>
  <c r="X161" i="73"/>
  <c r="X147" i="73"/>
  <c r="AA147" i="73"/>
  <c r="AA155" i="73"/>
  <c r="X155" i="73"/>
  <c r="X149" i="73"/>
  <c r="AA149" i="73"/>
  <c r="X151" i="73"/>
  <c r="AA151" i="73"/>
  <c r="X322" i="73"/>
  <c r="AA322" i="73"/>
  <c r="X315" i="73"/>
  <c r="AA315" i="73"/>
  <c r="X178" i="73"/>
  <c r="AA178" i="73"/>
  <c r="Q11" i="62"/>
  <c r="S11" i="62" s="1"/>
  <c r="Q12" i="62"/>
  <c r="S12" i="62" s="1"/>
  <c r="Q13" i="62"/>
  <c r="S13" i="62" s="1"/>
  <c r="Q14" i="62"/>
  <c r="S14" i="62" s="1"/>
  <c r="Q15" i="62"/>
  <c r="S15" i="62" s="1"/>
  <c r="Q19" i="62"/>
  <c r="S19" i="62" s="1"/>
  <c r="Q20" i="62"/>
  <c r="S20" i="62" s="1"/>
  <c r="Q21" i="62"/>
  <c r="S21" i="62" s="1"/>
  <c r="Q22" i="62"/>
  <c r="S22" i="62" s="1"/>
  <c r="Q23" i="62"/>
  <c r="S23" i="62" s="1"/>
  <c r="Q29" i="62"/>
  <c r="S29" i="62" s="1"/>
  <c r="Q30" i="62"/>
  <c r="S30" i="62" s="1"/>
  <c r="Q31" i="62"/>
  <c r="S31" i="62" s="1"/>
  <c r="Q32" i="62"/>
  <c r="S32" i="62" s="1"/>
  <c r="Q33" i="62"/>
  <c r="S33" i="62" s="1"/>
  <c r="Q37" i="62"/>
  <c r="S37" i="62" s="1"/>
  <c r="Q38" i="62"/>
  <c r="S38" i="62" s="1"/>
  <c r="Q39" i="62"/>
  <c r="S39" i="62" s="1"/>
  <c r="Q40" i="62"/>
  <c r="S40" i="62" s="1"/>
  <c r="Q41" i="62"/>
  <c r="S41" i="62" s="1"/>
  <c r="Q45" i="62"/>
  <c r="S45" i="62" s="1"/>
  <c r="Q46" i="62"/>
  <c r="S46" i="62" s="1"/>
  <c r="Q47" i="62"/>
  <c r="S47" i="62" s="1"/>
  <c r="Q48" i="62"/>
  <c r="S48" i="62" s="1"/>
  <c r="Q49" i="62"/>
  <c r="S49" i="62" s="1"/>
  <c r="Q50" i="62"/>
  <c r="S50" i="62" s="1"/>
  <c r="Q54" i="62"/>
  <c r="S54" i="62" s="1"/>
  <c r="Q55" i="62"/>
  <c r="S55" i="62" s="1"/>
  <c r="Q56" i="62"/>
  <c r="S56" i="62" s="1"/>
  <c r="Q57" i="62"/>
  <c r="S57" i="62" s="1"/>
  <c r="Q58" i="62"/>
  <c r="S58" i="62" s="1"/>
  <c r="Q59" i="62"/>
  <c r="S59" i="62" s="1"/>
  <c r="Q65" i="62"/>
  <c r="S65" i="62" s="1"/>
  <c r="Q66" i="62"/>
  <c r="S66" i="62" s="1"/>
  <c r="Q67" i="62"/>
  <c r="S67" i="62" s="1"/>
  <c r="Q68" i="62"/>
  <c r="S68" i="62" s="1"/>
  <c r="Q69" i="62"/>
  <c r="S69" i="62" s="1"/>
  <c r="Q75" i="62"/>
  <c r="S75" i="62" s="1"/>
  <c r="Q76" i="62"/>
  <c r="S76" i="62" s="1"/>
  <c r="Q77" i="62"/>
  <c r="S77" i="62" s="1"/>
  <c r="Q78" i="62"/>
  <c r="S78" i="62" s="1"/>
  <c r="Q79" i="62"/>
  <c r="S79" i="62" s="1"/>
  <c r="Q85" i="62"/>
  <c r="S85" i="62" s="1"/>
  <c r="Q86" i="62"/>
  <c r="S86" i="62" s="1"/>
  <c r="Q87" i="62"/>
  <c r="S87" i="62" s="1"/>
  <c r="Q88" i="62"/>
  <c r="S88" i="62" s="1"/>
  <c r="Q89" i="62"/>
  <c r="S89" i="62" s="1"/>
  <c r="Q94" i="62"/>
  <c r="S94" i="62" s="1"/>
  <c r="Q95" i="62"/>
  <c r="S95" i="62" s="1"/>
  <c r="Q96" i="62"/>
  <c r="S96" i="62" s="1"/>
  <c r="Q97" i="62"/>
  <c r="S97" i="62" s="1"/>
  <c r="Q98" i="62"/>
  <c r="S98" i="62" s="1"/>
  <c r="Q103" i="62"/>
  <c r="S103" i="62" s="1"/>
  <c r="Q104" i="62"/>
  <c r="S104" i="62" s="1"/>
  <c r="Q105" i="62"/>
  <c r="S105" i="62" s="1"/>
  <c r="Q106" i="62"/>
  <c r="S106" i="62" s="1"/>
  <c r="Q107" i="62"/>
  <c r="S107" i="62" s="1"/>
  <c r="Q108" i="62"/>
  <c r="S108" i="62" s="1"/>
  <c r="Q109" i="62"/>
  <c r="S109" i="62" s="1"/>
  <c r="Q110" i="62"/>
  <c r="S110" i="62" s="1"/>
  <c r="Q115" i="62"/>
  <c r="S115" i="62" s="1"/>
  <c r="Q116" i="62"/>
  <c r="S116" i="62" s="1"/>
  <c r="Q117" i="62"/>
  <c r="S117" i="62" s="1"/>
  <c r="Q118" i="62"/>
  <c r="S118" i="62" s="1"/>
  <c r="Q119" i="62"/>
  <c r="S119" i="62" s="1"/>
  <c r="Q120" i="62"/>
  <c r="S120" i="62" s="1"/>
  <c r="Q121" i="62"/>
  <c r="S121" i="62" s="1"/>
  <c r="Q123" i="62"/>
  <c r="S123" i="62" s="1"/>
  <c r="Q125" i="62"/>
  <c r="S125" i="62" s="1"/>
  <c r="Q127" i="62"/>
  <c r="S127" i="62" s="1"/>
  <c r="Q129" i="62"/>
  <c r="S129" i="62" s="1"/>
  <c r="Q131" i="62"/>
  <c r="S131" i="62" s="1"/>
  <c r="Q132" i="62"/>
  <c r="S132" i="62" s="1"/>
  <c r="Q133" i="62"/>
  <c r="S133" i="62" s="1"/>
  <c r="C133" i="62"/>
  <c r="AJ133" i="62"/>
  <c r="C132" i="62"/>
  <c r="AJ132" i="62"/>
  <c r="C131" i="62"/>
  <c r="AJ131" i="62"/>
  <c r="H131" i="62" s="1"/>
  <c r="C130" i="62"/>
  <c r="AJ130" i="62"/>
  <c r="H130" i="62" s="1"/>
  <c r="C129" i="62"/>
  <c r="AJ129" i="62"/>
  <c r="C128" i="62"/>
  <c r="AJ128" i="62"/>
  <c r="H128" i="62" s="1"/>
  <c r="C127" i="62"/>
  <c r="AJ127" i="62"/>
  <c r="H127" i="62" s="1"/>
  <c r="C126" i="62"/>
  <c r="AJ126" i="62"/>
  <c r="H126" i="62" s="1"/>
  <c r="C125" i="62"/>
  <c r="AJ125" i="62"/>
  <c r="C124" i="62"/>
  <c r="AJ124" i="62"/>
  <c r="C123" i="62"/>
  <c r="AJ123" i="62"/>
  <c r="H123" i="62" s="1"/>
  <c r="C122" i="62"/>
  <c r="AJ122" i="62"/>
  <c r="H122" i="62" s="1"/>
  <c r="C121" i="62"/>
  <c r="AJ121" i="62"/>
  <c r="C120" i="62"/>
  <c r="AJ120" i="62"/>
  <c r="H120" i="62" s="1"/>
  <c r="C119" i="62"/>
  <c r="AJ119" i="62"/>
  <c r="H119" i="62" s="1"/>
  <c r="C118" i="62"/>
  <c r="AJ118" i="62"/>
  <c r="H118" i="62" s="1"/>
  <c r="C117" i="62"/>
  <c r="AJ117" i="62"/>
  <c r="C116" i="62"/>
  <c r="AJ116" i="62"/>
  <c r="C115" i="62"/>
  <c r="AJ115" i="62"/>
  <c r="H115" i="62" s="1"/>
  <c r="C114" i="62"/>
  <c r="AJ114" i="62"/>
  <c r="H114" i="62" s="1"/>
  <c r="C113" i="62"/>
  <c r="AJ113" i="62"/>
  <c r="H113" i="62" s="1"/>
  <c r="C112" i="62"/>
  <c r="AJ112" i="62"/>
  <c r="H112" i="62" s="1"/>
  <c r="C111" i="62"/>
  <c r="AJ111" i="62"/>
  <c r="H111" i="62" s="1"/>
  <c r="C110" i="62"/>
  <c r="AJ110" i="62"/>
  <c r="H110" i="62" s="1"/>
  <c r="C109" i="62"/>
  <c r="AJ109" i="62"/>
  <c r="C108" i="62"/>
  <c r="AJ108" i="62"/>
  <c r="H108" i="62" s="1"/>
  <c r="C107" i="62"/>
  <c r="AJ107" i="62"/>
  <c r="H107" i="62" s="1"/>
  <c r="C106" i="62"/>
  <c r="AJ106" i="62"/>
  <c r="H106" i="62" s="1"/>
  <c r="C105" i="62"/>
  <c r="AJ105" i="62"/>
  <c r="H105" i="62" s="1"/>
  <c r="C104" i="62"/>
  <c r="AJ104" i="62"/>
  <c r="H104" i="62" s="1"/>
  <c r="C103" i="62"/>
  <c r="AJ103" i="62"/>
  <c r="H103" i="62" s="1"/>
  <c r="C102" i="62"/>
  <c r="AJ102" i="62"/>
  <c r="H102" i="62" s="1"/>
  <c r="C101" i="62"/>
  <c r="AJ101" i="62"/>
  <c r="H101" i="62" s="1"/>
  <c r="C100" i="62"/>
  <c r="AJ100" i="62"/>
  <c r="H100" i="62" s="1"/>
  <c r="C99" i="62"/>
  <c r="AJ99" i="62"/>
  <c r="H99" i="62" s="1"/>
  <c r="C98" i="62"/>
  <c r="AJ98" i="62"/>
  <c r="H98" i="62" s="1"/>
  <c r="C97" i="62"/>
  <c r="AJ97" i="62"/>
  <c r="H97" i="62" s="1"/>
  <c r="C96" i="62"/>
  <c r="AJ96" i="62"/>
  <c r="AJ95" i="62"/>
  <c r="H95" i="62" s="1"/>
  <c r="C95" i="62"/>
  <c r="C92" i="62"/>
  <c r="AJ90" i="62"/>
  <c r="H90" i="62" s="1"/>
  <c r="AJ88" i="62"/>
  <c r="AJ80" i="62"/>
  <c r="AJ72" i="62"/>
  <c r="AJ60" i="62"/>
  <c r="AJ44" i="62"/>
  <c r="AJ24" i="62"/>
  <c r="H24" i="62" s="1"/>
  <c r="AJ13" i="62"/>
  <c r="H13" i="62" s="1"/>
  <c r="C12" i="62"/>
  <c r="AZ322" i="73" l="1"/>
  <c r="AQ322" i="73"/>
  <c r="AQ147" i="73"/>
  <c r="AZ147" i="73"/>
  <c r="AQ155" i="73"/>
  <c r="AZ155" i="73"/>
  <c r="AP322" i="73"/>
  <c r="AY322" i="73"/>
  <c r="AY147" i="73"/>
  <c r="AP147" i="73"/>
  <c r="AP315" i="73"/>
  <c r="AY315" i="73"/>
  <c r="AQ151" i="73"/>
  <c r="AZ151" i="73"/>
  <c r="AP161" i="73"/>
  <c r="AY161" i="73"/>
  <c r="AP155" i="73"/>
  <c r="AY155" i="73"/>
  <c r="AP151" i="73"/>
  <c r="AY151" i="73"/>
  <c r="AQ161" i="73"/>
  <c r="AZ161" i="73"/>
  <c r="AZ315" i="73"/>
  <c r="AQ315" i="73"/>
  <c r="AQ178" i="73"/>
  <c r="AZ178" i="73"/>
  <c r="AQ149" i="73"/>
  <c r="AZ149" i="73"/>
  <c r="AQ159" i="73"/>
  <c r="AZ159" i="73"/>
  <c r="AP178" i="73"/>
  <c r="AY178" i="73"/>
  <c r="AY149" i="73"/>
  <c r="AP149" i="73"/>
  <c r="AP159" i="73"/>
  <c r="AY159" i="73"/>
  <c r="D62" i="73"/>
  <c r="AC62" i="73"/>
  <c r="AC75" i="73"/>
  <c r="D75" i="73"/>
  <c r="AC83" i="73"/>
  <c r="D83" i="73"/>
  <c r="D93" i="73"/>
  <c r="AC93" i="73"/>
  <c r="D103" i="73"/>
  <c r="AC103" i="73"/>
  <c r="D112" i="73"/>
  <c r="AC112" i="73"/>
  <c r="AC124" i="73"/>
  <c r="D124" i="73"/>
  <c r="D132" i="73"/>
  <c r="AC132" i="73"/>
  <c r="D136" i="73"/>
  <c r="AC136" i="73"/>
  <c r="D140" i="73"/>
  <c r="AC140" i="73"/>
  <c r="D72" i="73"/>
  <c r="AC72" i="73"/>
  <c r="AC91" i="73"/>
  <c r="D91" i="73"/>
  <c r="D101" i="73"/>
  <c r="AC101" i="73"/>
  <c r="D39" i="73"/>
  <c r="AC39" i="73"/>
  <c r="AC73" i="73"/>
  <c r="D73" i="73"/>
  <c r="D111" i="73"/>
  <c r="AC111" i="73"/>
  <c r="AC115" i="73"/>
  <c r="D115" i="73"/>
  <c r="AC123" i="73"/>
  <c r="D123" i="73"/>
  <c r="AC135" i="73"/>
  <c r="D135" i="73"/>
  <c r="AC139" i="73"/>
  <c r="D139" i="73"/>
  <c r="AC38" i="73"/>
  <c r="D38" i="73"/>
  <c r="D55" i="73"/>
  <c r="AC55" i="73"/>
  <c r="D71" i="73"/>
  <c r="AC71" i="73"/>
  <c r="D46" i="73"/>
  <c r="AC46" i="73"/>
  <c r="D85" i="73"/>
  <c r="AC85" i="73"/>
  <c r="AC36" i="73"/>
  <c r="D36" i="73"/>
  <c r="AC47" i="73"/>
  <c r="D47" i="73"/>
  <c r="AC81" i="73"/>
  <c r="D81" i="73"/>
  <c r="D63" i="73"/>
  <c r="AC63" i="73"/>
  <c r="D94" i="73"/>
  <c r="AC94" i="73"/>
  <c r="AC37" i="73"/>
  <c r="D37" i="73"/>
  <c r="AC45" i="73"/>
  <c r="D45" i="73"/>
  <c r="AC53" i="73"/>
  <c r="D53" i="73"/>
  <c r="AC84" i="73"/>
  <c r="D84" i="73"/>
  <c r="D104" i="73"/>
  <c r="AC104" i="73"/>
  <c r="D110" i="73"/>
  <c r="AC110" i="73"/>
  <c r="AC114" i="73"/>
  <c r="D114" i="73"/>
  <c r="D122" i="73"/>
  <c r="AC122" i="73"/>
  <c r="AC134" i="73"/>
  <c r="D134" i="73"/>
  <c r="AC138" i="73"/>
  <c r="D138" i="73"/>
  <c r="AC35" i="73"/>
  <c r="D35" i="73"/>
  <c r="AC74" i="73"/>
  <c r="D74" i="73"/>
  <c r="AC82" i="73"/>
  <c r="D82" i="73"/>
  <c r="AC92" i="73"/>
  <c r="D92" i="73"/>
  <c r="D102" i="73"/>
  <c r="AC102" i="73"/>
  <c r="AC54" i="73"/>
  <c r="D54" i="73"/>
  <c r="D64" i="73"/>
  <c r="AC64" i="73"/>
  <c r="D95" i="73"/>
  <c r="AC95" i="73"/>
  <c r="AC113" i="73"/>
  <c r="D113" i="73"/>
  <c r="AC125" i="73"/>
  <c r="D125" i="73"/>
  <c r="D133" i="73"/>
  <c r="AC133" i="73"/>
  <c r="D137" i="73"/>
  <c r="AC137" i="73"/>
  <c r="D141" i="73"/>
  <c r="AC141" i="73"/>
  <c r="E98" i="62"/>
  <c r="AI98" i="62" s="1"/>
  <c r="AK98" i="62" s="1"/>
  <c r="AL98" i="62" s="1"/>
  <c r="AM98" i="62" s="1"/>
  <c r="E100" i="62"/>
  <c r="E102" i="62"/>
  <c r="E104" i="62"/>
  <c r="AI104" i="62" s="1"/>
  <c r="AK104" i="62" s="1"/>
  <c r="AL104" i="62" s="1"/>
  <c r="E106" i="62"/>
  <c r="AI106" i="62" s="1"/>
  <c r="AK106" i="62" s="1"/>
  <c r="AL106" i="62" s="1"/>
  <c r="AM106" i="62" s="1"/>
  <c r="E108" i="62"/>
  <c r="AI108" i="62" s="1"/>
  <c r="AK108" i="62" s="1"/>
  <c r="AL108" i="62" s="1"/>
  <c r="E110" i="62"/>
  <c r="AI110" i="62" s="1"/>
  <c r="AK110" i="62" s="1"/>
  <c r="AL110" i="62" s="1"/>
  <c r="AM110" i="62" s="1"/>
  <c r="E112" i="62"/>
  <c r="E114" i="62"/>
  <c r="E118" i="62"/>
  <c r="AI118" i="62" s="1"/>
  <c r="AK118" i="62" s="1"/>
  <c r="AL118" i="62" s="1"/>
  <c r="AM118" i="62" s="1"/>
  <c r="E120" i="62"/>
  <c r="AI120" i="62" s="1"/>
  <c r="AK120" i="62" s="1"/>
  <c r="AL120" i="62" s="1"/>
  <c r="AM120" i="62" s="1"/>
  <c r="E122" i="62"/>
  <c r="E126" i="62"/>
  <c r="E128" i="62"/>
  <c r="E130" i="62"/>
  <c r="AJ36" i="62"/>
  <c r="H36" i="62" s="1"/>
  <c r="AJ68" i="62"/>
  <c r="H68" i="62" s="1"/>
  <c r="AJ84" i="62"/>
  <c r="H84" i="62" s="1"/>
  <c r="AJ16" i="62"/>
  <c r="H16" i="62" s="1"/>
  <c r="AJ52" i="62"/>
  <c r="H52" i="62" s="1"/>
  <c r="AJ76" i="62"/>
  <c r="H76" i="62" s="1"/>
  <c r="AJ14" i="62"/>
  <c r="H14" i="62" s="1"/>
  <c r="AJ22" i="62"/>
  <c r="H22" i="62" s="1"/>
  <c r="AJ32" i="62"/>
  <c r="H32" i="62" s="1"/>
  <c r="C33" i="62"/>
  <c r="AJ34" i="62"/>
  <c r="H34" i="62" s="1"/>
  <c r="AJ42" i="62"/>
  <c r="H42" i="62" s="1"/>
  <c r="AJ50" i="62"/>
  <c r="H50" i="62" s="1"/>
  <c r="AJ58" i="62"/>
  <c r="H58" i="62" s="1"/>
  <c r="AJ66" i="62"/>
  <c r="H66" i="62" s="1"/>
  <c r="AJ74" i="62"/>
  <c r="H74" i="62" s="1"/>
  <c r="AJ82" i="62"/>
  <c r="H82" i="62" s="1"/>
  <c r="AJ20" i="62"/>
  <c r="H20" i="62" s="1"/>
  <c r="AJ28" i="62"/>
  <c r="H28" i="62" s="1"/>
  <c r="C29" i="62"/>
  <c r="AJ30" i="62"/>
  <c r="H30" i="62" s="1"/>
  <c r="AJ40" i="62"/>
  <c r="H40" i="62" s="1"/>
  <c r="AJ48" i="62"/>
  <c r="H48" i="62" s="1"/>
  <c r="AJ56" i="62"/>
  <c r="H56" i="62" s="1"/>
  <c r="AJ64" i="62"/>
  <c r="H64" i="62" s="1"/>
  <c r="AJ18" i="62"/>
  <c r="H18" i="62" s="1"/>
  <c r="AJ26" i="62"/>
  <c r="H26" i="62" s="1"/>
  <c r="AJ38" i="62"/>
  <c r="H38" i="62" s="1"/>
  <c r="AJ46" i="62"/>
  <c r="H46" i="62" s="1"/>
  <c r="AJ54" i="62"/>
  <c r="H54" i="62" s="1"/>
  <c r="AJ62" i="62"/>
  <c r="H62" i="62" s="1"/>
  <c r="AJ70" i="62"/>
  <c r="H70" i="62" s="1"/>
  <c r="AJ78" i="62"/>
  <c r="H78" i="62" s="1"/>
  <c r="AJ86" i="62"/>
  <c r="H86" i="62" s="1"/>
  <c r="E95" i="62"/>
  <c r="AI95" i="62" s="1"/>
  <c r="AK95" i="62" s="1"/>
  <c r="AL95" i="62" s="1"/>
  <c r="C17" i="62"/>
  <c r="C21" i="62"/>
  <c r="C41" i="62"/>
  <c r="C45" i="62"/>
  <c r="C49" i="62"/>
  <c r="C53" i="62"/>
  <c r="C57" i="62"/>
  <c r="C61" i="62"/>
  <c r="C65" i="62"/>
  <c r="C69" i="62"/>
  <c r="C73" i="62"/>
  <c r="C77" i="62"/>
  <c r="C81" i="62"/>
  <c r="C85" i="62"/>
  <c r="C89" i="62"/>
  <c r="C14" i="62"/>
  <c r="E14" i="62" s="1"/>
  <c r="AI14" i="62" s="1"/>
  <c r="AK14" i="62" s="1"/>
  <c r="AL14" i="62" s="1"/>
  <c r="AM14" i="62" s="1"/>
  <c r="AJ15" i="62"/>
  <c r="H15" i="62" s="1"/>
  <c r="C18" i="62"/>
  <c r="AJ19" i="62"/>
  <c r="H19" i="62" s="1"/>
  <c r="C22" i="62"/>
  <c r="AJ23" i="62"/>
  <c r="H23" i="62" s="1"/>
  <c r="C26" i="62"/>
  <c r="AJ27" i="62"/>
  <c r="H27" i="62" s="1"/>
  <c r="C30" i="62"/>
  <c r="AJ31" i="62"/>
  <c r="H31" i="62" s="1"/>
  <c r="C34" i="62"/>
  <c r="AJ35" i="62"/>
  <c r="H35" i="62" s="1"/>
  <c r="C38" i="62"/>
  <c r="AJ39" i="62"/>
  <c r="H39" i="62" s="1"/>
  <c r="C42" i="62"/>
  <c r="AJ43" i="62"/>
  <c r="H43" i="62" s="1"/>
  <c r="C46" i="62"/>
  <c r="AJ47" i="62"/>
  <c r="H47" i="62" s="1"/>
  <c r="C50" i="62"/>
  <c r="E50" i="62" s="1"/>
  <c r="AI50" i="62" s="1"/>
  <c r="AK50" i="62" s="1"/>
  <c r="AL50" i="62" s="1"/>
  <c r="AM50" i="62" s="1"/>
  <c r="AJ51" i="62"/>
  <c r="H51" i="62" s="1"/>
  <c r="C54" i="62"/>
  <c r="AJ55" i="62"/>
  <c r="H55" i="62" s="1"/>
  <c r="C58" i="62"/>
  <c r="AJ59" i="62"/>
  <c r="H59" i="62" s="1"/>
  <c r="C62" i="62"/>
  <c r="E62" i="62" s="1"/>
  <c r="AJ63" i="62"/>
  <c r="H63" i="62" s="1"/>
  <c r="C66" i="62"/>
  <c r="AJ67" i="62"/>
  <c r="H67" i="62" s="1"/>
  <c r="C70" i="62"/>
  <c r="AJ71" i="62"/>
  <c r="H71" i="62" s="1"/>
  <c r="C74" i="62"/>
  <c r="AJ75" i="62"/>
  <c r="H75" i="62" s="1"/>
  <c r="C78" i="62"/>
  <c r="AJ79" i="62"/>
  <c r="H79" i="62" s="1"/>
  <c r="C82" i="62"/>
  <c r="E82" i="62" s="1"/>
  <c r="AJ83" i="62"/>
  <c r="H83" i="62" s="1"/>
  <c r="C86" i="62"/>
  <c r="AJ87" i="62"/>
  <c r="H87" i="62" s="1"/>
  <c r="C90" i="62"/>
  <c r="E90" i="62" s="1"/>
  <c r="AJ91" i="62"/>
  <c r="H91" i="62" s="1"/>
  <c r="E109" i="62"/>
  <c r="H109" i="62"/>
  <c r="E117" i="62"/>
  <c r="H117" i="62"/>
  <c r="E121" i="62"/>
  <c r="H121" i="62"/>
  <c r="E125" i="62"/>
  <c r="H125" i="62"/>
  <c r="E129" i="62"/>
  <c r="H129" i="62"/>
  <c r="E133" i="62"/>
  <c r="H133" i="62"/>
  <c r="C37" i="62"/>
  <c r="C23" i="62"/>
  <c r="E23" i="62" s="1"/>
  <c r="AI23" i="62" s="1"/>
  <c r="AK23" i="62" s="1"/>
  <c r="AL23" i="62" s="1"/>
  <c r="AM23" i="62" s="1"/>
  <c r="AJ93" i="62"/>
  <c r="H93" i="62" s="1"/>
  <c r="AM97" i="62"/>
  <c r="AM103" i="62"/>
  <c r="M114" i="73" s="1"/>
  <c r="AJ114" i="73" s="1"/>
  <c r="AM109" i="62"/>
  <c r="AM119" i="62"/>
  <c r="C25" i="62"/>
  <c r="C15" i="62"/>
  <c r="C19" i="62"/>
  <c r="C27" i="62"/>
  <c r="C31" i="62"/>
  <c r="C35" i="62"/>
  <c r="C39" i="62"/>
  <c r="C43" i="62"/>
  <c r="C47" i="62"/>
  <c r="C51" i="62"/>
  <c r="C55" i="62"/>
  <c r="C59" i="62"/>
  <c r="C63" i="62"/>
  <c r="C67" i="62"/>
  <c r="C71" i="62"/>
  <c r="C75" i="62"/>
  <c r="C79" i="62"/>
  <c r="C83" i="62"/>
  <c r="C87" i="62"/>
  <c r="C91" i="62"/>
  <c r="C16" i="62"/>
  <c r="AJ17" i="62"/>
  <c r="H17" i="62" s="1"/>
  <c r="C20" i="62"/>
  <c r="AJ21" i="62"/>
  <c r="H21" i="62" s="1"/>
  <c r="C24" i="62"/>
  <c r="E24" i="62" s="1"/>
  <c r="AJ25" i="62"/>
  <c r="H25" i="62" s="1"/>
  <c r="C28" i="62"/>
  <c r="AJ29" i="62"/>
  <c r="H29" i="62" s="1"/>
  <c r="C32" i="62"/>
  <c r="AJ33" i="62"/>
  <c r="H33" i="62" s="1"/>
  <c r="C36" i="62"/>
  <c r="AJ37" i="62"/>
  <c r="H37" i="62" s="1"/>
  <c r="C40" i="62"/>
  <c r="AJ41" i="62"/>
  <c r="H41" i="62" s="1"/>
  <c r="C44" i="62"/>
  <c r="E44" i="62" s="1"/>
  <c r="AJ45" i="62"/>
  <c r="H45" i="62" s="1"/>
  <c r="C48" i="62"/>
  <c r="AJ49" i="62"/>
  <c r="H49" i="62" s="1"/>
  <c r="C52" i="62"/>
  <c r="AJ53" i="62"/>
  <c r="H53" i="62" s="1"/>
  <c r="C56" i="62"/>
  <c r="AJ57" i="62"/>
  <c r="H57" i="62" s="1"/>
  <c r="C60" i="62"/>
  <c r="E60" i="62" s="1"/>
  <c r="AJ61" i="62"/>
  <c r="H61" i="62" s="1"/>
  <c r="C64" i="62"/>
  <c r="AJ65" i="62"/>
  <c r="H65" i="62" s="1"/>
  <c r="C68" i="62"/>
  <c r="AJ69" i="62"/>
  <c r="H69" i="62" s="1"/>
  <c r="C72" i="62"/>
  <c r="E72" i="62" s="1"/>
  <c r="AJ73" i="62"/>
  <c r="H73" i="62" s="1"/>
  <c r="C76" i="62"/>
  <c r="AJ77" i="62"/>
  <c r="H77" i="62" s="1"/>
  <c r="C80" i="62"/>
  <c r="E80" i="62" s="1"/>
  <c r="AJ81" i="62"/>
  <c r="H81" i="62" s="1"/>
  <c r="C84" i="62"/>
  <c r="AJ85" i="62"/>
  <c r="H85" i="62" s="1"/>
  <c r="C88" i="62"/>
  <c r="E88" i="62" s="1"/>
  <c r="AJ89" i="62"/>
  <c r="H89" i="62" s="1"/>
  <c r="C93" i="62"/>
  <c r="C94" i="62"/>
  <c r="E96" i="62"/>
  <c r="H96" i="62"/>
  <c r="E97" i="62"/>
  <c r="AI97" i="62" s="1"/>
  <c r="AK97" i="62" s="1"/>
  <c r="AL97" i="62" s="1"/>
  <c r="E99" i="62"/>
  <c r="E101" i="62"/>
  <c r="E103" i="62"/>
  <c r="AI103" i="62" s="1"/>
  <c r="AK103" i="62" s="1"/>
  <c r="AL103" i="62" s="1"/>
  <c r="E105" i="62"/>
  <c r="AI105" i="62" s="1"/>
  <c r="AK105" i="62" s="1"/>
  <c r="AL105" i="62" s="1"/>
  <c r="AM105" i="62" s="1"/>
  <c r="E107" i="62"/>
  <c r="AI107" i="62" s="1"/>
  <c r="AK107" i="62" s="1"/>
  <c r="AL107" i="62" s="1"/>
  <c r="AM107" i="62" s="1"/>
  <c r="E111" i="62"/>
  <c r="E113" i="62"/>
  <c r="E115" i="62"/>
  <c r="AI115" i="62" s="1"/>
  <c r="AK115" i="62" s="1"/>
  <c r="AL115" i="62" s="1"/>
  <c r="AM115" i="62" s="1"/>
  <c r="E116" i="62"/>
  <c r="H116" i="62"/>
  <c r="E119" i="62"/>
  <c r="AI119" i="62" s="1"/>
  <c r="AK119" i="62" s="1"/>
  <c r="AL119" i="62" s="1"/>
  <c r="E123" i="62"/>
  <c r="AI123" i="62" s="1"/>
  <c r="AK123" i="62" s="1"/>
  <c r="AL123" i="62" s="1"/>
  <c r="AM123" i="62" s="1"/>
  <c r="M134" i="73" s="1"/>
  <c r="AJ134" i="73" s="1"/>
  <c r="E124" i="62"/>
  <c r="H124" i="62"/>
  <c r="E127" i="62"/>
  <c r="AI127" i="62" s="1"/>
  <c r="AK127" i="62" s="1"/>
  <c r="AL127" i="62" s="1"/>
  <c r="AM127" i="62" s="1"/>
  <c r="M138" i="73" s="1"/>
  <c r="AJ138" i="73" s="1"/>
  <c r="E131" i="62"/>
  <c r="AI131" i="62" s="1"/>
  <c r="AK131" i="62" s="1"/>
  <c r="AL131" i="62" s="1"/>
  <c r="AM131" i="62" s="1"/>
  <c r="E132" i="62"/>
  <c r="H132" i="62"/>
  <c r="AM104" i="62"/>
  <c r="M115" i="73" s="1"/>
  <c r="AJ115" i="73" s="1"/>
  <c r="AM108" i="62"/>
  <c r="AM32" i="62"/>
  <c r="AM58" i="62"/>
  <c r="AJ12" i="62"/>
  <c r="H12" i="62" s="1"/>
  <c r="C13" i="62"/>
  <c r="E13" i="62" s="1"/>
  <c r="AI13" i="62" s="1"/>
  <c r="AK13" i="62" s="1"/>
  <c r="AL13" i="62" s="1"/>
  <c r="H44" i="62"/>
  <c r="H60" i="62"/>
  <c r="H72" i="62"/>
  <c r="H80" i="62"/>
  <c r="H88" i="62"/>
  <c r="AJ92" i="62"/>
  <c r="H92" i="62" s="1"/>
  <c r="AJ94" i="62"/>
  <c r="H94" i="62" s="1"/>
  <c r="C9" i="62"/>
  <c r="E76" i="62" l="1"/>
  <c r="AI133" i="62"/>
  <c r="AK133" i="62" s="1"/>
  <c r="AL133" i="62" s="1"/>
  <c r="AM133" i="62" s="1"/>
  <c r="AI117" i="62"/>
  <c r="AK117" i="62" s="1"/>
  <c r="AL117" i="62" s="1"/>
  <c r="AM117" i="62" s="1"/>
  <c r="E58" i="62"/>
  <c r="AI58" i="62" s="1"/>
  <c r="AK58" i="62" s="1"/>
  <c r="AL58" i="62" s="1"/>
  <c r="E83" i="62"/>
  <c r="E67" i="62"/>
  <c r="E51" i="62"/>
  <c r="E35" i="62"/>
  <c r="E40" i="62"/>
  <c r="AI40" i="62" s="1"/>
  <c r="AK40" i="62" s="1"/>
  <c r="AL40" i="62" s="1"/>
  <c r="AM40" i="62" s="1"/>
  <c r="E84" i="62"/>
  <c r="E39" i="62"/>
  <c r="AI39" i="62" s="1"/>
  <c r="AK39" i="62" s="1"/>
  <c r="AL39" i="62" s="1"/>
  <c r="AM39" i="62" s="1"/>
  <c r="E48" i="62"/>
  <c r="AI48" i="62" s="1"/>
  <c r="AK48" i="62" s="1"/>
  <c r="AL48" i="62" s="1"/>
  <c r="AM48" i="62" s="1"/>
  <c r="E66" i="62"/>
  <c r="AI66" i="62" s="1"/>
  <c r="AK66" i="62" s="1"/>
  <c r="AL66" i="62" s="1"/>
  <c r="AM66" i="62" s="1"/>
  <c r="E26" i="62"/>
  <c r="E28" i="62"/>
  <c r="E34" i="62"/>
  <c r="E68" i="62"/>
  <c r="E20" i="62"/>
  <c r="AI20" i="62" s="1"/>
  <c r="AK20" i="62" s="1"/>
  <c r="AL20" i="62" s="1"/>
  <c r="AM20" i="62" s="1"/>
  <c r="E102" i="73"/>
  <c r="AK102" i="73"/>
  <c r="E134" i="73"/>
  <c r="AH134" i="73" s="1"/>
  <c r="AK134" i="73"/>
  <c r="AE134" i="73"/>
  <c r="AK47" i="73"/>
  <c r="E47" i="73"/>
  <c r="E46" i="73"/>
  <c r="AK46" i="73"/>
  <c r="E72" i="73"/>
  <c r="AK72" i="73"/>
  <c r="E124" i="73"/>
  <c r="AK124" i="73"/>
  <c r="E83" i="73"/>
  <c r="AK83" i="73"/>
  <c r="E35" i="73"/>
  <c r="AK35" i="73"/>
  <c r="AI125" i="62"/>
  <c r="AK125" i="62" s="1"/>
  <c r="AL125" i="62" s="1"/>
  <c r="AM125" i="62" s="1"/>
  <c r="M136" i="73" s="1"/>
  <c r="AJ136" i="73" s="1"/>
  <c r="AD136" i="73" s="1"/>
  <c r="AK95" i="73"/>
  <c r="E95" i="73"/>
  <c r="AK92" i="73"/>
  <c r="E92" i="73"/>
  <c r="E74" i="73"/>
  <c r="AK74" i="73"/>
  <c r="I134" i="73"/>
  <c r="AD134" i="73"/>
  <c r="E122" i="73"/>
  <c r="AK122" i="73"/>
  <c r="E81" i="73"/>
  <c r="AK81" i="73"/>
  <c r="AK135" i="73"/>
  <c r="E135" i="73"/>
  <c r="E91" i="73"/>
  <c r="AK91" i="73"/>
  <c r="E36" i="73"/>
  <c r="AK36" i="73"/>
  <c r="AK115" i="73"/>
  <c r="AE115" i="73"/>
  <c r="E115" i="73"/>
  <c r="AI115" i="73" s="1"/>
  <c r="AK136" i="73"/>
  <c r="E136" i="73"/>
  <c r="E91" i="62"/>
  <c r="E59" i="62"/>
  <c r="E27" i="62"/>
  <c r="AK141" i="73"/>
  <c r="E141" i="73"/>
  <c r="E64" i="73"/>
  <c r="AK64" i="73"/>
  <c r="AK54" i="73"/>
  <c r="E54" i="73"/>
  <c r="AK45" i="73"/>
  <c r="E45" i="73"/>
  <c r="AK63" i="73"/>
  <c r="E63" i="73"/>
  <c r="AK123" i="73"/>
  <c r="E123" i="73"/>
  <c r="AD115" i="73"/>
  <c r="I115" i="73"/>
  <c r="AK112" i="73"/>
  <c r="E112" i="73"/>
  <c r="AK75" i="73"/>
  <c r="E75" i="73"/>
  <c r="E62" i="73"/>
  <c r="AK62" i="73"/>
  <c r="E55" i="62"/>
  <c r="E86" i="62"/>
  <c r="AI86" i="62" s="1"/>
  <c r="AK86" i="62" s="1"/>
  <c r="AL86" i="62" s="1"/>
  <c r="AM86" i="62" s="1"/>
  <c r="E54" i="62"/>
  <c r="AI54" i="62" s="1"/>
  <c r="AK54" i="62" s="1"/>
  <c r="AL54" i="62" s="1"/>
  <c r="AM54" i="62" s="1"/>
  <c r="E110" i="73"/>
  <c r="AK110" i="73"/>
  <c r="AK84" i="73"/>
  <c r="E84" i="73"/>
  <c r="AK39" i="73"/>
  <c r="E39" i="73"/>
  <c r="E132" i="73"/>
  <c r="AK132" i="73"/>
  <c r="AK93" i="73"/>
  <c r="E93" i="73"/>
  <c r="AD114" i="73"/>
  <c r="I114" i="73"/>
  <c r="AK38" i="73"/>
  <c r="E38" i="73"/>
  <c r="AK103" i="73"/>
  <c r="E103" i="73"/>
  <c r="E138" i="73"/>
  <c r="AE138" i="73"/>
  <c r="AK138" i="73"/>
  <c r="E94" i="73"/>
  <c r="AK94" i="73"/>
  <c r="AK55" i="73"/>
  <c r="E55" i="73"/>
  <c r="E73" i="73"/>
  <c r="AK73" i="73"/>
  <c r="AK137" i="73"/>
  <c r="E137" i="73"/>
  <c r="AK37" i="73"/>
  <c r="E37" i="73"/>
  <c r="AK85" i="73"/>
  <c r="E85" i="73"/>
  <c r="AK111" i="73"/>
  <c r="E111" i="73"/>
  <c r="AK101" i="73"/>
  <c r="E101" i="73"/>
  <c r="E140" i="73"/>
  <c r="AK140" i="73"/>
  <c r="AK133" i="73"/>
  <c r="E133" i="73"/>
  <c r="E75" i="62"/>
  <c r="AI75" i="62" s="1"/>
  <c r="AK75" i="62" s="1"/>
  <c r="AL75" i="62" s="1"/>
  <c r="AM75" i="62" s="1"/>
  <c r="E43" i="62"/>
  <c r="AK125" i="73"/>
  <c r="E125" i="73"/>
  <c r="E113" i="73"/>
  <c r="AK113" i="73"/>
  <c r="E82" i="73"/>
  <c r="AK82" i="73"/>
  <c r="I138" i="73"/>
  <c r="AD138" i="73"/>
  <c r="AK114" i="73"/>
  <c r="E114" i="73"/>
  <c r="AI114" i="73" s="1"/>
  <c r="AE114" i="73"/>
  <c r="E104" i="73"/>
  <c r="AK104" i="73"/>
  <c r="AK53" i="73"/>
  <c r="E53" i="73"/>
  <c r="AK71" i="73"/>
  <c r="E71" i="73"/>
  <c r="AK139" i="73"/>
  <c r="E139" i="73"/>
  <c r="AF134" i="73"/>
  <c r="AG134" i="73"/>
  <c r="AG115" i="73"/>
  <c r="AF115" i="73"/>
  <c r="AF138" i="73"/>
  <c r="AG138" i="73"/>
  <c r="AF114" i="73"/>
  <c r="AG114" i="73"/>
  <c r="E87" i="62"/>
  <c r="AI87" i="62" s="1"/>
  <c r="AK87" i="62" s="1"/>
  <c r="AL87" i="62" s="1"/>
  <c r="AM87" i="62" s="1"/>
  <c r="E71" i="62"/>
  <c r="E18" i="62"/>
  <c r="E64" i="62"/>
  <c r="E53" i="62"/>
  <c r="E19" i="62"/>
  <c r="AI19" i="62" s="1"/>
  <c r="AK19" i="62" s="1"/>
  <c r="AL19" i="62" s="1"/>
  <c r="AM19" i="62" s="1"/>
  <c r="E93" i="62"/>
  <c r="E52" i="62"/>
  <c r="E36" i="62"/>
  <c r="E78" i="62"/>
  <c r="AI78" i="62" s="1"/>
  <c r="AK78" i="62" s="1"/>
  <c r="AL78" i="62" s="1"/>
  <c r="AM78" i="62" s="1"/>
  <c r="E46" i="62"/>
  <c r="AI46" i="62" s="1"/>
  <c r="AK46" i="62" s="1"/>
  <c r="AL46" i="62" s="1"/>
  <c r="AM46" i="62" s="1"/>
  <c r="E30" i="62"/>
  <c r="AI30" i="62" s="1"/>
  <c r="AK30" i="62" s="1"/>
  <c r="AL30" i="62" s="1"/>
  <c r="AM30" i="62" s="1"/>
  <c r="E32" i="62"/>
  <c r="AI32" i="62" s="1"/>
  <c r="AK32" i="62" s="1"/>
  <c r="AL32" i="62" s="1"/>
  <c r="E29" i="62"/>
  <c r="AI29" i="62" s="1"/>
  <c r="AK29" i="62" s="1"/>
  <c r="AL29" i="62" s="1"/>
  <c r="AM29" i="62" s="1"/>
  <c r="E85" i="62"/>
  <c r="AI85" i="62" s="1"/>
  <c r="AK85" i="62" s="1"/>
  <c r="AL85" i="62" s="1"/>
  <c r="AM85" i="62" s="1"/>
  <c r="E21" i="62"/>
  <c r="AI21" i="62" s="1"/>
  <c r="AK21" i="62" s="1"/>
  <c r="AL21" i="62" s="1"/>
  <c r="AM21" i="62" s="1"/>
  <c r="E69" i="62"/>
  <c r="AI69" i="62" s="1"/>
  <c r="AK69" i="62" s="1"/>
  <c r="AL69" i="62" s="1"/>
  <c r="AM69" i="62" s="1"/>
  <c r="E47" i="62"/>
  <c r="AI47" i="62" s="1"/>
  <c r="AK47" i="62" s="1"/>
  <c r="AL47" i="62" s="1"/>
  <c r="AM47" i="62" s="1"/>
  <c r="E63" i="62"/>
  <c r="E31" i="62"/>
  <c r="AI31" i="62" s="1"/>
  <c r="AK31" i="62" s="1"/>
  <c r="AL31" i="62" s="1"/>
  <c r="AM31" i="62" s="1"/>
  <c r="E56" i="62"/>
  <c r="AI56" i="62" s="1"/>
  <c r="AK56" i="62" s="1"/>
  <c r="AL56" i="62" s="1"/>
  <c r="AM56" i="62" s="1"/>
  <c r="E16" i="62"/>
  <c r="E79" i="62"/>
  <c r="AI79" i="62" s="1"/>
  <c r="AK79" i="62" s="1"/>
  <c r="AL79" i="62" s="1"/>
  <c r="AM79" i="62" s="1"/>
  <c r="E15" i="62"/>
  <c r="AI15" i="62" s="1"/>
  <c r="AK15" i="62" s="1"/>
  <c r="AL15" i="62" s="1"/>
  <c r="AM15" i="62" s="1"/>
  <c r="AI129" i="62"/>
  <c r="AK129" i="62" s="1"/>
  <c r="AL129" i="62" s="1"/>
  <c r="AM129" i="62" s="1"/>
  <c r="M140" i="73" s="1"/>
  <c r="AJ140" i="73" s="1"/>
  <c r="I140" i="73" s="1"/>
  <c r="AI121" i="62"/>
  <c r="AK121" i="62" s="1"/>
  <c r="AL121" i="62" s="1"/>
  <c r="AM121" i="62" s="1"/>
  <c r="M132" i="73" s="1"/>
  <c r="AJ132" i="73" s="1"/>
  <c r="AD132" i="73" s="1"/>
  <c r="AI109" i="62"/>
  <c r="AK109" i="62" s="1"/>
  <c r="AL109" i="62" s="1"/>
  <c r="E70" i="62"/>
  <c r="E38" i="62"/>
  <c r="AI38" i="62" s="1"/>
  <c r="AK38" i="62" s="1"/>
  <c r="AL38" i="62" s="1"/>
  <c r="AM38" i="62" s="1"/>
  <c r="E22" i="62"/>
  <c r="AI22" i="62" s="1"/>
  <c r="AK22" i="62" s="1"/>
  <c r="AL22" i="62" s="1"/>
  <c r="AM22" i="62" s="1"/>
  <c r="E74" i="62"/>
  <c r="E42" i="62"/>
  <c r="AI55" i="62"/>
  <c r="AK55" i="62" s="1"/>
  <c r="AL55" i="62" s="1"/>
  <c r="AM55" i="62" s="1"/>
  <c r="AI67" i="62"/>
  <c r="AK67" i="62" s="1"/>
  <c r="AL67" i="62" s="1"/>
  <c r="AM67" i="62" s="1"/>
  <c r="E37" i="62"/>
  <c r="AI37" i="62" s="1"/>
  <c r="AK37" i="62" s="1"/>
  <c r="AL37" i="62" s="1"/>
  <c r="AM37" i="62" s="1"/>
  <c r="E77" i="62"/>
  <c r="AI77" i="62" s="1"/>
  <c r="AK77" i="62" s="1"/>
  <c r="AL77" i="62" s="1"/>
  <c r="AM77" i="62" s="1"/>
  <c r="E61" i="62"/>
  <c r="E45" i="62"/>
  <c r="AI45" i="62" s="1"/>
  <c r="AK45" i="62" s="1"/>
  <c r="AL45" i="62" s="1"/>
  <c r="AM45" i="62" s="1"/>
  <c r="E92" i="62"/>
  <c r="E89" i="62"/>
  <c r="AI89" i="62" s="1"/>
  <c r="AK89" i="62" s="1"/>
  <c r="AL89" i="62" s="1"/>
  <c r="AM89" i="62" s="1"/>
  <c r="E57" i="62"/>
  <c r="AI57" i="62" s="1"/>
  <c r="AK57" i="62" s="1"/>
  <c r="AL57" i="62" s="1"/>
  <c r="AM57" i="62" s="1"/>
  <c r="AI76" i="62"/>
  <c r="AK76" i="62" s="1"/>
  <c r="AL76" i="62" s="1"/>
  <c r="AM76" i="62" s="1"/>
  <c r="E73" i="62"/>
  <c r="AI68" i="62"/>
  <c r="AK68" i="62" s="1"/>
  <c r="AL68" i="62" s="1"/>
  <c r="AM68" i="62" s="1"/>
  <c r="E25" i="62"/>
  <c r="AI132" i="62"/>
  <c r="AK132" i="62" s="1"/>
  <c r="AL132" i="62" s="1"/>
  <c r="AM132" i="62" s="1"/>
  <c r="AI116" i="62"/>
  <c r="AK116" i="62" s="1"/>
  <c r="AL116" i="62" s="1"/>
  <c r="AM116" i="62" s="1"/>
  <c r="AI96" i="62"/>
  <c r="AK96" i="62" s="1"/>
  <c r="AL96" i="62" s="1"/>
  <c r="AM96" i="62" s="1"/>
  <c r="E81" i="62"/>
  <c r="E65" i="62"/>
  <c r="AI65" i="62" s="1"/>
  <c r="AK65" i="62" s="1"/>
  <c r="AL65" i="62" s="1"/>
  <c r="AM65" i="62" s="1"/>
  <c r="E49" i="62"/>
  <c r="AI49" i="62" s="1"/>
  <c r="AK49" i="62" s="1"/>
  <c r="AL49" i="62" s="1"/>
  <c r="AM49" i="62" s="1"/>
  <c r="E41" i="62"/>
  <c r="AI41" i="62" s="1"/>
  <c r="AK41" i="62" s="1"/>
  <c r="AL41" i="62" s="1"/>
  <c r="AM41" i="62" s="1"/>
  <c r="E33" i="62"/>
  <c r="AI33" i="62" s="1"/>
  <c r="AK33" i="62" s="1"/>
  <c r="AL33" i="62" s="1"/>
  <c r="AM33" i="62" s="1"/>
  <c r="E17" i="62"/>
  <c r="C10" i="62"/>
  <c r="AI88" i="62"/>
  <c r="AK88" i="62" s="1"/>
  <c r="AL88" i="62" s="1"/>
  <c r="AM88" i="62" s="1"/>
  <c r="AM13" i="62"/>
  <c r="AI59" i="62"/>
  <c r="AK59" i="62" s="1"/>
  <c r="AL59" i="62" s="1"/>
  <c r="AM59" i="62" s="1"/>
  <c r="AM95" i="62"/>
  <c r="E94" i="62"/>
  <c r="AI94" i="62" s="1"/>
  <c r="AK94" i="62" s="1"/>
  <c r="AL94" i="62" s="1"/>
  <c r="AM94" i="62" s="1"/>
  <c r="E12" i="62"/>
  <c r="AI12" i="62" s="1"/>
  <c r="AK12" i="62" s="1"/>
  <c r="AL12" i="62" s="1"/>
  <c r="AM12" i="62" s="1"/>
  <c r="AJ9" i="62"/>
  <c r="H9" i="62" s="1"/>
  <c r="H115" i="73"/>
  <c r="H134" i="73"/>
  <c r="H138" i="73"/>
  <c r="H114" i="73"/>
  <c r="AF132" i="73" l="1"/>
  <c r="AG132" i="73"/>
  <c r="AQ114" i="73"/>
  <c r="I132" i="73"/>
  <c r="AE132" i="73"/>
  <c r="Z132" i="73" s="1"/>
  <c r="AI132" i="73"/>
  <c r="AE140" i="73"/>
  <c r="Y140" i="73" s="1"/>
  <c r="AE136" i="73"/>
  <c r="Y136" i="73" s="1"/>
  <c r="AD140" i="73"/>
  <c r="X140" i="73" s="1"/>
  <c r="I136" i="73"/>
  <c r="AH136" i="73"/>
  <c r="AF136" i="73"/>
  <c r="AS136" i="73" s="1"/>
  <c r="AF140" i="73"/>
  <c r="AS140" i="73" s="1"/>
  <c r="AG136" i="73"/>
  <c r="AG140" i="73"/>
  <c r="AH140" i="73"/>
  <c r="BB140" i="73" s="1"/>
  <c r="AH115" i="73"/>
  <c r="AH132" i="73"/>
  <c r="AP115" i="73"/>
  <c r="AH138" i="73"/>
  <c r="AT115" i="73"/>
  <c r="AT114" i="73"/>
  <c r="AP114" i="73"/>
  <c r="AI138" i="73"/>
  <c r="AI136" i="73"/>
  <c r="AI140" i="73"/>
  <c r="AH114" i="73"/>
  <c r="AI134" i="73"/>
  <c r="AY134" i="73" s="1"/>
  <c r="X136" i="73"/>
  <c r="AA136" i="73"/>
  <c r="X132" i="73"/>
  <c r="AP132" i="73" s="1"/>
  <c r="AA132" i="73"/>
  <c r="Z115" i="73"/>
  <c r="BC115" i="73" s="1"/>
  <c r="Y115" i="73"/>
  <c r="AS115" i="73" s="1"/>
  <c r="AA138" i="73"/>
  <c r="AQ138" i="73" s="1"/>
  <c r="X138" i="73"/>
  <c r="AP138" i="73" s="1"/>
  <c r="AA134" i="73"/>
  <c r="AQ134" i="73" s="1"/>
  <c r="X134" i="73"/>
  <c r="AP134" i="73" s="1"/>
  <c r="X115" i="73"/>
  <c r="AA115" i="73"/>
  <c r="AZ115" i="73" s="1"/>
  <c r="Z138" i="73"/>
  <c r="AT138" i="73" s="1"/>
  <c r="Y138" i="73"/>
  <c r="AS138" i="73" s="1"/>
  <c r="X114" i="73"/>
  <c r="AA114" i="73"/>
  <c r="AZ114" i="73" s="1"/>
  <c r="Z114" i="73"/>
  <c r="BC114" i="73" s="1"/>
  <c r="Y114" i="73"/>
  <c r="AS114" i="73" s="1"/>
  <c r="Z134" i="73"/>
  <c r="AT134" i="73" s="1"/>
  <c r="Y134" i="73"/>
  <c r="BB134" i="73" s="1"/>
  <c r="AJ10" i="62"/>
  <c r="H10" i="62" s="1"/>
  <c r="AC20" i="73"/>
  <c r="D20" i="73"/>
  <c r="AJ11" i="62"/>
  <c r="H11" i="62" s="1"/>
  <c r="C11" i="62"/>
  <c r="E9" i="62"/>
  <c r="H132" i="73"/>
  <c r="H136" i="73"/>
  <c r="H140" i="73"/>
  <c r="AQ132" i="73" l="1"/>
  <c r="BC132" i="73"/>
  <c r="AT132" i="73"/>
  <c r="AS134" i="73"/>
  <c r="AQ115" i="73"/>
  <c r="AY115" i="73"/>
  <c r="Y132" i="73"/>
  <c r="AS132" i="73" s="1"/>
  <c r="AZ132" i="73"/>
  <c r="Z136" i="73"/>
  <c r="AT136" i="73" s="1"/>
  <c r="Z140" i="73"/>
  <c r="AY136" i="73"/>
  <c r="AQ136" i="73"/>
  <c r="AA140" i="73"/>
  <c r="AQ140" i="73" s="1"/>
  <c r="AP136" i="73"/>
  <c r="AT140" i="73"/>
  <c r="AY140" i="73"/>
  <c r="AP140" i="73"/>
  <c r="BB136" i="73"/>
  <c r="BB115" i="73"/>
  <c r="AY132" i="73"/>
  <c r="BB114" i="73"/>
  <c r="AY114" i="73"/>
  <c r="BC140" i="73"/>
  <c r="AZ138" i="73"/>
  <c r="BC138" i="73"/>
  <c r="BC136" i="73"/>
  <c r="AZ136" i="73"/>
  <c r="AZ134" i="73"/>
  <c r="BC134" i="73"/>
  <c r="AY138" i="73"/>
  <c r="BB138" i="73"/>
  <c r="E11" i="62"/>
  <c r="AI11" i="62" s="1"/>
  <c r="AK11" i="62" s="1"/>
  <c r="AL11" i="62" s="1"/>
  <c r="AM11" i="62" s="1"/>
  <c r="E10" i="62"/>
  <c r="AC21" i="73"/>
  <c r="D21" i="73"/>
  <c r="E20" i="73"/>
  <c r="AK20" i="73"/>
  <c r="D19" i="73"/>
  <c r="F7" i="105"/>
  <c r="F5" i="105"/>
  <c r="B7" i="105"/>
  <c r="B5" i="105"/>
  <c r="AK9" i="73"/>
  <c r="AZ140" i="73" l="1"/>
  <c r="BB132" i="73"/>
  <c r="AN178" i="73"/>
  <c r="AN159" i="73"/>
  <c r="AN315" i="73"/>
  <c r="AN322" i="73"/>
  <c r="AM155" i="73"/>
  <c r="AM149" i="73"/>
  <c r="AN149" i="73"/>
  <c r="AM178" i="73"/>
  <c r="AM147" i="73"/>
  <c r="AV149" i="73"/>
  <c r="AN151" i="73"/>
  <c r="AM315" i="73"/>
  <c r="AN147" i="73"/>
  <c r="AM322" i="73"/>
  <c r="AM153" i="73"/>
  <c r="AN153" i="73"/>
  <c r="AV322" i="73"/>
  <c r="AN157" i="73"/>
  <c r="AM159" i="73"/>
  <c r="AM161" i="73"/>
  <c r="AN161" i="73"/>
  <c r="AN155" i="73"/>
  <c r="AM151" i="73"/>
  <c r="AM157" i="73"/>
  <c r="AV157" i="73"/>
  <c r="AV178" i="73"/>
  <c r="AV153" i="73"/>
  <c r="AW155" i="73"/>
  <c r="AW178" i="73"/>
  <c r="AV161" i="73"/>
  <c r="AW153" i="73"/>
  <c r="AV147" i="73"/>
  <c r="AV155" i="73"/>
  <c r="AW151" i="73"/>
  <c r="AW322" i="73"/>
  <c r="AW149" i="73"/>
  <c r="AV151" i="73"/>
  <c r="AW157" i="73"/>
  <c r="AW161" i="73"/>
  <c r="AW147" i="73"/>
  <c r="AW315" i="73"/>
  <c r="AV159" i="73"/>
  <c r="AW159" i="73"/>
  <c r="AV315" i="73"/>
  <c r="AM134" i="73"/>
  <c r="AM132" i="73"/>
  <c r="AM140" i="73"/>
  <c r="AM114" i="73"/>
  <c r="AN138" i="73"/>
  <c r="AM136" i="73"/>
  <c r="AN132" i="73"/>
  <c r="AN140" i="73"/>
  <c r="AN114" i="73"/>
  <c r="AN115" i="73"/>
  <c r="AN136" i="73"/>
  <c r="AM138" i="73"/>
  <c r="AN134" i="73"/>
  <c r="AM115" i="73"/>
  <c r="AW114" i="73"/>
  <c r="AV114" i="73"/>
  <c r="AW115" i="73"/>
  <c r="AV115" i="73"/>
  <c r="AW140" i="73"/>
  <c r="AV136" i="73"/>
  <c r="AV134" i="73"/>
  <c r="AV140" i="73"/>
  <c r="AW132" i="73"/>
  <c r="AW138" i="73"/>
  <c r="AV138" i="73"/>
  <c r="AW136" i="73"/>
  <c r="AV132" i="73"/>
  <c r="AW134" i="73"/>
  <c r="E21" i="73"/>
  <c r="AK21" i="73"/>
  <c r="E19" i="73"/>
  <c r="AC19" i="73"/>
  <c r="P315" i="73" l="1"/>
  <c r="S315" i="73"/>
  <c r="T315" i="73" s="1"/>
  <c r="V315" i="73" s="1"/>
  <c r="P138" i="73"/>
  <c r="Q138" i="73" s="1"/>
  <c r="G138" i="73" s="1"/>
  <c r="P155" i="73"/>
  <c r="R155" i="73" s="1"/>
  <c r="P140" i="73"/>
  <c r="R140" i="73" s="1"/>
  <c r="P136" i="73"/>
  <c r="R136" i="73" s="1"/>
  <c r="S138" i="73"/>
  <c r="T138" i="73" s="1"/>
  <c r="V138" i="73" s="1"/>
  <c r="P322" i="73"/>
  <c r="R322" i="73" s="1"/>
  <c r="S322" i="73"/>
  <c r="U322" i="73" s="1"/>
  <c r="S149" i="73"/>
  <c r="U149" i="73" s="1"/>
  <c r="P149" i="73"/>
  <c r="R149" i="73" s="1"/>
  <c r="S151" i="73"/>
  <c r="U151" i="73" s="1"/>
  <c r="P132" i="73"/>
  <c r="R132" i="73" s="1"/>
  <c r="S115" i="73"/>
  <c r="T115" i="73" s="1"/>
  <c r="V115" i="73" s="1"/>
  <c r="S157" i="73"/>
  <c r="T157" i="73" s="1"/>
  <c r="V157" i="73" s="1"/>
  <c r="S159" i="73"/>
  <c r="T159" i="73" s="1"/>
  <c r="V159" i="73" s="1"/>
  <c r="S178" i="73"/>
  <c r="T178" i="73" s="1"/>
  <c r="V178" i="73" s="1"/>
  <c r="P115" i="73"/>
  <c r="S136" i="73"/>
  <c r="P157" i="73"/>
  <c r="S153" i="73"/>
  <c r="P134" i="73"/>
  <c r="S114" i="73"/>
  <c r="P161" i="73"/>
  <c r="P153" i="73"/>
  <c r="P178" i="73"/>
  <c r="P114" i="73"/>
  <c r="S134" i="73"/>
  <c r="R315" i="73"/>
  <c r="Q315" i="73"/>
  <c r="G315" i="73" s="1"/>
  <c r="P159" i="73"/>
  <c r="S161" i="73"/>
  <c r="S140" i="73"/>
  <c r="S132" i="73"/>
  <c r="P151" i="73"/>
  <c r="P147" i="73"/>
  <c r="S147" i="73"/>
  <c r="S155" i="73"/>
  <c r="B19" i="73"/>
  <c r="S36" i="72" s="1"/>
  <c r="R138" i="73" l="1"/>
  <c r="U315" i="73"/>
  <c r="T322" i="73"/>
  <c r="V322" i="73" s="1"/>
  <c r="Q140" i="73"/>
  <c r="G140" i="73" s="1"/>
  <c r="Q136" i="73"/>
  <c r="G136" i="73" s="1"/>
  <c r="U159" i="73"/>
  <c r="Q149" i="73"/>
  <c r="G149" i="73" s="1"/>
  <c r="Q155" i="73"/>
  <c r="G155" i="73" s="1"/>
  <c r="Q322" i="73"/>
  <c r="G322" i="73" s="1"/>
  <c r="T151" i="73"/>
  <c r="V151" i="73" s="1"/>
  <c r="U138" i="73"/>
  <c r="U178" i="73"/>
  <c r="U115" i="73"/>
  <c r="T149" i="73"/>
  <c r="V149" i="73" s="1"/>
  <c r="U157" i="73"/>
  <c r="Q132" i="73"/>
  <c r="G132" i="73" s="1"/>
  <c r="U147" i="73"/>
  <c r="T147" i="73"/>
  <c r="V147" i="73" s="1"/>
  <c r="R151" i="73"/>
  <c r="Q151" i="73"/>
  <c r="G151" i="73" s="1"/>
  <c r="T140" i="73"/>
  <c r="V140" i="73" s="1"/>
  <c r="U140" i="73"/>
  <c r="T134" i="73"/>
  <c r="V134" i="73" s="1"/>
  <c r="U134" i="73"/>
  <c r="R153" i="73"/>
  <c r="Q153" i="73"/>
  <c r="G153" i="73" s="1"/>
  <c r="R161" i="73"/>
  <c r="Q161" i="73"/>
  <c r="G161" i="73" s="1"/>
  <c r="Q157" i="73"/>
  <c r="G157" i="73" s="1"/>
  <c r="R157" i="73"/>
  <c r="U161" i="73"/>
  <c r="T161" i="73"/>
  <c r="V161" i="73" s="1"/>
  <c r="R114" i="73"/>
  <c r="Q114" i="73"/>
  <c r="G114" i="73" s="1"/>
  <c r="R134" i="73"/>
  <c r="Q134" i="73"/>
  <c r="G134" i="73" s="1"/>
  <c r="R115" i="73"/>
  <c r="Q115" i="73"/>
  <c r="G115" i="73" s="1"/>
  <c r="U153" i="73"/>
  <c r="T153" i="73"/>
  <c r="V153" i="73" s="1"/>
  <c r="T155" i="73"/>
  <c r="V155" i="73" s="1"/>
  <c r="U155" i="73"/>
  <c r="R147" i="73"/>
  <c r="Q147" i="73"/>
  <c r="G147" i="73" s="1"/>
  <c r="T132" i="73"/>
  <c r="V132" i="73" s="1"/>
  <c r="U132" i="73"/>
  <c r="Q159" i="73"/>
  <c r="G159" i="73" s="1"/>
  <c r="R159" i="73"/>
  <c r="Q178" i="73"/>
  <c r="G178" i="73" s="1"/>
  <c r="R178" i="73"/>
  <c r="T114" i="73"/>
  <c r="V114" i="73" s="1"/>
  <c r="U114" i="73"/>
  <c r="U136" i="73"/>
  <c r="T136" i="73"/>
  <c r="V136" i="73" s="1"/>
  <c r="A346" i="73"/>
  <c r="D17" i="115" l="1"/>
  <c r="D16" i="115"/>
  <c r="D15" i="115"/>
  <c r="D14" i="115"/>
  <c r="D13" i="115"/>
  <c r="D11" i="115"/>
  <c r="D10" i="115"/>
  <c r="D9" i="115"/>
  <c r="C17" i="115"/>
  <c r="C16" i="115"/>
  <c r="C15" i="115"/>
  <c r="C14" i="115"/>
  <c r="C13" i="115"/>
  <c r="C12" i="115"/>
  <c r="C11" i="115"/>
  <c r="C10" i="115"/>
  <c r="AF5" i="62"/>
  <c r="AC5" i="62"/>
  <c r="Z5" i="62"/>
  <c r="W5" i="62"/>
  <c r="T5" i="62"/>
  <c r="Q5" i="62"/>
  <c r="M5" i="62"/>
  <c r="I5" i="62"/>
  <c r="S11" i="73" l="1"/>
  <c r="C19" i="73" l="1"/>
  <c r="AB19" i="73" l="1"/>
  <c r="K5" i="98"/>
  <c r="G5" i="98"/>
  <c r="F3" i="98"/>
  <c r="E17" i="115"/>
  <c r="F17" i="115" s="1"/>
  <c r="B17" i="115"/>
  <c r="I17" i="115" s="1"/>
  <c r="E16" i="115"/>
  <c r="F16" i="115" s="1"/>
  <c r="B16" i="115"/>
  <c r="I16" i="115" s="1"/>
  <c r="E15" i="115"/>
  <c r="F15" i="115" s="1"/>
  <c r="B15" i="115"/>
  <c r="I15" i="115" s="1"/>
  <c r="E14" i="115"/>
  <c r="F14" i="115" s="1"/>
  <c r="B14" i="115"/>
  <c r="I14" i="115" s="1"/>
  <c r="E13" i="115"/>
  <c r="F13" i="115" s="1"/>
  <c r="B13" i="115"/>
  <c r="I13" i="115" s="1"/>
  <c r="E12" i="115"/>
  <c r="F12" i="115" s="1"/>
  <c r="B12" i="115"/>
  <c r="I12" i="115" s="1"/>
  <c r="F11" i="115"/>
  <c r="E11" i="115"/>
  <c r="B11" i="115"/>
  <c r="I11" i="115" s="1"/>
  <c r="E10" i="115"/>
  <c r="B10" i="115"/>
  <c r="I10" i="115" s="1"/>
  <c r="E9" i="115"/>
  <c r="B9" i="115"/>
  <c r="E8" i="115"/>
  <c r="B8" i="115"/>
  <c r="A5" i="115"/>
  <c r="A4" i="115"/>
  <c r="A3" i="115"/>
  <c r="AF8" i="62"/>
  <c r="AH8" i="62" s="1"/>
  <c r="AC8" i="62"/>
  <c r="Z8" i="62"/>
  <c r="AB8" i="62" s="1"/>
  <c r="W8" i="62"/>
  <c r="T8" i="62"/>
  <c r="V8" i="62" s="1"/>
  <c r="M8" i="62"/>
  <c r="P8" i="62" s="1"/>
  <c r="J8" i="62"/>
  <c r="I8" i="62"/>
  <c r="F8" i="62"/>
  <c r="B8" i="62"/>
  <c r="M7" i="62"/>
  <c r="I7" i="62"/>
  <c r="F7" i="62"/>
  <c r="C7" i="62"/>
  <c r="A19" i="73"/>
  <c r="B17" i="73"/>
  <c r="A17" i="73"/>
  <c r="A14" i="73"/>
  <c r="F10" i="115" l="1"/>
  <c r="H10" i="115" s="1"/>
  <c r="L8" i="62"/>
  <c r="H11" i="115"/>
  <c r="H16" i="115"/>
  <c r="H14" i="115"/>
  <c r="H15" i="115"/>
  <c r="H13" i="115"/>
  <c r="H17" i="115"/>
  <c r="Y8" i="62"/>
  <c r="AE8" i="62"/>
  <c r="F19" i="73"/>
  <c r="W19" i="73" l="1"/>
  <c r="AJ8" i="62" l="1"/>
  <c r="D8" i="115"/>
  <c r="F9" i="115" l="1"/>
  <c r="H9" i="115" s="1"/>
  <c r="F8" i="115"/>
  <c r="H8" i="115" s="1"/>
  <c r="C8" i="62"/>
  <c r="E8" i="62" s="1"/>
  <c r="I8" i="115"/>
  <c r="H8" i="62"/>
  <c r="I9" i="115"/>
  <c r="AK19" i="73" l="1"/>
  <c r="Q193" i="62" l="1"/>
  <c r="S193" i="62" s="1"/>
  <c r="AI193" i="62" s="1"/>
  <c r="AK193" i="62" s="1"/>
  <c r="AL193" i="62" s="1"/>
  <c r="AM193" i="62" s="1"/>
  <c r="M204" i="73" s="1"/>
  <c r="Q192" i="62"/>
  <c r="S192" i="62" s="1"/>
  <c r="AI192" i="62" s="1"/>
  <c r="AK192" i="62" s="1"/>
  <c r="AL192" i="62" s="1"/>
  <c r="AM192" i="62" s="1"/>
  <c r="M203" i="73" s="1"/>
  <c r="Q184" i="62"/>
  <c r="S184" i="62" s="1"/>
  <c r="AI184" i="62" s="1"/>
  <c r="AK184" i="62" s="1"/>
  <c r="AL184" i="62" s="1"/>
  <c r="AM184" i="62" s="1"/>
  <c r="M195" i="73" s="1"/>
  <c r="Q160" i="62"/>
  <c r="S160" i="62" s="1"/>
  <c r="AI160" i="62" s="1"/>
  <c r="AK160" i="62" s="1"/>
  <c r="AL160" i="62" s="1"/>
  <c r="AM160" i="62" s="1"/>
  <c r="M171" i="73" s="1"/>
  <c r="Q159" i="62"/>
  <c r="S159" i="62" s="1"/>
  <c r="AI159" i="62" s="1"/>
  <c r="AK159" i="62" s="1"/>
  <c r="AL159" i="62" s="1"/>
  <c r="AM159" i="62" s="1"/>
  <c r="M170" i="73" s="1"/>
  <c r="Q158" i="62"/>
  <c r="S158" i="62" s="1"/>
  <c r="AI158" i="62" s="1"/>
  <c r="AK158" i="62" s="1"/>
  <c r="AL158" i="62" s="1"/>
  <c r="AM158" i="62" s="1"/>
  <c r="M169" i="73" s="1"/>
  <c r="Q151" i="62"/>
  <c r="S151" i="62" s="1"/>
  <c r="AI151" i="62" s="1"/>
  <c r="AK151" i="62" s="1"/>
  <c r="AL151" i="62" s="1"/>
  <c r="AM151" i="62" s="1"/>
  <c r="M162" i="73" s="1"/>
  <c r="Q147" i="62"/>
  <c r="S147" i="62" s="1"/>
  <c r="AI147" i="62" s="1"/>
  <c r="AK147" i="62" s="1"/>
  <c r="AL147" i="62" s="1"/>
  <c r="AM147" i="62" s="1"/>
  <c r="M158" i="73" s="1"/>
  <c r="Q145" i="62"/>
  <c r="S145" i="62" s="1"/>
  <c r="AI145" i="62" s="1"/>
  <c r="AK145" i="62" s="1"/>
  <c r="AL145" i="62" s="1"/>
  <c r="AM145" i="62" s="1"/>
  <c r="M156" i="73" s="1"/>
  <c r="Q143" i="62"/>
  <c r="S143" i="62" s="1"/>
  <c r="AI143" i="62" s="1"/>
  <c r="AK143" i="62" s="1"/>
  <c r="AL143" i="62" s="1"/>
  <c r="AM143" i="62" s="1"/>
  <c r="M154" i="73" s="1"/>
  <c r="Q141" i="62"/>
  <c r="S141" i="62" s="1"/>
  <c r="AI141" i="62" s="1"/>
  <c r="AK141" i="62" s="1"/>
  <c r="AL141" i="62" s="1"/>
  <c r="AM141" i="62" s="1"/>
  <c r="M152" i="73" s="1"/>
  <c r="Q139" i="62"/>
  <c r="S139" i="62" s="1"/>
  <c r="AI139" i="62" s="1"/>
  <c r="AK139" i="62" s="1"/>
  <c r="AL139" i="62" s="1"/>
  <c r="AM139" i="62" s="1"/>
  <c r="M150" i="73" s="1"/>
  <c r="Q130" i="62"/>
  <c r="S130" i="62" s="1"/>
  <c r="AI130" i="62" s="1"/>
  <c r="AK130" i="62" s="1"/>
  <c r="AL130" i="62" s="1"/>
  <c r="AM130" i="62" s="1"/>
  <c r="M141" i="73" s="1"/>
  <c r="Q128" i="62"/>
  <c r="S128" i="62" s="1"/>
  <c r="AI128" i="62" s="1"/>
  <c r="AK128" i="62" s="1"/>
  <c r="AL128" i="62" s="1"/>
  <c r="AM128" i="62" s="1"/>
  <c r="M139" i="73" s="1"/>
  <c r="Q126" i="62"/>
  <c r="S126" i="62" s="1"/>
  <c r="AI126" i="62" s="1"/>
  <c r="AK126" i="62" s="1"/>
  <c r="AL126" i="62" s="1"/>
  <c r="AM126" i="62" s="1"/>
  <c r="M137" i="73" s="1"/>
  <c r="Q124" i="62"/>
  <c r="S124" i="62" s="1"/>
  <c r="AI124" i="62" s="1"/>
  <c r="AK124" i="62" s="1"/>
  <c r="AL124" i="62" s="1"/>
  <c r="AM124" i="62" s="1"/>
  <c r="M135" i="73" s="1"/>
  <c r="Q122" i="62"/>
  <c r="S122" i="62" s="1"/>
  <c r="AI122" i="62" s="1"/>
  <c r="AK122" i="62" s="1"/>
  <c r="AL122" i="62" s="1"/>
  <c r="AM122" i="62" s="1"/>
  <c r="M133" i="73" s="1"/>
  <c r="Q102" i="62"/>
  <c r="S102" i="62" s="1"/>
  <c r="AI102" i="62" s="1"/>
  <c r="AK102" i="62" s="1"/>
  <c r="AL102" i="62" s="1"/>
  <c r="AM102" i="62" s="1"/>
  <c r="M113" i="73" s="1"/>
  <c r="Q101" i="62"/>
  <c r="S101" i="62" s="1"/>
  <c r="AI101" i="62" s="1"/>
  <c r="AK101" i="62" s="1"/>
  <c r="AL101" i="62" s="1"/>
  <c r="AM101" i="62" s="1"/>
  <c r="M112" i="73" s="1"/>
  <c r="Q100" i="62"/>
  <c r="S100" i="62" s="1"/>
  <c r="AI100" i="62" s="1"/>
  <c r="AK100" i="62" s="1"/>
  <c r="AL100" i="62" s="1"/>
  <c r="AM100" i="62" s="1"/>
  <c r="M111" i="73" s="1"/>
  <c r="Q99" i="62"/>
  <c r="S99" i="62" s="1"/>
  <c r="AI99" i="62" s="1"/>
  <c r="AK99" i="62" s="1"/>
  <c r="AL99" i="62" s="1"/>
  <c r="AM99" i="62" s="1"/>
  <c r="M110" i="73" s="1"/>
  <c r="Q93" i="62"/>
  <c r="S93" i="62" s="1"/>
  <c r="AI93" i="62" s="1"/>
  <c r="AK93" i="62" s="1"/>
  <c r="AL93" i="62" s="1"/>
  <c r="AM93" i="62" s="1"/>
  <c r="M104" i="73" s="1"/>
  <c r="Q92" i="62"/>
  <c r="S92" i="62" s="1"/>
  <c r="AI92" i="62" s="1"/>
  <c r="AK92" i="62" s="1"/>
  <c r="AL92" i="62" s="1"/>
  <c r="AM92" i="62" s="1"/>
  <c r="M103" i="73" s="1"/>
  <c r="Q91" i="62"/>
  <c r="S91" i="62" s="1"/>
  <c r="AI91" i="62" s="1"/>
  <c r="AK91" i="62" s="1"/>
  <c r="AL91" i="62" s="1"/>
  <c r="AM91" i="62" s="1"/>
  <c r="M102" i="73" s="1"/>
  <c r="Q90" i="62"/>
  <c r="S90" i="62" s="1"/>
  <c r="AI90" i="62" s="1"/>
  <c r="AK90" i="62" s="1"/>
  <c r="AL90" i="62" s="1"/>
  <c r="AM90" i="62" s="1"/>
  <c r="M101" i="73" s="1"/>
  <c r="Q84" i="62"/>
  <c r="S84" i="62" s="1"/>
  <c r="AI84" i="62" s="1"/>
  <c r="AK84" i="62" s="1"/>
  <c r="AL84" i="62" s="1"/>
  <c r="AM84" i="62" s="1"/>
  <c r="M95" i="73" s="1"/>
  <c r="Q62" i="62"/>
  <c r="S62" i="62" s="1"/>
  <c r="AI62" i="62" s="1"/>
  <c r="AK62" i="62" s="1"/>
  <c r="AL62" i="62" s="1"/>
  <c r="AM62" i="62" s="1"/>
  <c r="M73" i="73" s="1"/>
  <c r="Q60" i="62"/>
  <c r="S60" i="62" s="1"/>
  <c r="AI60" i="62" s="1"/>
  <c r="AK60" i="62" s="1"/>
  <c r="AL60" i="62" s="1"/>
  <c r="AM60" i="62" s="1"/>
  <c r="M71" i="73" s="1"/>
  <c r="Q35" i="62"/>
  <c r="S35" i="62" s="1"/>
  <c r="AI35" i="62" s="1"/>
  <c r="AK35" i="62" s="1"/>
  <c r="AL35" i="62" s="1"/>
  <c r="AM35" i="62" s="1"/>
  <c r="M46" i="73" s="1"/>
  <c r="Q34" i="62"/>
  <c r="S34" i="62" s="1"/>
  <c r="AI34" i="62" s="1"/>
  <c r="AK34" i="62" s="1"/>
  <c r="AL34" i="62" s="1"/>
  <c r="AM34" i="62" s="1"/>
  <c r="M45" i="73" s="1"/>
  <c r="Q27" i="62"/>
  <c r="S27" i="62" s="1"/>
  <c r="AI27" i="62" s="1"/>
  <c r="AK27" i="62" s="1"/>
  <c r="AL27" i="62" s="1"/>
  <c r="AM27" i="62" s="1"/>
  <c r="M38" i="73" s="1"/>
  <c r="Q26" i="62"/>
  <c r="S26" i="62" s="1"/>
  <c r="AI26" i="62" s="1"/>
  <c r="AK26" i="62" s="1"/>
  <c r="AL26" i="62" s="1"/>
  <c r="AM26" i="62" s="1"/>
  <c r="M37" i="73" s="1"/>
  <c r="Q25" i="62"/>
  <c r="S25" i="62" s="1"/>
  <c r="AI25" i="62" s="1"/>
  <c r="AK25" i="62" s="1"/>
  <c r="AL25" i="62" s="1"/>
  <c r="AM25" i="62" s="1"/>
  <c r="M36" i="73" s="1"/>
  <c r="Q17" i="62"/>
  <c r="S17" i="62" s="1"/>
  <c r="AI17" i="62" s="1"/>
  <c r="AK17" i="62" s="1"/>
  <c r="AL17" i="62" s="1"/>
  <c r="AM17" i="62" s="1"/>
  <c r="M28" i="73" s="1"/>
  <c r="Q16" i="62"/>
  <c r="S16" i="62" s="1"/>
  <c r="AI16" i="62" s="1"/>
  <c r="AK16" i="62" s="1"/>
  <c r="AL16" i="62" s="1"/>
  <c r="AM16" i="62" s="1"/>
  <c r="M27" i="73" s="1"/>
  <c r="AJ103" i="73" l="1"/>
  <c r="AE103" i="73"/>
  <c r="AJ162" i="73"/>
  <c r="AE162" i="73"/>
  <c r="AF162" i="73"/>
  <c r="AG162" i="73"/>
  <c r="AI162" i="73"/>
  <c r="AH162" i="73"/>
  <c r="AV162" i="73"/>
  <c r="AM162" i="73"/>
  <c r="AN162" i="73"/>
  <c r="AW162" i="73"/>
  <c r="AJ45" i="73"/>
  <c r="AG45" i="73"/>
  <c r="AF45" i="73"/>
  <c r="AE45" i="73"/>
  <c r="AH45" i="73"/>
  <c r="AI45" i="73"/>
  <c r="AW45" i="73"/>
  <c r="AN45" i="73"/>
  <c r="AM45" i="73"/>
  <c r="AV45" i="73"/>
  <c r="P45" i="73" s="1"/>
  <c r="AJ104" i="73"/>
  <c r="AE104" i="73"/>
  <c r="AJ169" i="73"/>
  <c r="AE169" i="73"/>
  <c r="AG169" i="73"/>
  <c r="AF169" i="73"/>
  <c r="AI169" i="73"/>
  <c r="AH169" i="73"/>
  <c r="AW169" i="73"/>
  <c r="AV169" i="73"/>
  <c r="P169" i="73" s="1"/>
  <c r="AM169" i="73"/>
  <c r="AN169" i="73"/>
  <c r="AJ102" i="73"/>
  <c r="AE102" i="73"/>
  <c r="AJ38" i="73"/>
  <c r="AE38" i="73"/>
  <c r="AJ110" i="73"/>
  <c r="AG110" i="73"/>
  <c r="AF110" i="73"/>
  <c r="AE110" i="73"/>
  <c r="AI110" i="73"/>
  <c r="AH110" i="73"/>
  <c r="AM110" i="73"/>
  <c r="AN110" i="73"/>
  <c r="AV110" i="73"/>
  <c r="AW110" i="73"/>
  <c r="AJ170" i="73"/>
  <c r="AE170" i="73"/>
  <c r="AG170" i="73"/>
  <c r="AF170" i="73"/>
  <c r="AH170" i="73"/>
  <c r="AI170" i="73"/>
  <c r="AM170" i="73"/>
  <c r="AW170" i="73"/>
  <c r="AN170" i="73"/>
  <c r="AV170" i="73"/>
  <c r="AJ71" i="73"/>
  <c r="AE71" i="73"/>
  <c r="AJ111" i="73"/>
  <c r="AG111" i="73"/>
  <c r="AF111" i="73"/>
  <c r="AE111" i="73"/>
  <c r="AI111" i="73"/>
  <c r="AH111" i="73"/>
  <c r="AM111" i="73"/>
  <c r="AW111" i="73"/>
  <c r="AN111" i="73"/>
  <c r="AV111" i="73"/>
  <c r="AJ150" i="73"/>
  <c r="AE150" i="73"/>
  <c r="AG150" i="73"/>
  <c r="AF150" i="73"/>
  <c r="AH150" i="73"/>
  <c r="AI150" i="73"/>
  <c r="AV150" i="73"/>
  <c r="P150" i="73" s="1"/>
  <c r="AM150" i="73"/>
  <c r="S150" i="73" s="1"/>
  <c r="AW150" i="73"/>
  <c r="AN150" i="73"/>
  <c r="AJ171" i="73"/>
  <c r="AE171" i="73"/>
  <c r="AG171" i="73"/>
  <c r="AF171" i="73"/>
  <c r="AI171" i="73"/>
  <c r="AH171" i="73"/>
  <c r="AM171" i="73"/>
  <c r="AV171" i="73"/>
  <c r="AN171" i="73"/>
  <c r="AW171" i="73"/>
  <c r="AJ37" i="73"/>
  <c r="AE37" i="73"/>
  <c r="AF37" i="73"/>
  <c r="AG37" i="73"/>
  <c r="AH37" i="73"/>
  <c r="AI37" i="73"/>
  <c r="AM37" i="73"/>
  <c r="S37" i="73" s="1"/>
  <c r="AV37" i="73"/>
  <c r="P37" i="73" s="1"/>
  <c r="AW37" i="73"/>
  <c r="AN37" i="73"/>
  <c r="AJ158" i="73"/>
  <c r="AE158" i="73"/>
  <c r="AG158" i="73"/>
  <c r="AF158" i="73"/>
  <c r="AI158" i="73"/>
  <c r="AH158" i="73"/>
  <c r="AW158" i="73"/>
  <c r="AN158" i="73"/>
  <c r="AV158" i="73"/>
  <c r="AM158" i="73"/>
  <c r="S158" i="73" s="1"/>
  <c r="AJ46" i="73"/>
  <c r="AE46" i="73"/>
  <c r="AJ27" i="73"/>
  <c r="AE27" i="73"/>
  <c r="AJ73" i="73"/>
  <c r="AE73" i="73"/>
  <c r="AJ112" i="73"/>
  <c r="AG112" i="73"/>
  <c r="AF112" i="73"/>
  <c r="AE112" i="73"/>
  <c r="AI112" i="73"/>
  <c r="AH112" i="73"/>
  <c r="AV112" i="73"/>
  <c r="AM112" i="73"/>
  <c r="AN112" i="73"/>
  <c r="AW112" i="73"/>
  <c r="AJ152" i="73"/>
  <c r="AE152" i="73"/>
  <c r="AG152" i="73"/>
  <c r="AF152" i="73"/>
  <c r="AH152" i="73"/>
  <c r="AI152" i="73"/>
  <c r="AN152" i="73"/>
  <c r="AV152" i="73"/>
  <c r="P152" i="73" s="1"/>
  <c r="AM152" i="73"/>
  <c r="AW152" i="73"/>
  <c r="AJ195" i="73"/>
  <c r="AE195" i="73"/>
  <c r="AF195" i="73"/>
  <c r="AG195" i="73"/>
  <c r="AI195" i="73"/>
  <c r="AH195" i="73"/>
  <c r="AV195" i="73"/>
  <c r="AN195" i="73"/>
  <c r="AM195" i="73"/>
  <c r="AW195" i="73"/>
  <c r="AJ113" i="73"/>
  <c r="AE113" i="73"/>
  <c r="AF113" i="73"/>
  <c r="AG113" i="73"/>
  <c r="AI113" i="73"/>
  <c r="AH113" i="73"/>
  <c r="AV113" i="73"/>
  <c r="P113" i="73" s="1"/>
  <c r="AN113" i="73"/>
  <c r="AW113" i="73"/>
  <c r="AM113" i="73"/>
  <c r="AJ154" i="73"/>
  <c r="AG154" i="73"/>
  <c r="AE154" i="73"/>
  <c r="AF154" i="73"/>
  <c r="AH154" i="73"/>
  <c r="AI154" i="73"/>
  <c r="AN154" i="73"/>
  <c r="AV154" i="73"/>
  <c r="AM154" i="73"/>
  <c r="AW154" i="73"/>
  <c r="AJ203" i="73"/>
  <c r="AG203" i="73"/>
  <c r="AF203" i="73"/>
  <c r="AE203" i="73"/>
  <c r="AI203" i="73"/>
  <c r="AH203" i="73"/>
  <c r="AN203" i="73"/>
  <c r="AM203" i="73"/>
  <c r="AW203" i="73"/>
  <c r="AV203" i="73"/>
  <c r="AJ28" i="73"/>
  <c r="AE28" i="73"/>
  <c r="AJ95" i="73"/>
  <c r="AE95" i="73"/>
  <c r="AJ36" i="73"/>
  <c r="AE36" i="73"/>
  <c r="AJ101" i="73"/>
  <c r="AF101" i="73"/>
  <c r="AE101" i="73"/>
  <c r="AG101" i="73"/>
  <c r="AH101" i="73"/>
  <c r="AI101" i="73"/>
  <c r="AV101" i="73"/>
  <c r="AW101" i="73"/>
  <c r="AN101" i="73"/>
  <c r="AM101" i="73"/>
  <c r="AJ133" i="73"/>
  <c r="AE133" i="73"/>
  <c r="AG133" i="73"/>
  <c r="AF133" i="73"/>
  <c r="AI133" i="73"/>
  <c r="AH133" i="73"/>
  <c r="AN133" i="73"/>
  <c r="AM133" i="73"/>
  <c r="AV133" i="73"/>
  <c r="AW133" i="73"/>
  <c r="AJ156" i="73"/>
  <c r="AE156" i="73"/>
  <c r="AG156" i="73"/>
  <c r="AF156" i="73"/>
  <c r="AH156" i="73"/>
  <c r="AI156" i="73"/>
  <c r="AV156" i="73"/>
  <c r="P156" i="73" s="1"/>
  <c r="AN156" i="73"/>
  <c r="AW156" i="73"/>
  <c r="AM156" i="73"/>
  <c r="AJ204" i="73"/>
  <c r="AE204" i="73"/>
  <c r="AF204" i="73"/>
  <c r="AG204" i="73"/>
  <c r="AH204" i="73"/>
  <c r="AI204" i="73"/>
  <c r="AN204" i="73"/>
  <c r="AW204" i="73"/>
  <c r="AM204" i="73"/>
  <c r="AV204" i="73"/>
  <c r="P204" i="73" s="1"/>
  <c r="AJ141" i="73"/>
  <c r="AE141" i="73"/>
  <c r="AF141" i="73"/>
  <c r="AG141" i="73"/>
  <c r="AI141" i="73"/>
  <c r="AH141" i="73"/>
  <c r="AN141" i="73"/>
  <c r="AW141" i="73"/>
  <c r="AM141" i="73"/>
  <c r="AV141" i="73"/>
  <c r="AJ137" i="73"/>
  <c r="AG137" i="73"/>
  <c r="AF137" i="73"/>
  <c r="AE137" i="73"/>
  <c r="AH137" i="73"/>
  <c r="AI137" i="73"/>
  <c r="AM137" i="73"/>
  <c r="AN137" i="73"/>
  <c r="AV137" i="73"/>
  <c r="AW137" i="73"/>
  <c r="AJ139" i="73"/>
  <c r="AE139" i="73"/>
  <c r="AG139" i="73"/>
  <c r="AF139" i="73"/>
  <c r="AH139" i="73"/>
  <c r="AI139" i="73"/>
  <c r="AM139" i="73"/>
  <c r="AN139" i="73"/>
  <c r="AV139" i="73"/>
  <c r="AW139" i="73"/>
  <c r="AJ135" i="73"/>
  <c r="AE135" i="73"/>
  <c r="AI135" i="73"/>
  <c r="AG135" i="73"/>
  <c r="AF135" i="73"/>
  <c r="AH135" i="73"/>
  <c r="AV135" i="73"/>
  <c r="AN135" i="73"/>
  <c r="AM135" i="73"/>
  <c r="AW135" i="73"/>
  <c r="Q208" i="62"/>
  <c r="S208" i="62" s="1"/>
  <c r="AI208" i="62" s="1"/>
  <c r="AK208" i="62" s="1"/>
  <c r="AL208" i="62" s="1"/>
  <c r="AM208" i="62" s="1"/>
  <c r="M219" i="73" s="1"/>
  <c r="Q240" i="62"/>
  <c r="S240" i="62" s="1"/>
  <c r="AI240" i="62" s="1"/>
  <c r="AK240" i="62" s="1"/>
  <c r="AL240" i="62" s="1"/>
  <c r="AM240" i="62" s="1"/>
  <c r="M251" i="73" s="1"/>
  <c r="AF36" i="73"/>
  <c r="AG36" i="73"/>
  <c r="AH36" i="73"/>
  <c r="AI36" i="73"/>
  <c r="AV36" i="73"/>
  <c r="AW36" i="73"/>
  <c r="AM36" i="73"/>
  <c r="AN36" i="73"/>
  <c r="AF103" i="73"/>
  <c r="AI103" i="73"/>
  <c r="AH103" i="73"/>
  <c r="AG103" i="73"/>
  <c r="AW103" i="73"/>
  <c r="AN103" i="73"/>
  <c r="AM103" i="73"/>
  <c r="AV103" i="73"/>
  <c r="Q111" i="62"/>
  <c r="S111" i="62" s="1"/>
  <c r="AI111" i="62" s="1"/>
  <c r="AK111" i="62" s="1"/>
  <c r="AL111" i="62" s="1"/>
  <c r="AM111" i="62" s="1"/>
  <c r="M122" i="73" s="1"/>
  <c r="Q114" i="62"/>
  <c r="S114" i="62" s="1"/>
  <c r="AI114" i="62" s="1"/>
  <c r="AK114" i="62" s="1"/>
  <c r="AL114" i="62" s="1"/>
  <c r="AM114" i="62" s="1"/>
  <c r="M125" i="73" s="1"/>
  <c r="Q168" i="62"/>
  <c r="S168" i="62" s="1"/>
  <c r="AI168" i="62" s="1"/>
  <c r="AK168" i="62" s="1"/>
  <c r="AL168" i="62" s="1"/>
  <c r="AM168" i="62" s="1"/>
  <c r="M179" i="73" s="1"/>
  <c r="Q170" i="62"/>
  <c r="S170" i="62" s="1"/>
  <c r="AI170" i="62" s="1"/>
  <c r="AK170" i="62" s="1"/>
  <c r="AL170" i="62" s="1"/>
  <c r="AM170" i="62" s="1"/>
  <c r="M181" i="73" s="1"/>
  <c r="Q172" i="62"/>
  <c r="S172" i="62" s="1"/>
  <c r="AI172" i="62" s="1"/>
  <c r="AK172" i="62" s="1"/>
  <c r="AL172" i="62" s="1"/>
  <c r="AM172" i="62" s="1"/>
  <c r="M183" i="73" s="1"/>
  <c r="Q174" i="62"/>
  <c r="S174" i="62" s="1"/>
  <c r="AI174" i="62" s="1"/>
  <c r="AK174" i="62" s="1"/>
  <c r="AL174" i="62" s="1"/>
  <c r="AM174" i="62" s="1"/>
  <c r="M185" i="73" s="1"/>
  <c r="Q191" i="62"/>
  <c r="S191" i="62" s="1"/>
  <c r="AI191" i="62" s="1"/>
  <c r="AK191" i="62" s="1"/>
  <c r="AL191" i="62" s="1"/>
  <c r="AM191" i="62" s="1"/>
  <c r="M202" i="73" s="1"/>
  <c r="Q223" i="62"/>
  <c r="S223" i="62" s="1"/>
  <c r="AI223" i="62" s="1"/>
  <c r="AK223" i="62" s="1"/>
  <c r="AL223" i="62" s="1"/>
  <c r="AM223" i="62" s="1"/>
  <c r="M234" i="73" s="1"/>
  <c r="Q241" i="62"/>
  <c r="S241" i="62" s="1"/>
  <c r="AI241" i="62" s="1"/>
  <c r="AK241" i="62" s="1"/>
  <c r="AL241" i="62" s="1"/>
  <c r="AM241" i="62" s="1"/>
  <c r="M252" i="73" s="1"/>
  <c r="Q269" i="62"/>
  <c r="S269" i="62" s="1"/>
  <c r="AI269" i="62" s="1"/>
  <c r="AK269" i="62" s="1"/>
  <c r="AL269" i="62" s="1"/>
  <c r="AM269" i="62" s="1"/>
  <c r="M280" i="73" s="1"/>
  <c r="Q278" i="62"/>
  <c r="S278" i="62" s="1"/>
  <c r="AI278" i="62" s="1"/>
  <c r="AK278" i="62" s="1"/>
  <c r="AL278" i="62" s="1"/>
  <c r="AM278" i="62" s="1"/>
  <c r="M289" i="73" s="1"/>
  <c r="Q287" i="62"/>
  <c r="S287" i="62" s="1"/>
  <c r="AI287" i="62" s="1"/>
  <c r="AK287" i="62" s="1"/>
  <c r="AL287" i="62" s="1"/>
  <c r="AM287" i="62" s="1"/>
  <c r="M298" i="73" s="1"/>
  <c r="Q296" i="62"/>
  <c r="S296" i="62" s="1"/>
  <c r="AI296" i="62" s="1"/>
  <c r="AK296" i="62" s="1"/>
  <c r="AL296" i="62" s="1"/>
  <c r="AM296" i="62" s="1"/>
  <c r="M307" i="73" s="1"/>
  <c r="Q303" i="62"/>
  <c r="S303" i="62" s="1"/>
  <c r="AI303" i="62" s="1"/>
  <c r="AK303" i="62" s="1"/>
  <c r="AL303" i="62" s="1"/>
  <c r="AM303" i="62" s="1"/>
  <c r="M314" i="73" s="1"/>
  <c r="Q310" i="62"/>
  <c r="S310" i="62" s="1"/>
  <c r="AI310" i="62" s="1"/>
  <c r="AK310" i="62" s="1"/>
  <c r="AL310" i="62" s="1"/>
  <c r="AM310" i="62" s="1"/>
  <c r="M321" i="73" s="1"/>
  <c r="Q113" i="62"/>
  <c r="S113" i="62" s="1"/>
  <c r="AI113" i="62" s="1"/>
  <c r="AK113" i="62" s="1"/>
  <c r="AL113" i="62" s="1"/>
  <c r="AM113" i="62" s="1"/>
  <c r="M124" i="73" s="1"/>
  <c r="Q199" i="62"/>
  <c r="S199" i="62" s="1"/>
  <c r="AI199" i="62" s="1"/>
  <c r="AK199" i="62" s="1"/>
  <c r="AL199" i="62" s="1"/>
  <c r="AM199" i="62" s="1"/>
  <c r="M210" i="73" s="1"/>
  <c r="Q217" i="62"/>
  <c r="S217" i="62" s="1"/>
  <c r="AI217" i="62" s="1"/>
  <c r="AK217" i="62" s="1"/>
  <c r="AL217" i="62" s="1"/>
  <c r="AM217" i="62" s="1"/>
  <c r="M228" i="73" s="1"/>
  <c r="AF27" i="73"/>
  <c r="AI27" i="73"/>
  <c r="AH27" i="73"/>
  <c r="AG27" i="73"/>
  <c r="AN27" i="73"/>
  <c r="AW27" i="73"/>
  <c r="AM27" i="73"/>
  <c r="AV27" i="73"/>
  <c r="Q18" i="62"/>
  <c r="S18" i="62" s="1"/>
  <c r="AI18" i="62" s="1"/>
  <c r="AK18" i="62" s="1"/>
  <c r="AL18" i="62" s="1"/>
  <c r="AM18" i="62" s="1"/>
  <c r="M29" i="73" s="1"/>
  <c r="AG38" i="73"/>
  <c r="AF38" i="73"/>
  <c r="AH38" i="73"/>
  <c r="AI38" i="73"/>
  <c r="AW38" i="73"/>
  <c r="AN38" i="73"/>
  <c r="AV38" i="73"/>
  <c r="AM38" i="73"/>
  <c r="Q72" i="62"/>
  <c r="S72" i="62" s="1"/>
  <c r="AI72" i="62" s="1"/>
  <c r="AK72" i="62" s="1"/>
  <c r="AL72" i="62" s="1"/>
  <c r="AM72" i="62" s="1"/>
  <c r="M83" i="73" s="1"/>
  <c r="Q112" i="62"/>
  <c r="S112" i="62" s="1"/>
  <c r="AI112" i="62" s="1"/>
  <c r="AK112" i="62" s="1"/>
  <c r="AL112" i="62" s="1"/>
  <c r="AM112" i="62" s="1"/>
  <c r="M123" i="73" s="1"/>
  <c r="Q183" i="62"/>
  <c r="S183" i="62" s="1"/>
  <c r="AI183" i="62" s="1"/>
  <c r="AK183" i="62" s="1"/>
  <c r="AL183" i="62" s="1"/>
  <c r="AM183" i="62" s="1"/>
  <c r="M194" i="73" s="1"/>
  <c r="Q215" i="62"/>
  <c r="S215" i="62" s="1"/>
  <c r="AI215" i="62" s="1"/>
  <c r="AK215" i="62" s="1"/>
  <c r="AL215" i="62" s="1"/>
  <c r="AM215" i="62" s="1"/>
  <c r="M226" i="73" s="1"/>
  <c r="Q233" i="62"/>
  <c r="S233" i="62" s="1"/>
  <c r="AI233" i="62" s="1"/>
  <c r="AK233" i="62" s="1"/>
  <c r="AL233" i="62" s="1"/>
  <c r="AM233" i="62" s="1"/>
  <c r="M244" i="73" s="1"/>
  <c r="AF28" i="73"/>
  <c r="AI28" i="73"/>
  <c r="AG28" i="73"/>
  <c r="AH28" i="73"/>
  <c r="AM28" i="73"/>
  <c r="AN28" i="73"/>
  <c r="AW28" i="73"/>
  <c r="AV28" i="73"/>
  <c r="Q28" i="62"/>
  <c r="S28" i="62" s="1"/>
  <c r="AI28" i="62" s="1"/>
  <c r="AK28" i="62" s="1"/>
  <c r="AL28" i="62" s="1"/>
  <c r="AM28" i="62" s="1"/>
  <c r="M39" i="73" s="1"/>
  <c r="AG46" i="73"/>
  <c r="AF46" i="73"/>
  <c r="AI46" i="73"/>
  <c r="AH46" i="73"/>
  <c r="AN46" i="73"/>
  <c r="AM46" i="73"/>
  <c r="AW46" i="73"/>
  <c r="AV46" i="73"/>
  <c r="AF71" i="73"/>
  <c r="AI71" i="73"/>
  <c r="AG71" i="73"/>
  <c r="AH71" i="73"/>
  <c r="AW71" i="73"/>
  <c r="AM71" i="73"/>
  <c r="AV71" i="73"/>
  <c r="AN71" i="73"/>
  <c r="AG73" i="73"/>
  <c r="AH73" i="73"/>
  <c r="AF73" i="73"/>
  <c r="AI73" i="73"/>
  <c r="AN73" i="73"/>
  <c r="AV73" i="73"/>
  <c r="AW73" i="73"/>
  <c r="AM73" i="73"/>
  <c r="AG95" i="73"/>
  <c r="AF95" i="73"/>
  <c r="AI95" i="73"/>
  <c r="AH95" i="73"/>
  <c r="AW95" i="73"/>
  <c r="AM95" i="73"/>
  <c r="AV95" i="73"/>
  <c r="AN95" i="73"/>
  <c r="AF102" i="73"/>
  <c r="AI102" i="73"/>
  <c r="AG102" i="73"/>
  <c r="AH102" i="73"/>
  <c r="AV102" i="73"/>
  <c r="AM102" i="73"/>
  <c r="AN102" i="73"/>
  <c r="AW102" i="73"/>
  <c r="AG104" i="73"/>
  <c r="AF104" i="73"/>
  <c r="AH104" i="73"/>
  <c r="AI104" i="73"/>
  <c r="AV104" i="73"/>
  <c r="AN104" i="73"/>
  <c r="AM104" i="73"/>
  <c r="AW104" i="73"/>
  <c r="Q171" i="62"/>
  <c r="S171" i="62" s="1"/>
  <c r="AI171" i="62" s="1"/>
  <c r="AK171" i="62" s="1"/>
  <c r="AL171" i="62" s="1"/>
  <c r="AM171" i="62" s="1"/>
  <c r="M182" i="73" s="1"/>
  <c r="Q173" i="62"/>
  <c r="S173" i="62" s="1"/>
  <c r="AI173" i="62" s="1"/>
  <c r="AK173" i="62" s="1"/>
  <c r="AL173" i="62" s="1"/>
  <c r="AM173" i="62" s="1"/>
  <c r="M184" i="73" s="1"/>
  <c r="Q207" i="62"/>
  <c r="S207" i="62" s="1"/>
  <c r="AI207" i="62" s="1"/>
  <c r="AK207" i="62" s="1"/>
  <c r="AL207" i="62" s="1"/>
  <c r="AM207" i="62" s="1"/>
  <c r="M218" i="73" s="1"/>
  <c r="Q248" i="62"/>
  <c r="S248" i="62" s="1"/>
  <c r="AI248" i="62" s="1"/>
  <c r="AK248" i="62" s="1"/>
  <c r="AL248" i="62" s="1"/>
  <c r="AM248" i="62" s="1"/>
  <c r="M259" i="73" s="1"/>
  <c r="Q266" i="62"/>
  <c r="S266" i="62" s="1"/>
  <c r="AI266" i="62" s="1"/>
  <c r="AK266" i="62" s="1"/>
  <c r="AL266" i="62" s="1"/>
  <c r="AM266" i="62" s="1"/>
  <c r="M277" i="73" s="1"/>
  <c r="Q275" i="62"/>
  <c r="S275" i="62" s="1"/>
  <c r="AI275" i="62" s="1"/>
  <c r="AK275" i="62" s="1"/>
  <c r="AL275" i="62" s="1"/>
  <c r="AM275" i="62" s="1"/>
  <c r="M286" i="73" s="1"/>
  <c r="Q277" i="62"/>
  <c r="S277" i="62" s="1"/>
  <c r="AI277" i="62" s="1"/>
  <c r="AK277" i="62" s="1"/>
  <c r="AL277" i="62" s="1"/>
  <c r="AM277" i="62" s="1"/>
  <c r="M288" i="73" s="1"/>
  <c r="Q284" i="62"/>
  <c r="S284" i="62" s="1"/>
  <c r="AI284" i="62" s="1"/>
  <c r="AK284" i="62" s="1"/>
  <c r="AL284" i="62" s="1"/>
  <c r="AM284" i="62" s="1"/>
  <c r="M295" i="73" s="1"/>
  <c r="Q286" i="62"/>
  <c r="S286" i="62" s="1"/>
  <c r="AI286" i="62" s="1"/>
  <c r="AK286" i="62" s="1"/>
  <c r="AL286" i="62" s="1"/>
  <c r="AM286" i="62" s="1"/>
  <c r="M297" i="73" s="1"/>
  <c r="Q293" i="62"/>
  <c r="S293" i="62" s="1"/>
  <c r="AI293" i="62" s="1"/>
  <c r="AK293" i="62" s="1"/>
  <c r="AL293" i="62" s="1"/>
  <c r="AM293" i="62" s="1"/>
  <c r="M304" i="73" s="1"/>
  <c r="Q295" i="62"/>
  <c r="S295" i="62" s="1"/>
  <c r="AI295" i="62" s="1"/>
  <c r="AK295" i="62" s="1"/>
  <c r="AL295" i="62" s="1"/>
  <c r="AM295" i="62" s="1"/>
  <c r="M306" i="73" s="1"/>
  <c r="Q302" i="62"/>
  <c r="S302" i="62" s="1"/>
  <c r="AI302" i="62" s="1"/>
  <c r="AK302" i="62" s="1"/>
  <c r="AL302" i="62" s="1"/>
  <c r="AM302" i="62" s="1"/>
  <c r="M313" i="73" s="1"/>
  <c r="H110" i="73"/>
  <c r="H113" i="73"/>
  <c r="H45" i="73"/>
  <c r="H102" i="73"/>
  <c r="H111" i="73"/>
  <c r="H27" i="73"/>
  <c r="H112" i="73"/>
  <c r="H141" i="73"/>
  <c r="H103" i="73"/>
  <c r="H170" i="73"/>
  <c r="H150" i="73"/>
  <c r="H28" i="73"/>
  <c r="H101" i="73"/>
  <c r="H156" i="73"/>
  <c r="H137" i="73"/>
  <c r="H133" i="73"/>
  <c r="H104" i="73"/>
  <c r="H37" i="73"/>
  <c r="H154" i="73"/>
  <c r="H203" i="73"/>
  <c r="H162" i="73"/>
  <c r="H38" i="73"/>
  <c r="H71" i="73"/>
  <c r="H158" i="73"/>
  <c r="H73" i="73"/>
  <c r="H152" i="73"/>
  <c r="H95" i="73"/>
  <c r="H204" i="73"/>
  <c r="H171" i="73"/>
  <c r="H195" i="73"/>
  <c r="H139" i="73"/>
  <c r="H135" i="73"/>
  <c r="H169" i="73"/>
  <c r="H46" i="73"/>
  <c r="H36" i="73"/>
  <c r="S133" i="73" l="1"/>
  <c r="S101" i="73"/>
  <c r="P203" i="73"/>
  <c r="S171" i="73"/>
  <c r="S170" i="73"/>
  <c r="S110" i="73"/>
  <c r="S45" i="73"/>
  <c r="AJ210" i="73"/>
  <c r="AE210" i="73"/>
  <c r="AF210" i="73"/>
  <c r="AG210" i="73"/>
  <c r="AH210" i="73"/>
  <c r="AI210" i="73"/>
  <c r="AV210" i="73"/>
  <c r="P210" i="73" s="1"/>
  <c r="AM210" i="73"/>
  <c r="AW210" i="73"/>
  <c r="AN210" i="73"/>
  <c r="AJ234" i="73"/>
  <c r="AE234" i="73"/>
  <c r="AF234" i="73"/>
  <c r="AG234" i="73"/>
  <c r="AH234" i="73"/>
  <c r="AI234" i="73"/>
  <c r="AN234" i="73"/>
  <c r="AM234" i="73"/>
  <c r="AV234" i="73"/>
  <c r="AW234" i="73"/>
  <c r="AD36" i="73"/>
  <c r="I36" i="73"/>
  <c r="Y195" i="73"/>
  <c r="Z195" i="73"/>
  <c r="Z46" i="73"/>
  <c r="Y46" i="73"/>
  <c r="AS158" i="73"/>
  <c r="P110" i="73"/>
  <c r="AS162" i="73"/>
  <c r="AJ286" i="73"/>
  <c r="AE286" i="73"/>
  <c r="AI286" i="73"/>
  <c r="AG286" i="73"/>
  <c r="AH286" i="73"/>
  <c r="AF286" i="73"/>
  <c r="AM286" i="73"/>
  <c r="S286" i="73" s="1"/>
  <c r="AN286" i="73"/>
  <c r="AV286" i="73"/>
  <c r="AW286" i="73"/>
  <c r="AJ226" i="73"/>
  <c r="AF226" i="73"/>
  <c r="AE226" i="73"/>
  <c r="AG226" i="73"/>
  <c r="AH226" i="73"/>
  <c r="AI226" i="73"/>
  <c r="AV226" i="73"/>
  <c r="P226" i="73" s="1"/>
  <c r="AN226" i="73"/>
  <c r="AW226" i="73"/>
  <c r="AM226" i="73"/>
  <c r="AJ321" i="73"/>
  <c r="AG321" i="73"/>
  <c r="AF321" i="73"/>
  <c r="AE321" i="73"/>
  <c r="AH321" i="73"/>
  <c r="AI321" i="73"/>
  <c r="AM321" i="73"/>
  <c r="AV321" i="73"/>
  <c r="AN321" i="73"/>
  <c r="AW321" i="73"/>
  <c r="AJ202" i="73"/>
  <c r="AF202" i="73"/>
  <c r="AG202" i="73"/>
  <c r="AE202" i="73"/>
  <c r="AI202" i="73"/>
  <c r="AH202" i="73"/>
  <c r="AM202" i="73"/>
  <c r="AW202" i="73"/>
  <c r="AV202" i="73"/>
  <c r="AN202" i="73"/>
  <c r="AJ219" i="73"/>
  <c r="AE219" i="73"/>
  <c r="AF219" i="73"/>
  <c r="AH219" i="73"/>
  <c r="AG219" i="73"/>
  <c r="AI219" i="73"/>
  <c r="AN219" i="73"/>
  <c r="AV219" i="73"/>
  <c r="AM219" i="73"/>
  <c r="AW219" i="73"/>
  <c r="BC156" i="73"/>
  <c r="P133" i="73"/>
  <c r="Z133" i="73"/>
  <c r="Y133" i="73"/>
  <c r="Z95" i="73"/>
  <c r="Y95" i="73"/>
  <c r="AS95" i="73" s="1"/>
  <c r="S203" i="73"/>
  <c r="AD203" i="73"/>
  <c r="I203" i="73"/>
  <c r="Y154" i="73"/>
  <c r="Z154" i="73"/>
  <c r="BC154" i="73" s="1"/>
  <c r="S195" i="73"/>
  <c r="P112" i="73"/>
  <c r="Z73" i="73"/>
  <c r="Y73" i="73"/>
  <c r="BB73" i="73" s="1"/>
  <c r="AD46" i="73"/>
  <c r="I46" i="73"/>
  <c r="BC37" i="73"/>
  <c r="Z171" i="73"/>
  <c r="Y171" i="73"/>
  <c r="AS171" i="73" s="1"/>
  <c r="U171" i="73" s="1"/>
  <c r="S111" i="73"/>
  <c r="Z71" i="73"/>
  <c r="Y71" i="73"/>
  <c r="AS71" i="73" s="1"/>
  <c r="I110" i="73"/>
  <c r="AD110" i="73"/>
  <c r="S169" i="73"/>
  <c r="Z169" i="73"/>
  <c r="AT169" i="73" s="1"/>
  <c r="Y169" i="73"/>
  <c r="BB169" i="73" s="1"/>
  <c r="R169" i="73" s="1"/>
  <c r="Z162" i="73"/>
  <c r="AT162" i="73" s="1"/>
  <c r="Y162" i="73"/>
  <c r="AJ39" i="73"/>
  <c r="AE39" i="73"/>
  <c r="AJ124" i="73"/>
  <c r="AF124" i="73"/>
  <c r="AE124" i="73"/>
  <c r="AG124" i="73"/>
  <c r="AH124" i="73"/>
  <c r="AI124" i="73"/>
  <c r="AN124" i="73"/>
  <c r="AW124" i="73"/>
  <c r="AV124" i="73"/>
  <c r="AM124" i="73"/>
  <c r="AD112" i="73"/>
  <c r="I112" i="73"/>
  <c r="AJ277" i="73"/>
  <c r="AE277" i="73"/>
  <c r="AF277" i="73"/>
  <c r="AG277" i="73"/>
  <c r="AI277" i="73"/>
  <c r="AH277" i="73"/>
  <c r="AM277" i="73"/>
  <c r="AV277" i="73"/>
  <c r="P277" i="73" s="1"/>
  <c r="AW277" i="73"/>
  <c r="AN277" i="73"/>
  <c r="AJ194" i="73"/>
  <c r="AG194" i="73"/>
  <c r="AE194" i="73"/>
  <c r="AF194" i="73"/>
  <c r="AI194" i="73"/>
  <c r="AH194" i="73"/>
  <c r="AN194" i="73"/>
  <c r="AW194" i="73"/>
  <c r="AV194" i="73"/>
  <c r="AM194" i="73"/>
  <c r="AJ314" i="73"/>
  <c r="AE314" i="73"/>
  <c r="AF314" i="73"/>
  <c r="AG314" i="73"/>
  <c r="AI314" i="73"/>
  <c r="AH314" i="73"/>
  <c r="AW314" i="73"/>
  <c r="AV314" i="73"/>
  <c r="P314" i="73" s="1"/>
  <c r="AM314" i="73"/>
  <c r="AN314" i="73"/>
  <c r="AJ185" i="73"/>
  <c r="AE185" i="73"/>
  <c r="AF185" i="73"/>
  <c r="AG185" i="73"/>
  <c r="AH185" i="73"/>
  <c r="AI185" i="73"/>
  <c r="AM185" i="73"/>
  <c r="AW185" i="73"/>
  <c r="AN185" i="73"/>
  <c r="AV185" i="73"/>
  <c r="P185" i="73" s="1"/>
  <c r="I133" i="73"/>
  <c r="AD133" i="73"/>
  <c r="Z101" i="73"/>
  <c r="AT101" i="73" s="1"/>
  <c r="U101" i="73" s="1"/>
  <c r="Y101" i="73"/>
  <c r="AD195" i="73"/>
  <c r="I195" i="73"/>
  <c r="P171" i="73"/>
  <c r="AD171" i="73"/>
  <c r="I171" i="73"/>
  <c r="AS170" i="73"/>
  <c r="U170" i="73" s="1"/>
  <c r="I169" i="73"/>
  <c r="AD169" i="73"/>
  <c r="AD37" i="73"/>
  <c r="I37" i="73"/>
  <c r="I102" i="73"/>
  <c r="AD102" i="73"/>
  <c r="AJ244" i="73"/>
  <c r="AE244" i="73"/>
  <c r="AH244" i="73"/>
  <c r="AF244" i="73"/>
  <c r="AI244" i="73"/>
  <c r="AG244" i="73"/>
  <c r="AM244" i="73"/>
  <c r="AW244" i="73"/>
  <c r="AV244" i="73"/>
  <c r="AN244" i="73"/>
  <c r="AJ313" i="73"/>
  <c r="AF313" i="73"/>
  <c r="AG313" i="73"/>
  <c r="AE313" i="73"/>
  <c r="AH313" i="73"/>
  <c r="AI313" i="73"/>
  <c r="AV313" i="73"/>
  <c r="P313" i="73" s="1"/>
  <c r="AN313" i="73"/>
  <c r="AW313" i="73"/>
  <c r="AM313" i="73"/>
  <c r="S313" i="73" s="1"/>
  <c r="AJ123" i="73"/>
  <c r="AF123" i="73"/>
  <c r="AG123" i="73"/>
  <c r="AE123" i="73"/>
  <c r="AH123" i="73"/>
  <c r="AI123" i="73"/>
  <c r="AM123" i="73"/>
  <c r="AV123" i="73"/>
  <c r="P123" i="73" s="1"/>
  <c r="AW123" i="73"/>
  <c r="AN123" i="73"/>
  <c r="AJ183" i="73"/>
  <c r="AE183" i="73"/>
  <c r="AF183" i="73"/>
  <c r="AG183" i="73"/>
  <c r="AI183" i="73"/>
  <c r="AH183" i="73"/>
  <c r="AV183" i="73"/>
  <c r="AN183" i="73"/>
  <c r="AW183" i="73"/>
  <c r="AM183" i="73"/>
  <c r="S204" i="73"/>
  <c r="Y204" i="73"/>
  <c r="AS204" i="73" s="1"/>
  <c r="Z204" i="73"/>
  <c r="AT204" i="73" s="1"/>
  <c r="AS101" i="73"/>
  <c r="AD95" i="73"/>
  <c r="I95" i="73"/>
  <c r="S154" i="73"/>
  <c r="P195" i="73"/>
  <c r="I73" i="73"/>
  <c r="AD73" i="73"/>
  <c r="P158" i="73"/>
  <c r="Y158" i="73"/>
  <c r="Z158" i="73"/>
  <c r="BC158" i="73" s="1"/>
  <c r="Y150" i="73"/>
  <c r="AS150" i="73" s="1"/>
  <c r="U150" i="73" s="1"/>
  <c r="Z150" i="73"/>
  <c r="AT150" i="73" s="1"/>
  <c r="I71" i="73"/>
  <c r="AD71" i="73"/>
  <c r="Y38" i="73"/>
  <c r="AS38" i="73" s="1"/>
  <c r="Z38" i="73"/>
  <c r="S162" i="73"/>
  <c r="I162" i="73"/>
  <c r="AD162" i="73"/>
  <c r="AJ295" i="73"/>
  <c r="AE295" i="73"/>
  <c r="AF295" i="73"/>
  <c r="AG295" i="73"/>
  <c r="AH295" i="73"/>
  <c r="AI295" i="73"/>
  <c r="AW295" i="73"/>
  <c r="AN295" i="73"/>
  <c r="AM295" i="73"/>
  <c r="S295" i="73" s="1"/>
  <c r="AV295" i="73"/>
  <c r="AJ252" i="73"/>
  <c r="AG252" i="73"/>
  <c r="AE252" i="73"/>
  <c r="AF252" i="73"/>
  <c r="AI252" i="73"/>
  <c r="AH252" i="73"/>
  <c r="AW252" i="73"/>
  <c r="AM252" i="73"/>
  <c r="AV252" i="73"/>
  <c r="AN252" i="73"/>
  <c r="AD156" i="73"/>
  <c r="I156" i="73"/>
  <c r="I113" i="73"/>
  <c r="AD113" i="73"/>
  <c r="AJ288" i="73"/>
  <c r="AE288" i="73"/>
  <c r="AF288" i="73"/>
  <c r="AG288" i="73"/>
  <c r="AH288" i="73"/>
  <c r="AI288" i="73"/>
  <c r="AM288" i="73"/>
  <c r="AV288" i="73"/>
  <c r="AW288" i="73"/>
  <c r="AN288" i="73"/>
  <c r="AS154" i="73"/>
  <c r="S112" i="73"/>
  <c r="AD111" i="73"/>
  <c r="I111" i="73"/>
  <c r="BC170" i="73"/>
  <c r="I45" i="73"/>
  <c r="AD45" i="73"/>
  <c r="AJ259" i="73"/>
  <c r="AE259" i="73"/>
  <c r="AG259" i="73"/>
  <c r="AF259" i="73"/>
  <c r="AH259" i="73"/>
  <c r="AI259" i="73"/>
  <c r="AW259" i="73"/>
  <c r="AM259" i="73"/>
  <c r="AN259" i="73"/>
  <c r="AV259" i="73"/>
  <c r="AJ307" i="73"/>
  <c r="AE307" i="73"/>
  <c r="AF307" i="73"/>
  <c r="AG307" i="73"/>
  <c r="AI307" i="73"/>
  <c r="AH307" i="73"/>
  <c r="AM307" i="73"/>
  <c r="AV307" i="73"/>
  <c r="AN307" i="73"/>
  <c r="AW307" i="73"/>
  <c r="AJ306" i="73"/>
  <c r="AE306" i="73"/>
  <c r="AF306" i="73"/>
  <c r="AG306" i="73"/>
  <c r="AH306" i="73"/>
  <c r="AI306" i="73"/>
  <c r="AW306" i="73"/>
  <c r="AN306" i="73"/>
  <c r="AV306" i="73"/>
  <c r="P306" i="73" s="1"/>
  <c r="AM306" i="73"/>
  <c r="AJ218" i="73"/>
  <c r="AE218" i="73"/>
  <c r="AF218" i="73"/>
  <c r="AG218" i="73"/>
  <c r="AH218" i="73"/>
  <c r="AI218" i="73"/>
  <c r="AN218" i="73"/>
  <c r="AV218" i="73"/>
  <c r="AW218" i="73"/>
  <c r="AM218" i="73"/>
  <c r="AJ83" i="73"/>
  <c r="AE83" i="73"/>
  <c r="AJ298" i="73"/>
  <c r="AE298" i="73"/>
  <c r="AF298" i="73"/>
  <c r="AG298" i="73"/>
  <c r="AI298" i="73"/>
  <c r="AH298" i="73"/>
  <c r="AN298" i="73"/>
  <c r="AV298" i="73"/>
  <c r="P298" i="73" s="1"/>
  <c r="AM298" i="73"/>
  <c r="AW298" i="73"/>
  <c r="AJ181" i="73"/>
  <c r="AE181" i="73"/>
  <c r="AF181" i="73"/>
  <c r="AG181" i="73"/>
  <c r="AH181" i="73"/>
  <c r="AI181" i="73"/>
  <c r="AV181" i="73"/>
  <c r="P181" i="73" s="1"/>
  <c r="AW181" i="73"/>
  <c r="AM181" i="73"/>
  <c r="AN181" i="73"/>
  <c r="AD204" i="73"/>
  <c r="I204" i="73"/>
  <c r="BB133" i="73"/>
  <c r="R133" i="73" s="1"/>
  <c r="BC203" i="73"/>
  <c r="P154" i="73"/>
  <c r="AD154" i="73"/>
  <c r="I154" i="73"/>
  <c r="BB195" i="73"/>
  <c r="R195" i="73" s="1"/>
  <c r="S152" i="73"/>
  <c r="Y152" i="73"/>
  <c r="BB152" i="73" s="1"/>
  <c r="Z152" i="73"/>
  <c r="BC152" i="73" s="1"/>
  <c r="Z112" i="73"/>
  <c r="BC112" i="73" s="1"/>
  <c r="Y112" i="73"/>
  <c r="BB112" i="73" s="1"/>
  <c r="Z27" i="73"/>
  <c r="BC27" i="73" s="1"/>
  <c r="Y27" i="73"/>
  <c r="I158" i="73"/>
  <c r="AD158" i="73"/>
  <c r="AT37" i="73"/>
  <c r="Y111" i="73"/>
  <c r="BB111" i="73" s="1"/>
  <c r="Z111" i="73"/>
  <c r="BC111" i="73" s="1"/>
  <c r="P170" i="73"/>
  <c r="BC110" i="73"/>
  <c r="AD38" i="73"/>
  <c r="I38" i="73"/>
  <c r="Y104" i="73"/>
  <c r="Z104" i="73"/>
  <c r="Z45" i="73"/>
  <c r="BC45" i="73" s="1"/>
  <c r="Y45" i="73"/>
  <c r="BB45" i="73" s="1"/>
  <c r="P162" i="73"/>
  <c r="AT133" i="73"/>
  <c r="AS195" i="73"/>
  <c r="U195" i="73" s="1"/>
  <c r="AJ304" i="73"/>
  <c r="AF304" i="73"/>
  <c r="AE304" i="73"/>
  <c r="AG304" i="73"/>
  <c r="AI304" i="73"/>
  <c r="AH304" i="73"/>
  <c r="AW304" i="73"/>
  <c r="AV304" i="73"/>
  <c r="P304" i="73" s="1"/>
  <c r="AM304" i="73"/>
  <c r="AN304" i="73"/>
  <c r="AJ29" i="73"/>
  <c r="AE29" i="73"/>
  <c r="AI29" i="73"/>
  <c r="AF29" i="73"/>
  <c r="AH29" i="73"/>
  <c r="AG29" i="73"/>
  <c r="AN29" i="73"/>
  <c r="AW29" i="73"/>
  <c r="AV29" i="73"/>
  <c r="AM29" i="73"/>
  <c r="S29" i="73" s="1"/>
  <c r="AJ289" i="73"/>
  <c r="AE289" i="73"/>
  <c r="AF289" i="73"/>
  <c r="AG289" i="73"/>
  <c r="AH289" i="73"/>
  <c r="AI289" i="73"/>
  <c r="AN289" i="73"/>
  <c r="AW289" i="73"/>
  <c r="AM289" i="73"/>
  <c r="AV289" i="73"/>
  <c r="AJ179" i="73"/>
  <c r="AF179" i="73"/>
  <c r="AG179" i="73"/>
  <c r="AE179" i="73"/>
  <c r="AI179" i="73"/>
  <c r="AH179" i="73"/>
  <c r="AN179" i="73"/>
  <c r="AW179" i="73"/>
  <c r="AM179" i="73"/>
  <c r="AV179" i="73"/>
  <c r="P179" i="73" s="1"/>
  <c r="S156" i="73"/>
  <c r="BC133" i="73"/>
  <c r="I101" i="73"/>
  <c r="AD101" i="73"/>
  <c r="Y28" i="73"/>
  <c r="Z28" i="73"/>
  <c r="Y203" i="73"/>
  <c r="BB203" i="73" s="1"/>
  <c r="R203" i="73" s="1"/>
  <c r="Z203" i="73"/>
  <c r="AT203" i="73" s="1"/>
  <c r="S113" i="73"/>
  <c r="Y113" i="73"/>
  <c r="BB113" i="73" s="1"/>
  <c r="Z113" i="73"/>
  <c r="BC113" i="73" s="1"/>
  <c r="BC195" i="73"/>
  <c r="AD152" i="73"/>
  <c r="I152" i="73"/>
  <c r="AS37" i="73"/>
  <c r="U37" i="73" s="1"/>
  <c r="BC171" i="73"/>
  <c r="AD150" i="73"/>
  <c r="I150" i="73"/>
  <c r="Y170" i="73"/>
  <c r="BB170" i="73" s="1"/>
  <c r="Z170" i="73"/>
  <c r="AT170" i="73" s="1"/>
  <c r="Z110" i="73"/>
  <c r="AT110" i="73" s="1"/>
  <c r="Y110" i="73"/>
  <c r="BB110" i="73" s="1"/>
  <c r="R110" i="73" s="1"/>
  <c r="BC169" i="73"/>
  <c r="AD104" i="73"/>
  <c r="I104" i="73"/>
  <c r="BB162" i="73"/>
  <c r="R162" i="73" s="1"/>
  <c r="Z103" i="73"/>
  <c r="Y103" i="73"/>
  <c r="AJ122" i="73"/>
  <c r="AF122" i="73"/>
  <c r="AG122" i="73"/>
  <c r="AE122" i="73"/>
  <c r="AI122" i="73"/>
  <c r="AH122" i="73"/>
  <c r="AN122" i="73"/>
  <c r="AW122" i="73"/>
  <c r="AV122" i="73"/>
  <c r="AM122" i="73"/>
  <c r="BC101" i="73"/>
  <c r="BB154" i="73"/>
  <c r="R154" i="73" s="1"/>
  <c r="AT171" i="73"/>
  <c r="BC150" i="73"/>
  <c r="AJ251" i="73"/>
  <c r="AE251" i="73"/>
  <c r="AF251" i="73"/>
  <c r="AG251" i="73"/>
  <c r="AI251" i="73"/>
  <c r="AH251" i="73"/>
  <c r="AM251" i="73"/>
  <c r="AW251" i="73"/>
  <c r="AV251" i="73"/>
  <c r="AN251" i="73"/>
  <c r="BB101" i="73"/>
  <c r="AJ184" i="73"/>
  <c r="AE184" i="73"/>
  <c r="AF184" i="73"/>
  <c r="AG184" i="73"/>
  <c r="AI184" i="73"/>
  <c r="AH184" i="73"/>
  <c r="AN184" i="73"/>
  <c r="AM184" i="73"/>
  <c r="AV184" i="73"/>
  <c r="AW184" i="73"/>
  <c r="AJ297" i="73"/>
  <c r="AE297" i="73"/>
  <c r="AG297" i="73"/>
  <c r="AF297" i="73"/>
  <c r="AH297" i="73"/>
  <c r="AI297" i="73"/>
  <c r="AN297" i="73"/>
  <c r="AW297" i="73"/>
  <c r="AM297" i="73"/>
  <c r="AV297" i="73"/>
  <c r="AJ182" i="73"/>
  <c r="AE182" i="73"/>
  <c r="AG182" i="73"/>
  <c r="AF182" i="73"/>
  <c r="AH182" i="73"/>
  <c r="AI182" i="73"/>
  <c r="AW182" i="73"/>
  <c r="AM182" i="73"/>
  <c r="AN182" i="73"/>
  <c r="AV182" i="73"/>
  <c r="P182" i="73" s="1"/>
  <c r="AJ228" i="73"/>
  <c r="AF228" i="73"/>
  <c r="AE228" i="73"/>
  <c r="AG228" i="73"/>
  <c r="AH228" i="73"/>
  <c r="AI228" i="73"/>
  <c r="AV228" i="73"/>
  <c r="AM228" i="73"/>
  <c r="S228" i="73" s="1"/>
  <c r="AN228" i="73"/>
  <c r="AW228" i="73"/>
  <c r="AJ280" i="73"/>
  <c r="AE280" i="73"/>
  <c r="AG280" i="73"/>
  <c r="AF280" i="73"/>
  <c r="AH280" i="73"/>
  <c r="AI280" i="73"/>
  <c r="AM280" i="73"/>
  <c r="AW280" i="73"/>
  <c r="AV280" i="73"/>
  <c r="AN280" i="73"/>
  <c r="AJ125" i="73"/>
  <c r="AF125" i="73"/>
  <c r="AE125" i="73"/>
  <c r="AG125" i="73"/>
  <c r="AI125" i="73"/>
  <c r="AH125" i="73"/>
  <c r="AN125" i="73"/>
  <c r="AV125" i="73"/>
  <c r="P125" i="73" s="1"/>
  <c r="AM125" i="73"/>
  <c r="AW125" i="73"/>
  <c r="BC204" i="73"/>
  <c r="Z156" i="73"/>
  <c r="AT156" i="73" s="1"/>
  <c r="Y156" i="73"/>
  <c r="AS156" i="73" s="1"/>
  <c r="AS133" i="73"/>
  <c r="U133" i="73" s="1"/>
  <c r="P101" i="73"/>
  <c r="R101" i="73" s="1"/>
  <c r="Z36" i="73"/>
  <c r="Y36" i="73"/>
  <c r="AD28" i="73"/>
  <c r="I28" i="73"/>
  <c r="AS203" i="73"/>
  <c r="AT195" i="73"/>
  <c r="AS112" i="73"/>
  <c r="AD27" i="73"/>
  <c r="I27" i="73"/>
  <c r="BB158" i="73"/>
  <c r="R158" i="73" s="1"/>
  <c r="Y37" i="73"/>
  <c r="BB37" i="73" s="1"/>
  <c r="R37" i="73" s="1"/>
  <c r="Z37" i="73"/>
  <c r="P111" i="73"/>
  <c r="AS111" i="73"/>
  <c r="AD170" i="73"/>
  <c r="I170" i="73"/>
  <c r="Z102" i="73"/>
  <c r="AT102" i="73" s="1"/>
  <c r="Y102" i="73"/>
  <c r="AT45" i="73"/>
  <c r="BC162" i="73"/>
  <c r="AD103" i="73"/>
  <c r="I103" i="73"/>
  <c r="S46" i="73"/>
  <c r="S135" i="73"/>
  <c r="P137" i="73"/>
  <c r="P141" i="73"/>
  <c r="P139" i="73"/>
  <c r="Z139" i="73"/>
  <c r="BC139" i="73" s="1"/>
  <c r="Y139" i="73"/>
  <c r="AS139" i="73" s="1"/>
  <c r="Y137" i="73"/>
  <c r="BB137" i="73" s="1"/>
  <c r="Z137" i="73"/>
  <c r="BC137" i="73" s="1"/>
  <c r="Y135" i="73"/>
  <c r="BB135" i="73" s="1"/>
  <c r="Z135" i="73"/>
  <c r="BC135" i="73" s="1"/>
  <c r="AD139" i="73"/>
  <c r="I139" i="73"/>
  <c r="S137" i="73"/>
  <c r="AS137" i="73"/>
  <c r="AD137" i="73"/>
  <c r="I137" i="73"/>
  <c r="AS135" i="73"/>
  <c r="AD135" i="73"/>
  <c r="I135" i="73"/>
  <c r="S139" i="73"/>
  <c r="S141" i="73"/>
  <c r="Z141" i="73"/>
  <c r="BC141" i="73" s="1"/>
  <c r="Y141" i="73"/>
  <c r="AS141" i="73" s="1"/>
  <c r="P135" i="73"/>
  <c r="I141" i="73"/>
  <c r="AD141" i="73"/>
  <c r="P28" i="73"/>
  <c r="P46" i="73"/>
  <c r="R46" i="73" s="1"/>
  <c r="S102" i="73"/>
  <c r="P73" i="73"/>
  <c r="P103" i="73"/>
  <c r="P27" i="73"/>
  <c r="S95" i="73"/>
  <c r="S71" i="73"/>
  <c r="S27" i="73"/>
  <c r="P104" i="73"/>
  <c r="S73" i="73"/>
  <c r="P95" i="73"/>
  <c r="P71" i="73"/>
  <c r="P38" i="73"/>
  <c r="Q83" i="62"/>
  <c r="S83" i="62" s="1"/>
  <c r="AI83" i="62" s="1"/>
  <c r="AK83" i="62" s="1"/>
  <c r="AL83" i="62" s="1"/>
  <c r="AM83" i="62" s="1"/>
  <c r="M94" i="73" s="1"/>
  <c r="Q9" i="62"/>
  <c r="S9" i="62" s="1"/>
  <c r="AI9" i="62" s="1"/>
  <c r="AK9" i="62" s="1"/>
  <c r="AL9" i="62" s="1"/>
  <c r="AM9" i="62" s="1"/>
  <c r="M20" i="73" s="1"/>
  <c r="Q10" i="62"/>
  <c r="S10" i="62" s="1"/>
  <c r="AI10" i="62" s="1"/>
  <c r="AK10" i="62" s="1"/>
  <c r="AL10" i="62" s="1"/>
  <c r="AM10" i="62" s="1"/>
  <c r="M21" i="73" s="1"/>
  <c r="Q260" i="62"/>
  <c r="S260" i="62" s="1"/>
  <c r="AI260" i="62" s="1"/>
  <c r="AK260" i="62" s="1"/>
  <c r="AL260" i="62" s="1"/>
  <c r="AM260" i="62" s="1"/>
  <c r="M271" i="73" s="1"/>
  <c r="BC71" i="73"/>
  <c r="AF83" i="73"/>
  <c r="AI83" i="73"/>
  <c r="AG83" i="73"/>
  <c r="AH83" i="73"/>
  <c r="AN83" i="73"/>
  <c r="AW83" i="73"/>
  <c r="AV83" i="73"/>
  <c r="AM83" i="73"/>
  <c r="AT103" i="73"/>
  <c r="BC36" i="73"/>
  <c r="Q201" i="62"/>
  <c r="S201" i="62" s="1"/>
  <c r="AI201" i="62" s="1"/>
  <c r="AK201" i="62" s="1"/>
  <c r="AL201" i="62" s="1"/>
  <c r="AM201" i="62" s="1"/>
  <c r="M212" i="73" s="1"/>
  <c r="Q81" i="62"/>
  <c r="S81" i="62" s="1"/>
  <c r="AI81" i="62" s="1"/>
  <c r="AK81" i="62" s="1"/>
  <c r="AL81" i="62" s="1"/>
  <c r="AM81" i="62" s="1"/>
  <c r="M92" i="73" s="1"/>
  <c r="Q61" i="62"/>
  <c r="S61" i="62" s="1"/>
  <c r="AI61" i="62" s="1"/>
  <c r="AK61" i="62" s="1"/>
  <c r="AL61" i="62" s="1"/>
  <c r="AM61" i="62" s="1"/>
  <c r="M72" i="73" s="1"/>
  <c r="Q36" i="62"/>
  <c r="S36" i="62" s="1"/>
  <c r="AI36" i="62" s="1"/>
  <c r="AK36" i="62" s="1"/>
  <c r="AL36" i="62" s="1"/>
  <c r="AM36" i="62" s="1"/>
  <c r="M47" i="73" s="1"/>
  <c r="Q137" i="62"/>
  <c r="S137" i="62" s="1"/>
  <c r="AI137" i="62" s="1"/>
  <c r="AK137" i="62" s="1"/>
  <c r="AL137" i="62" s="1"/>
  <c r="AM137" i="62" s="1"/>
  <c r="M148" i="73" s="1"/>
  <c r="Q232" i="62"/>
  <c r="S232" i="62" s="1"/>
  <c r="AI232" i="62" s="1"/>
  <c r="AK232" i="62" s="1"/>
  <c r="AL232" i="62" s="1"/>
  <c r="AM232" i="62" s="1"/>
  <c r="M243" i="73" s="1"/>
  <c r="Q82" i="62"/>
  <c r="S82" i="62" s="1"/>
  <c r="AI82" i="62" s="1"/>
  <c r="AK82" i="62" s="1"/>
  <c r="AL82" i="62" s="1"/>
  <c r="AM82" i="62" s="1"/>
  <c r="M93" i="73" s="1"/>
  <c r="Q258" i="62"/>
  <c r="S258" i="62" s="1"/>
  <c r="AI258" i="62" s="1"/>
  <c r="AK258" i="62" s="1"/>
  <c r="AL258" i="62" s="1"/>
  <c r="AM258" i="62" s="1"/>
  <c r="M269" i="73" s="1"/>
  <c r="Q175" i="62"/>
  <c r="S175" i="62" s="1"/>
  <c r="AI175" i="62" s="1"/>
  <c r="AK175" i="62" s="1"/>
  <c r="AL175" i="62" s="1"/>
  <c r="AM175" i="62" s="1"/>
  <c r="M186" i="73" s="1"/>
  <c r="Q249" i="62"/>
  <c r="S249" i="62" s="1"/>
  <c r="AI249" i="62" s="1"/>
  <c r="AK249" i="62" s="1"/>
  <c r="AL249" i="62" s="1"/>
  <c r="AM249" i="62" s="1"/>
  <c r="M260" i="73" s="1"/>
  <c r="Q259" i="62"/>
  <c r="S259" i="62" s="1"/>
  <c r="AI259" i="62" s="1"/>
  <c r="AK259" i="62" s="1"/>
  <c r="AL259" i="62" s="1"/>
  <c r="AM259" i="62" s="1"/>
  <c r="M270" i="73" s="1"/>
  <c r="AT104" i="73"/>
  <c r="P102" i="73"/>
  <c r="AS102" i="73"/>
  <c r="AT95" i="73"/>
  <c r="AT73" i="73"/>
  <c r="AT46" i="73"/>
  <c r="AT28" i="73"/>
  <c r="AT38" i="73"/>
  <c r="BB27" i="73"/>
  <c r="S103" i="73"/>
  <c r="BB103" i="73"/>
  <c r="S36" i="73"/>
  <c r="BB36" i="73"/>
  <c r="Q43" i="62"/>
  <c r="S43" i="62" s="1"/>
  <c r="AI43" i="62" s="1"/>
  <c r="AK43" i="62" s="1"/>
  <c r="AL43" i="62" s="1"/>
  <c r="AM43" i="62" s="1"/>
  <c r="M54" i="73" s="1"/>
  <c r="Q267" i="62"/>
  <c r="S267" i="62" s="1"/>
  <c r="AI267" i="62" s="1"/>
  <c r="AK267" i="62" s="1"/>
  <c r="AL267" i="62" s="1"/>
  <c r="AM267" i="62" s="1"/>
  <c r="M278" i="73" s="1"/>
  <c r="Q185" i="62"/>
  <c r="S185" i="62" s="1"/>
  <c r="AI185" i="62" s="1"/>
  <c r="AK185" i="62" s="1"/>
  <c r="AL185" i="62" s="1"/>
  <c r="AM185" i="62" s="1"/>
  <c r="M196" i="73" s="1"/>
  <c r="AS104" i="73"/>
  <c r="U46" i="73"/>
  <c r="AS46" i="73"/>
  <c r="Q42" i="62"/>
  <c r="S42" i="62" s="1"/>
  <c r="AI42" i="62" s="1"/>
  <c r="AK42" i="62" s="1"/>
  <c r="AL42" i="62" s="1"/>
  <c r="AM42" i="62" s="1"/>
  <c r="M53" i="73" s="1"/>
  <c r="Q224" i="62"/>
  <c r="S224" i="62" s="1"/>
  <c r="AI224" i="62" s="1"/>
  <c r="AK224" i="62" s="1"/>
  <c r="AL224" i="62" s="1"/>
  <c r="AM224" i="62" s="1"/>
  <c r="M235" i="73" s="1"/>
  <c r="Q80" i="62"/>
  <c r="S80" i="62" s="1"/>
  <c r="AI80" i="62" s="1"/>
  <c r="AK80" i="62" s="1"/>
  <c r="AL80" i="62" s="1"/>
  <c r="AM80" i="62" s="1"/>
  <c r="M91" i="73" s="1"/>
  <c r="Q251" i="62"/>
  <c r="S251" i="62" s="1"/>
  <c r="AI251" i="62" s="1"/>
  <c r="AK251" i="62" s="1"/>
  <c r="AL251" i="62" s="1"/>
  <c r="AM251" i="62" s="1"/>
  <c r="M262" i="73" s="1"/>
  <c r="Q294" i="62"/>
  <c r="S294" i="62" s="1"/>
  <c r="AI294" i="62" s="1"/>
  <c r="AK294" i="62" s="1"/>
  <c r="AL294" i="62" s="1"/>
  <c r="AM294" i="62" s="1"/>
  <c r="M305" i="73" s="1"/>
  <c r="Q176" i="62"/>
  <c r="S176" i="62" s="1"/>
  <c r="AI176" i="62" s="1"/>
  <c r="AK176" i="62" s="1"/>
  <c r="AL176" i="62" s="1"/>
  <c r="AM176" i="62" s="1"/>
  <c r="M187" i="73" s="1"/>
  <c r="Q257" i="62"/>
  <c r="S257" i="62" s="1"/>
  <c r="AI257" i="62" s="1"/>
  <c r="AK257" i="62" s="1"/>
  <c r="AL257" i="62" s="1"/>
  <c r="AM257" i="62" s="1"/>
  <c r="M268" i="73" s="1"/>
  <c r="BC104" i="73"/>
  <c r="BB102" i="73"/>
  <c r="BC73" i="73"/>
  <c r="BB71" i="73"/>
  <c r="BB46" i="73"/>
  <c r="AG39" i="73"/>
  <c r="AF39" i="73"/>
  <c r="AH39" i="73"/>
  <c r="AI39" i="73"/>
  <c r="AM39" i="73"/>
  <c r="AW39" i="73"/>
  <c r="AV39" i="73"/>
  <c r="AN39" i="73"/>
  <c r="BC28" i="73"/>
  <c r="S38" i="73"/>
  <c r="BC38" i="73"/>
  <c r="BC103" i="73"/>
  <c r="AT36" i="73"/>
  <c r="Q209" i="62"/>
  <c r="S209" i="62" s="1"/>
  <c r="AI209" i="62" s="1"/>
  <c r="AK209" i="62" s="1"/>
  <c r="AL209" i="62" s="1"/>
  <c r="AM209" i="62" s="1"/>
  <c r="M220" i="73" s="1"/>
  <c r="Q63" i="62"/>
  <c r="S63" i="62" s="1"/>
  <c r="AI63" i="62" s="1"/>
  <c r="AK63" i="62" s="1"/>
  <c r="AL63" i="62" s="1"/>
  <c r="AM63" i="62" s="1"/>
  <c r="M74" i="73" s="1"/>
  <c r="Q64" i="62"/>
  <c r="S64" i="62" s="1"/>
  <c r="AI64" i="62" s="1"/>
  <c r="AK64" i="62" s="1"/>
  <c r="AL64" i="62" s="1"/>
  <c r="AM64" i="62" s="1"/>
  <c r="M75" i="73" s="1"/>
  <c r="Q200" i="62"/>
  <c r="S200" i="62" s="1"/>
  <c r="AI200" i="62" s="1"/>
  <c r="AK200" i="62" s="1"/>
  <c r="AL200" i="62" s="1"/>
  <c r="AM200" i="62" s="1"/>
  <c r="M211" i="73" s="1"/>
  <c r="Q52" i="62"/>
  <c r="S52" i="62" s="1"/>
  <c r="AI52" i="62" s="1"/>
  <c r="AK52" i="62" s="1"/>
  <c r="AL52" i="62" s="1"/>
  <c r="AM52" i="62" s="1"/>
  <c r="M63" i="73" s="1"/>
  <c r="Q24" i="62"/>
  <c r="S24" i="62" s="1"/>
  <c r="AI24" i="62" s="1"/>
  <c r="AK24" i="62" s="1"/>
  <c r="AL24" i="62" s="1"/>
  <c r="AM24" i="62" s="1"/>
  <c r="M35" i="73" s="1"/>
  <c r="Q250" i="62"/>
  <c r="S250" i="62" s="1"/>
  <c r="AI250" i="62" s="1"/>
  <c r="AK250" i="62" s="1"/>
  <c r="AL250" i="62" s="1"/>
  <c r="AM250" i="62" s="1"/>
  <c r="M261" i="73" s="1"/>
  <c r="BB28" i="73"/>
  <c r="Q74" i="62"/>
  <c r="S74" i="62" s="1"/>
  <c r="AI74" i="62" s="1"/>
  <c r="AK74" i="62" s="1"/>
  <c r="AL74" i="62" s="1"/>
  <c r="AM74" i="62" s="1"/>
  <c r="M85" i="73" s="1"/>
  <c r="Q53" i="62"/>
  <c r="S53" i="62" s="1"/>
  <c r="AI53" i="62" s="1"/>
  <c r="AK53" i="62" s="1"/>
  <c r="AL53" i="62" s="1"/>
  <c r="AM53" i="62" s="1"/>
  <c r="M64" i="73" s="1"/>
  <c r="Q169" i="62"/>
  <c r="S169" i="62" s="1"/>
  <c r="AI169" i="62" s="1"/>
  <c r="AK169" i="62" s="1"/>
  <c r="AL169" i="62" s="1"/>
  <c r="AM169" i="62" s="1"/>
  <c r="M180" i="73" s="1"/>
  <c r="Q225" i="62"/>
  <c r="S225" i="62" s="1"/>
  <c r="AI225" i="62" s="1"/>
  <c r="AK225" i="62" s="1"/>
  <c r="AL225" i="62" s="1"/>
  <c r="AM225" i="62" s="1"/>
  <c r="M236" i="73" s="1"/>
  <c r="Q149" i="62"/>
  <c r="S149" i="62" s="1"/>
  <c r="AI149" i="62" s="1"/>
  <c r="AK149" i="62" s="1"/>
  <c r="AL149" i="62" s="1"/>
  <c r="AM149" i="62" s="1"/>
  <c r="M160" i="73" s="1"/>
  <c r="Q70" i="62"/>
  <c r="S70" i="62" s="1"/>
  <c r="AI70" i="62" s="1"/>
  <c r="AK70" i="62" s="1"/>
  <c r="AL70" i="62" s="1"/>
  <c r="AM70" i="62" s="1"/>
  <c r="M81" i="73" s="1"/>
  <c r="Q51" i="62"/>
  <c r="S51" i="62" s="1"/>
  <c r="AI51" i="62" s="1"/>
  <c r="AK51" i="62" s="1"/>
  <c r="AL51" i="62" s="1"/>
  <c r="AM51" i="62" s="1"/>
  <c r="M62" i="73" s="1"/>
  <c r="Q73" i="62"/>
  <c r="S73" i="62" s="1"/>
  <c r="AI73" i="62" s="1"/>
  <c r="AK73" i="62" s="1"/>
  <c r="AL73" i="62" s="1"/>
  <c r="AM73" i="62" s="1"/>
  <c r="M84" i="73" s="1"/>
  <c r="Q216" i="62"/>
  <c r="S216" i="62" s="1"/>
  <c r="AI216" i="62" s="1"/>
  <c r="AK216" i="62" s="1"/>
  <c r="AL216" i="62" s="1"/>
  <c r="AM216" i="62" s="1"/>
  <c r="M227" i="73" s="1"/>
  <c r="Q71" i="62"/>
  <c r="S71" i="62" s="1"/>
  <c r="AI71" i="62" s="1"/>
  <c r="AK71" i="62" s="1"/>
  <c r="AL71" i="62" s="1"/>
  <c r="AM71" i="62" s="1"/>
  <c r="M82" i="73" s="1"/>
  <c r="Q44" i="62"/>
  <c r="S44" i="62" s="1"/>
  <c r="AI44" i="62" s="1"/>
  <c r="AK44" i="62" s="1"/>
  <c r="AL44" i="62" s="1"/>
  <c r="AM44" i="62" s="1"/>
  <c r="M55" i="73" s="1"/>
  <c r="Q276" i="62"/>
  <c r="S276" i="62" s="1"/>
  <c r="AI276" i="62" s="1"/>
  <c r="AK276" i="62" s="1"/>
  <c r="AL276" i="62" s="1"/>
  <c r="AM276" i="62" s="1"/>
  <c r="M287" i="73" s="1"/>
  <c r="Q268" i="62"/>
  <c r="S268" i="62" s="1"/>
  <c r="AI268" i="62" s="1"/>
  <c r="AK268" i="62" s="1"/>
  <c r="AL268" i="62" s="1"/>
  <c r="AM268" i="62" s="1"/>
  <c r="M279" i="73" s="1"/>
  <c r="Q285" i="62"/>
  <c r="S285" i="62" s="1"/>
  <c r="AI285" i="62" s="1"/>
  <c r="AK285" i="62" s="1"/>
  <c r="AL285" i="62" s="1"/>
  <c r="AM285" i="62" s="1"/>
  <c r="M296" i="73" s="1"/>
  <c r="Q231" i="62"/>
  <c r="S231" i="62" s="1"/>
  <c r="AI231" i="62" s="1"/>
  <c r="AK231" i="62" s="1"/>
  <c r="AL231" i="62" s="1"/>
  <c r="AM231" i="62" s="1"/>
  <c r="M242" i="73" s="1"/>
  <c r="Q239" i="62"/>
  <c r="S239" i="62" s="1"/>
  <c r="AI239" i="62" s="1"/>
  <c r="AK239" i="62" s="1"/>
  <c r="AL239" i="62" s="1"/>
  <c r="AM239" i="62" s="1"/>
  <c r="M250" i="73" s="1"/>
  <c r="S104" i="73"/>
  <c r="BB104" i="73"/>
  <c r="BC95" i="73"/>
  <c r="AT71" i="73"/>
  <c r="BC46" i="73"/>
  <c r="S28" i="73"/>
  <c r="AS28" i="73"/>
  <c r="AS27" i="73"/>
  <c r="AS103" i="73"/>
  <c r="P36" i="73"/>
  <c r="AS36" i="73"/>
  <c r="H124" i="73"/>
  <c r="H314" i="73"/>
  <c r="H288" i="73"/>
  <c r="H304" i="73"/>
  <c r="H251" i="73"/>
  <c r="H286" i="73"/>
  <c r="H234" i="73"/>
  <c r="H277" i="73"/>
  <c r="H83" i="73"/>
  <c r="H179" i="73"/>
  <c r="H297" i="73"/>
  <c r="H228" i="73"/>
  <c r="H210" i="73"/>
  <c r="H321" i="73"/>
  <c r="H202" i="73"/>
  <c r="H185" i="73"/>
  <c r="H244" i="73"/>
  <c r="H123" i="73"/>
  <c r="H306" i="73"/>
  <c r="H298" i="73"/>
  <c r="H29" i="73"/>
  <c r="H182" i="73"/>
  <c r="H194" i="73"/>
  <c r="H259" i="73"/>
  <c r="H125" i="73"/>
  <c r="H183" i="73"/>
  <c r="H295" i="73"/>
  <c r="H218" i="73"/>
  <c r="H122" i="73"/>
  <c r="H184" i="73"/>
  <c r="H39" i="73"/>
  <c r="H252" i="73"/>
  <c r="H226" i="73"/>
  <c r="H219" i="73"/>
  <c r="H313" i="73"/>
  <c r="H181" i="73"/>
  <c r="H307" i="73"/>
  <c r="H289" i="73"/>
  <c r="H280" i="73"/>
  <c r="S182" i="73" l="1"/>
  <c r="P288" i="73"/>
  <c r="S124" i="73"/>
  <c r="P321" i="73"/>
  <c r="S297" i="73"/>
  <c r="S304" i="73"/>
  <c r="P218" i="73"/>
  <c r="S306" i="73"/>
  <c r="P183" i="73"/>
  <c r="S314" i="73"/>
  <c r="S210" i="73"/>
  <c r="S122" i="73"/>
  <c r="P286" i="73"/>
  <c r="S184" i="73"/>
  <c r="P289" i="73"/>
  <c r="S298" i="73"/>
  <c r="U204" i="73"/>
  <c r="P252" i="73"/>
  <c r="U162" i="73"/>
  <c r="R111" i="73"/>
  <c r="U156" i="73"/>
  <c r="R45" i="73"/>
  <c r="U203" i="73"/>
  <c r="R113" i="73"/>
  <c r="R152" i="73"/>
  <c r="AJ278" i="73"/>
  <c r="AE278" i="73"/>
  <c r="AF278" i="73"/>
  <c r="AG278" i="73"/>
  <c r="AH278" i="73"/>
  <c r="AI278" i="73"/>
  <c r="AM278" i="73"/>
  <c r="AW278" i="73"/>
  <c r="AN278" i="73"/>
  <c r="AV278" i="73"/>
  <c r="X103" i="73"/>
  <c r="AA103" i="73"/>
  <c r="BB228" i="73"/>
  <c r="AA104" i="73"/>
  <c r="X104" i="73"/>
  <c r="BB181" i="73"/>
  <c r="Z185" i="73"/>
  <c r="Y185" i="73"/>
  <c r="AJ74" i="73"/>
  <c r="AE74" i="73"/>
  <c r="AJ94" i="73"/>
  <c r="AE94" i="73"/>
  <c r="S280" i="73"/>
  <c r="Z228" i="73"/>
  <c r="Y228" i="73"/>
  <c r="I297" i="73"/>
  <c r="AD297" i="73"/>
  <c r="AD251" i="73"/>
  <c r="I251" i="73"/>
  <c r="AD304" i="73"/>
  <c r="I304" i="73"/>
  <c r="AS113" i="73"/>
  <c r="Y181" i="73"/>
  <c r="Z181" i="73"/>
  <c r="BC306" i="73"/>
  <c r="AA111" i="73"/>
  <c r="X111" i="73"/>
  <c r="AD288" i="73"/>
  <c r="I288" i="73"/>
  <c r="X102" i="73"/>
  <c r="AA102" i="73"/>
  <c r="S277" i="73"/>
  <c r="I124" i="73"/>
  <c r="AD124" i="73"/>
  <c r="Y219" i="73"/>
  <c r="Z219" i="73"/>
  <c r="BC202" i="73"/>
  <c r="AD321" i="73"/>
  <c r="I321" i="73"/>
  <c r="AS73" i="73"/>
  <c r="AJ250" i="73"/>
  <c r="AE250" i="73"/>
  <c r="AF250" i="73"/>
  <c r="AG250" i="73"/>
  <c r="AH250" i="73"/>
  <c r="AI250" i="73"/>
  <c r="AN250" i="73"/>
  <c r="AV250" i="73"/>
  <c r="AW250" i="73"/>
  <c r="AM250" i="73"/>
  <c r="AJ84" i="73"/>
  <c r="AE84" i="73"/>
  <c r="AJ220" i="73"/>
  <c r="AH220" i="73"/>
  <c r="AG220" i="73"/>
  <c r="AE220" i="73"/>
  <c r="AF220" i="73"/>
  <c r="AI220" i="73"/>
  <c r="AN220" i="73"/>
  <c r="AW220" i="73"/>
  <c r="AM220" i="73"/>
  <c r="AV220" i="73"/>
  <c r="P220" i="73" s="1"/>
  <c r="AJ268" i="73"/>
  <c r="AF268" i="73"/>
  <c r="AE268" i="73"/>
  <c r="AG268" i="73"/>
  <c r="AH268" i="73"/>
  <c r="AI268" i="73"/>
  <c r="AM268" i="73"/>
  <c r="AN268" i="73"/>
  <c r="AW268" i="73"/>
  <c r="AV268" i="73"/>
  <c r="AT27" i="73"/>
  <c r="AJ260" i="73"/>
  <c r="AE260" i="73"/>
  <c r="AG260" i="73"/>
  <c r="AF260" i="73"/>
  <c r="AH260" i="73"/>
  <c r="AI260" i="73"/>
  <c r="AW260" i="73"/>
  <c r="AM260" i="73"/>
  <c r="AN260" i="73"/>
  <c r="AV260" i="73"/>
  <c r="P260" i="73" s="1"/>
  <c r="AJ92" i="73"/>
  <c r="AE92" i="73"/>
  <c r="R27" i="73"/>
  <c r="Y125" i="73"/>
  <c r="AS125" i="73" s="1"/>
  <c r="Z125" i="73"/>
  <c r="AS228" i="73"/>
  <c r="Z184" i="73"/>
  <c r="Y184" i="73"/>
  <c r="AS184" i="73" s="1"/>
  <c r="S251" i="73"/>
  <c r="Z122" i="73"/>
  <c r="Y122" i="73"/>
  <c r="S289" i="73"/>
  <c r="Z289" i="73"/>
  <c r="Y289" i="73"/>
  <c r="AS29" i="73"/>
  <c r="S181" i="73"/>
  <c r="S218" i="73"/>
  <c r="Z218" i="73"/>
  <c r="Y218" i="73"/>
  <c r="AS218" i="73" s="1"/>
  <c r="U218" i="73" s="1"/>
  <c r="BB306" i="73"/>
  <c r="R306" i="73" s="1"/>
  <c r="P307" i="73"/>
  <c r="AD307" i="73"/>
  <c r="I307" i="73"/>
  <c r="AT259" i="73"/>
  <c r="X45" i="73"/>
  <c r="AA45" i="73"/>
  <c r="BB150" i="73"/>
  <c r="R150" i="73" s="1"/>
  <c r="S288" i="73"/>
  <c r="AA113" i="73"/>
  <c r="X113" i="73"/>
  <c r="S252" i="73"/>
  <c r="I252" i="73"/>
  <c r="AD252" i="73"/>
  <c r="AS295" i="73"/>
  <c r="AT152" i="73"/>
  <c r="X95" i="73"/>
  <c r="AA95" i="73"/>
  <c r="AA171" i="73"/>
  <c r="X171" i="73"/>
  <c r="AD314" i="73"/>
  <c r="I314" i="73"/>
  <c r="Z194" i="73"/>
  <c r="Y194" i="73"/>
  <c r="AS194" i="73" s="1"/>
  <c r="Z39" i="73"/>
  <c r="BC39" i="73" s="1"/>
  <c r="Y39" i="73"/>
  <c r="AS152" i="73"/>
  <c r="U152" i="73" s="1"/>
  <c r="S219" i="73"/>
  <c r="Y202" i="73"/>
  <c r="Z202" i="73"/>
  <c r="AT202" i="73" s="1"/>
  <c r="S321" i="73"/>
  <c r="S226" i="73"/>
  <c r="P234" i="73"/>
  <c r="Z234" i="73"/>
  <c r="Y234" i="73"/>
  <c r="AJ63" i="73"/>
  <c r="AE63" i="73"/>
  <c r="AJ91" i="73"/>
  <c r="AE91" i="73"/>
  <c r="AJ243" i="73"/>
  <c r="AF243" i="73"/>
  <c r="AG243" i="73"/>
  <c r="AE243" i="73"/>
  <c r="AI243" i="73"/>
  <c r="AH243" i="73"/>
  <c r="AW243" i="73"/>
  <c r="AM243" i="73"/>
  <c r="AV243" i="73"/>
  <c r="AN243" i="73"/>
  <c r="BB184" i="73"/>
  <c r="BB289" i="73"/>
  <c r="Z306" i="73"/>
  <c r="Y306" i="73"/>
  <c r="AS252" i="73"/>
  <c r="AJ85" i="73"/>
  <c r="AE85" i="73"/>
  <c r="AJ72" i="73"/>
  <c r="AE72" i="73"/>
  <c r="X28" i="73"/>
  <c r="AA28" i="73"/>
  <c r="AT125" i="73"/>
  <c r="AA152" i="73"/>
  <c r="X152" i="73"/>
  <c r="AD83" i="73"/>
  <c r="I83" i="73"/>
  <c r="AT183" i="73"/>
  <c r="S123" i="73"/>
  <c r="S244" i="73"/>
  <c r="AT154" i="73"/>
  <c r="Z314" i="73"/>
  <c r="Y314" i="73"/>
  <c r="Y226" i="73"/>
  <c r="Z226" i="73"/>
  <c r="AS234" i="73"/>
  <c r="AJ242" i="73"/>
  <c r="AE242" i="73"/>
  <c r="AF242" i="73"/>
  <c r="AG242" i="73"/>
  <c r="AH242" i="73"/>
  <c r="AI242" i="73"/>
  <c r="AW242" i="73"/>
  <c r="AN242" i="73"/>
  <c r="AM242" i="73"/>
  <c r="AV242" i="73"/>
  <c r="AJ62" i="73"/>
  <c r="AE62" i="73"/>
  <c r="AJ187" i="73"/>
  <c r="AE187" i="73"/>
  <c r="AF187" i="73"/>
  <c r="AG187" i="73"/>
  <c r="AH187" i="73"/>
  <c r="AI187" i="73"/>
  <c r="AM187" i="73"/>
  <c r="AW187" i="73"/>
  <c r="AV187" i="73"/>
  <c r="P187" i="73" s="1"/>
  <c r="AN187" i="73"/>
  <c r="AJ186" i="73"/>
  <c r="AE186" i="73"/>
  <c r="AG186" i="73"/>
  <c r="AF186" i="73"/>
  <c r="AI186" i="73"/>
  <c r="AH186" i="73"/>
  <c r="AM186" i="73"/>
  <c r="AN186" i="73"/>
  <c r="AW186" i="73"/>
  <c r="AV186" i="73"/>
  <c r="AJ212" i="73"/>
  <c r="AE212" i="73"/>
  <c r="AF212" i="73"/>
  <c r="AG212" i="73"/>
  <c r="AH212" i="73"/>
  <c r="AI212" i="73"/>
  <c r="AN212" i="73"/>
  <c r="AM212" i="73"/>
  <c r="AW212" i="73"/>
  <c r="AV212" i="73"/>
  <c r="R103" i="73"/>
  <c r="AA170" i="73"/>
  <c r="X170" i="73"/>
  <c r="I228" i="73"/>
  <c r="AD228" i="73"/>
  <c r="AT182" i="73"/>
  <c r="P184" i="73"/>
  <c r="R184" i="73" s="1"/>
  <c r="AT111" i="73"/>
  <c r="AS45" i="73"/>
  <c r="U45" i="73" s="1"/>
  <c r="I289" i="73"/>
  <c r="AD289" i="73"/>
  <c r="BC29" i="73"/>
  <c r="R170" i="73"/>
  <c r="I181" i="73"/>
  <c r="AD181" i="73"/>
  <c r="AT306" i="73"/>
  <c r="S307" i="73"/>
  <c r="P259" i="73"/>
  <c r="Y259" i="73"/>
  <c r="AS259" i="73" s="1"/>
  <c r="Z259" i="73"/>
  <c r="BC288" i="73"/>
  <c r="AT112" i="73"/>
  <c r="P295" i="73"/>
  <c r="X71" i="73"/>
  <c r="AA71" i="73"/>
  <c r="S183" i="73"/>
  <c r="BB123" i="73"/>
  <c r="I313" i="73"/>
  <c r="AD313" i="73"/>
  <c r="BB156" i="73"/>
  <c r="R156" i="73" s="1"/>
  <c r="S194" i="73"/>
  <c r="AT194" i="73"/>
  <c r="I39" i="73"/>
  <c r="AD39" i="73"/>
  <c r="U111" i="73"/>
  <c r="AT158" i="73"/>
  <c r="U158" i="73" s="1"/>
  <c r="P219" i="73"/>
  <c r="R219" i="73" s="1"/>
  <c r="I219" i="73"/>
  <c r="AD219" i="73"/>
  <c r="AS226" i="73"/>
  <c r="S234" i="73"/>
  <c r="I234" i="73"/>
  <c r="AD234" i="73"/>
  <c r="U234" i="73"/>
  <c r="BB38" i="73"/>
  <c r="AJ270" i="73"/>
  <c r="AG270" i="73"/>
  <c r="AE270" i="73"/>
  <c r="AH270" i="73"/>
  <c r="AF270" i="73"/>
  <c r="AI270" i="73"/>
  <c r="AM270" i="73"/>
  <c r="AN270" i="73"/>
  <c r="AW270" i="73"/>
  <c r="AV270" i="73"/>
  <c r="U95" i="73"/>
  <c r="AJ81" i="73"/>
  <c r="AE81" i="73"/>
  <c r="AJ305" i="73"/>
  <c r="AE305" i="73"/>
  <c r="AF305" i="73"/>
  <c r="AG305" i="73"/>
  <c r="AH305" i="73"/>
  <c r="AI305" i="73"/>
  <c r="AM305" i="73"/>
  <c r="AW305" i="73"/>
  <c r="AN305" i="73"/>
  <c r="AV305" i="73"/>
  <c r="P305" i="73" s="1"/>
  <c r="AJ269" i="73"/>
  <c r="AE269" i="73"/>
  <c r="AF269" i="73"/>
  <c r="AI269" i="73"/>
  <c r="AH269" i="73"/>
  <c r="AG269" i="73"/>
  <c r="AM269" i="73"/>
  <c r="AN269" i="73"/>
  <c r="AW269" i="73"/>
  <c r="AV269" i="73"/>
  <c r="R73" i="73"/>
  <c r="AS169" i="73"/>
  <c r="U169" i="73" s="1"/>
  <c r="S125" i="73"/>
  <c r="AS280" i="73"/>
  <c r="P228" i="73"/>
  <c r="Z182" i="73"/>
  <c r="Y182" i="73"/>
  <c r="BB182" i="73" s="1"/>
  <c r="R182" i="73" s="1"/>
  <c r="U184" i="73"/>
  <c r="AD184" i="73"/>
  <c r="I184" i="73"/>
  <c r="Z179" i="73"/>
  <c r="Y179" i="73"/>
  <c r="BB179" i="73" s="1"/>
  <c r="Y29" i="73"/>
  <c r="BB29" i="73" s="1"/>
  <c r="Z29" i="73"/>
  <c r="Z298" i="73"/>
  <c r="AT298" i="73" s="1"/>
  <c r="Y298" i="73"/>
  <c r="AS298" i="73" s="1"/>
  <c r="U298" i="73" s="1"/>
  <c r="R218" i="73"/>
  <c r="AD218" i="73"/>
  <c r="I218" i="73"/>
  <c r="AS306" i="73"/>
  <c r="U306" i="73" s="1"/>
  <c r="BB307" i="73"/>
  <c r="U112" i="73"/>
  <c r="Z295" i="73"/>
  <c r="BC295" i="73" s="1"/>
  <c r="Y295" i="73"/>
  <c r="Y183" i="73"/>
  <c r="AS183" i="73" s="1"/>
  <c r="Z183" i="73"/>
  <c r="Z123" i="73"/>
  <c r="BC123" i="73" s="1"/>
  <c r="Y123" i="73"/>
  <c r="AS244" i="73"/>
  <c r="P194" i="73"/>
  <c r="AT277" i="73"/>
  <c r="X203" i="73"/>
  <c r="AA203" i="73"/>
  <c r="AS202" i="73"/>
  <c r="AD226" i="73"/>
  <c r="I226" i="73"/>
  <c r="AJ287" i="73"/>
  <c r="AE287" i="73"/>
  <c r="AG287" i="73"/>
  <c r="AF287" i="73"/>
  <c r="AH287" i="73"/>
  <c r="AI287" i="73"/>
  <c r="AM287" i="73"/>
  <c r="AW287" i="73"/>
  <c r="AV287" i="73"/>
  <c r="P287" i="73" s="1"/>
  <c r="AN287" i="73"/>
  <c r="AJ271" i="73"/>
  <c r="AE271" i="73"/>
  <c r="AF271" i="73"/>
  <c r="AG271" i="73"/>
  <c r="AH271" i="73"/>
  <c r="AI271" i="73"/>
  <c r="AN271" i="73"/>
  <c r="AW271" i="73"/>
  <c r="AV271" i="73"/>
  <c r="AM271" i="73"/>
  <c r="AD122" i="73"/>
  <c r="I122" i="73"/>
  <c r="AS179" i="73"/>
  <c r="Y304" i="73"/>
  <c r="AS304" i="73" s="1"/>
  <c r="Z304" i="73"/>
  <c r="AA154" i="73"/>
  <c r="X154" i="73"/>
  <c r="AJ227" i="73"/>
  <c r="AE227" i="73"/>
  <c r="AF227" i="73"/>
  <c r="AG227" i="73"/>
  <c r="AI227" i="73"/>
  <c r="AH227" i="73"/>
  <c r="AV227" i="73"/>
  <c r="P227" i="73" s="1"/>
  <c r="AW227" i="73"/>
  <c r="AM227" i="73"/>
  <c r="AN227" i="73"/>
  <c r="BC102" i="73"/>
  <c r="AJ296" i="73"/>
  <c r="AF296" i="73"/>
  <c r="AE296" i="73"/>
  <c r="AG296" i="73"/>
  <c r="AH296" i="73"/>
  <c r="AI296" i="73"/>
  <c r="AN296" i="73"/>
  <c r="AW296" i="73"/>
  <c r="AM296" i="73"/>
  <c r="AV296" i="73"/>
  <c r="AJ261" i="73"/>
  <c r="AE261" i="73"/>
  <c r="AF261" i="73"/>
  <c r="AG261" i="73"/>
  <c r="AI261" i="73"/>
  <c r="AH261" i="73"/>
  <c r="AV261" i="73"/>
  <c r="AW261" i="73"/>
  <c r="AN261" i="73"/>
  <c r="AM261" i="73"/>
  <c r="S261" i="73" s="1"/>
  <c r="BB95" i="73"/>
  <c r="R95" i="73" s="1"/>
  <c r="AJ279" i="73"/>
  <c r="AE279" i="73"/>
  <c r="AF279" i="73"/>
  <c r="AG279" i="73"/>
  <c r="AI279" i="73"/>
  <c r="AH279" i="73"/>
  <c r="AM279" i="73"/>
  <c r="AV279" i="73"/>
  <c r="AW279" i="73"/>
  <c r="AN279" i="73"/>
  <c r="AJ160" i="73"/>
  <c r="AE160" i="73"/>
  <c r="AF160" i="73"/>
  <c r="AH160" i="73"/>
  <c r="AG160" i="73"/>
  <c r="AI160" i="73"/>
  <c r="AV160" i="73"/>
  <c r="P160" i="73" s="1"/>
  <c r="AN160" i="73"/>
  <c r="AM160" i="73"/>
  <c r="S160" i="73" s="1"/>
  <c r="AW160" i="73"/>
  <c r="AJ35" i="73"/>
  <c r="AH35" i="73"/>
  <c r="AE35" i="73"/>
  <c r="AG35" i="73"/>
  <c r="AF35" i="73"/>
  <c r="AI35" i="73"/>
  <c r="AV35" i="73"/>
  <c r="AN35" i="73"/>
  <c r="AW35" i="73"/>
  <c r="AM35" i="73"/>
  <c r="AJ262" i="73"/>
  <c r="AF262" i="73"/>
  <c r="AG262" i="73"/>
  <c r="AE262" i="73"/>
  <c r="AH262" i="73"/>
  <c r="AI262" i="73"/>
  <c r="AW262" i="73"/>
  <c r="AV262" i="73"/>
  <c r="P262" i="73" s="1"/>
  <c r="AM262" i="73"/>
  <c r="S262" i="73" s="1"/>
  <c r="AN262" i="73"/>
  <c r="AJ196" i="73"/>
  <c r="AG196" i="73"/>
  <c r="AF196" i="73"/>
  <c r="AE196" i="73"/>
  <c r="AI196" i="73"/>
  <c r="AH196" i="73"/>
  <c r="AM196" i="73"/>
  <c r="AN196" i="73"/>
  <c r="AW196" i="73"/>
  <c r="AV196" i="73"/>
  <c r="P196" i="73" s="1"/>
  <c r="AJ93" i="73"/>
  <c r="AE93" i="73"/>
  <c r="AF93" i="73"/>
  <c r="AG93" i="73"/>
  <c r="AH93" i="73"/>
  <c r="AI93" i="73"/>
  <c r="AV93" i="73"/>
  <c r="AN93" i="73"/>
  <c r="AM93" i="73"/>
  <c r="AW93" i="73"/>
  <c r="I125" i="73"/>
  <c r="AD125" i="73"/>
  <c r="P122" i="73"/>
  <c r="AS122" i="73"/>
  <c r="BC289" i="73"/>
  <c r="R289" i="73" s="1"/>
  <c r="P29" i="73"/>
  <c r="BC181" i="73"/>
  <c r="R181" i="73" s="1"/>
  <c r="BC307" i="73"/>
  <c r="S259" i="73"/>
  <c r="AD259" i="73"/>
  <c r="I259" i="73"/>
  <c r="AT288" i="73"/>
  <c r="AD295" i="73"/>
  <c r="I295" i="73"/>
  <c r="AA73" i="73"/>
  <c r="X73" i="73"/>
  <c r="AT113" i="73"/>
  <c r="I183" i="73"/>
  <c r="AD183" i="73"/>
  <c r="BC313" i="73"/>
  <c r="AA169" i="73"/>
  <c r="X169" i="73"/>
  <c r="AA195" i="73"/>
  <c r="X195" i="73"/>
  <c r="BC314" i="73"/>
  <c r="I194" i="73"/>
  <c r="AD194" i="73"/>
  <c r="U194" i="73"/>
  <c r="AS110" i="73"/>
  <c r="U110" i="73" s="1"/>
  <c r="AA110" i="73"/>
  <c r="X110" i="73"/>
  <c r="X46" i="73"/>
  <c r="AA46" i="73"/>
  <c r="BC219" i="73"/>
  <c r="P202" i="73"/>
  <c r="R202" i="73" s="1"/>
  <c r="Z286" i="73"/>
  <c r="AT286" i="73" s="1"/>
  <c r="Y286" i="73"/>
  <c r="BC234" i="73"/>
  <c r="AS210" i="73"/>
  <c r="X36" i="73"/>
  <c r="AA36" i="73"/>
  <c r="BB234" i="73"/>
  <c r="R234" i="73" s="1"/>
  <c r="AJ55" i="73"/>
  <c r="AE55" i="73"/>
  <c r="AJ180" i="73"/>
  <c r="AE180" i="73"/>
  <c r="AF180" i="73"/>
  <c r="AG180" i="73"/>
  <c r="AH180" i="73"/>
  <c r="AI180" i="73"/>
  <c r="AM180" i="73"/>
  <c r="S180" i="73" s="1"/>
  <c r="AN180" i="73"/>
  <c r="AW180" i="73"/>
  <c r="AV180" i="73"/>
  <c r="AJ211" i="73"/>
  <c r="AE211" i="73"/>
  <c r="AF211" i="73"/>
  <c r="AG211" i="73"/>
  <c r="AI211" i="73"/>
  <c r="AH211" i="73"/>
  <c r="AM211" i="73"/>
  <c r="S211" i="73" s="1"/>
  <c r="AN211" i="73"/>
  <c r="AW211" i="73"/>
  <c r="AV211" i="73"/>
  <c r="AJ235" i="73"/>
  <c r="AE235" i="73"/>
  <c r="AG235" i="73"/>
  <c r="AF235" i="73"/>
  <c r="AH235" i="73"/>
  <c r="AI235" i="73"/>
  <c r="AM235" i="73"/>
  <c r="S235" i="73" s="1"/>
  <c r="AN235" i="73"/>
  <c r="AV235" i="73"/>
  <c r="AW235" i="73"/>
  <c r="AJ54" i="73"/>
  <c r="AE54" i="73"/>
  <c r="AJ148" i="73"/>
  <c r="AE148" i="73"/>
  <c r="AG148" i="73"/>
  <c r="AF148" i="73"/>
  <c r="AH148" i="73"/>
  <c r="AI148" i="73"/>
  <c r="AV148" i="73"/>
  <c r="AM148" i="73"/>
  <c r="S148" i="73" s="1"/>
  <c r="AN148" i="73"/>
  <c r="AW148" i="73"/>
  <c r="AJ21" i="73"/>
  <c r="AM21" i="73"/>
  <c r="AG21" i="73"/>
  <c r="AN21" i="73"/>
  <c r="AE21" i="73"/>
  <c r="AF21" i="73"/>
  <c r="AV21" i="73"/>
  <c r="AH21" i="73"/>
  <c r="AW21" i="73"/>
  <c r="AI21" i="73"/>
  <c r="R28" i="73"/>
  <c r="AT137" i="73"/>
  <c r="U137" i="73"/>
  <c r="X27" i="73"/>
  <c r="AA27" i="73"/>
  <c r="BB125" i="73"/>
  <c r="P280" i="73"/>
  <c r="Y280" i="73"/>
  <c r="BB280" i="73" s="1"/>
  <c r="Z280" i="73"/>
  <c r="AT280" i="73" s="1"/>
  <c r="P297" i="73"/>
  <c r="BC184" i="73"/>
  <c r="Y251" i="73"/>
  <c r="AS251" i="73" s="1"/>
  <c r="Z251" i="73"/>
  <c r="BC251" i="73" s="1"/>
  <c r="X101" i="73"/>
  <c r="AA101" i="73"/>
  <c r="S179" i="73"/>
  <c r="AT289" i="73"/>
  <c r="BB204" i="73"/>
  <c r="R204" i="73" s="1"/>
  <c r="BB171" i="73"/>
  <c r="R171" i="73" s="1"/>
  <c r="AT181" i="73"/>
  <c r="BB218" i="73"/>
  <c r="AD306" i="73"/>
  <c r="I306" i="73"/>
  <c r="BC259" i="73"/>
  <c r="Y288" i="73"/>
  <c r="AS288" i="73" s="1"/>
  <c r="U288" i="73" s="1"/>
  <c r="Z288" i="73"/>
  <c r="X156" i="73"/>
  <c r="AA156" i="73"/>
  <c r="Z252" i="73"/>
  <c r="BC252" i="73" s="1"/>
  <c r="Y252" i="73"/>
  <c r="BB252" i="73" s="1"/>
  <c r="BB183" i="73"/>
  <c r="AS123" i="73"/>
  <c r="U123" i="73" s="1"/>
  <c r="Y313" i="73"/>
  <c r="AS313" i="73" s="1"/>
  <c r="Z313" i="73"/>
  <c r="P244" i="73"/>
  <c r="Z244" i="73"/>
  <c r="AT244" i="73" s="1"/>
  <c r="Y244" i="73"/>
  <c r="X37" i="73"/>
  <c r="AA37" i="73"/>
  <c r="I185" i="73"/>
  <c r="AD185" i="73"/>
  <c r="BB194" i="73"/>
  <c r="AS124" i="73"/>
  <c r="U124" i="73" s="1"/>
  <c r="BB219" i="73"/>
  <c r="S202" i="73"/>
  <c r="AS321" i="73"/>
  <c r="BB226" i="73"/>
  <c r="R226" i="73" s="1"/>
  <c r="AD286" i="73"/>
  <c r="I286" i="73"/>
  <c r="Z210" i="73"/>
  <c r="BC210" i="73" s="1"/>
  <c r="Y210" i="73"/>
  <c r="BB210" i="73" s="1"/>
  <c r="AJ236" i="73"/>
  <c r="AE236" i="73"/>
  <c r="AF236" i="73"/>
  <c r="AG236" i="73"/>
  <c r="AI236" i="73"/>
  <c r="AH236" i="73"/>
  <c r="AW236" i="73"/>
  <c r="AV236" i="73"/>
  <c r="P236" i="73" s="1"/>
  <c r="AN236" i="73"/>
  <c r="AM236" i="73"/>
  <c r="I182" i="73"/>
  <c r="AD182" i="73"/>
  <c r="I29" i="73"/>
  <c r="AD29" i="73"/>
  <c r="R29" i="73"/>
  <c r="U29" i="73"/>
  <c r="AA158" i="73"/>
  <c r="X158" i="73"/>
  <c r="AD298" i="73"/>
  <c r="I298" i="73"/>
  <c r="BC218" i="73"/>
  <c r="AT307" i="73"/>
  <c r="U154" i="73"/>
  <c r="AT123" i="73"/>
  <c r="BB313" i="73"/>
  <c r="R313" i="73" s="1"/>
  <c r="BB244" i="73"/>
  <c r="AT314" i="73"/>
  <c r="Z277" i="73"/>
  <c r="BC277" i="73" s="1"/>
  <c r="Y277" i="73"/>
  <c r="X112" i="73"/>
  <c r="AA112" i="73"/>
  <c r="Z124" i="73"/>
  <c r="AT124" i="73" s="1"/>
  <c r="Y124" i="73"/>
  <c r="BB124" i="73" s="1"/>
  <c r="AT219" i="73"/>
  <c r="I202" i="73"/>
  <c r="AD202" i="73"/>
  <c r="U202" i="73"/>
  <c r="Y321" i="73"/>
  <c r="BB321" i="73" s="1"/>
  <c r="Z321" i="73"/>
  <c r="BC321" i="73" s="1"/>
  <c r="BC226" i="73"/>
  <c r="AJ82" i="73"/>
  <c r="AE82" i="73"/>
  <c r="AJ64" i="73"/>
  <c r="AE64" i="73"/>
  <c r="AJ75" i="73"/>
  <c r="AE75" i="73"/>
  <c r="AJ53" i="73"/>
  <c r="AE53" i="73"/>
  <c r="AJ47" i="73"/>
  <c r="AE47" i="73"/>
  <c r="AE20" i="73"/>
  <c r="AJ20" i="73"/>
  <c r="U71" i="73"/>
  <c r="BC125" i="73"/>
  <c r="R125" i="73" s="1"/>
  <c r="AD280" i="73"/>
  <c r="I280" i="73"/>
  <c r="BC182" i="73"/>
  <c r="Z297" i="73"/>
  <c r="AT297" i="73" s="1"/>
  <c r="Y297" i="73"/>
  <c r="AT184" i="73"/>
  <c r="P251" i="73"/>
  <c r="BB122" i="73"/>
  <c r="AA150" i="73"/>
  <c r="X150" i="73"/>
  <c r="I179" i="73"/>
  <c r="AD179" i="73"/>
  <c r="AS289" i="73"/>
  <c r="U289" i="73" s="1"/>
  <c r="AT29" i="73"/>
  <c r="AA38" i="73"/>
  <c r="X38" i="73"/>
  <c r="X204" i="73"/>
  <c r="AA204" i="73"/>
  <c r="AS181" i="73"/>
  <c r="U181" i="73" s="1"/>
  <c r="BB298" i="73"/>
  <c r="Z83" i="73"/>
  <c r="Y83" i="73"/>
  <c r="BB83" i="73" s="1"/>
  <c r="AT218" i="73"/>
  <c r="Z307" i="73"/>
  <c r="Y307" i="73"/>
  <c r="AS307" i="73" s="1"/>
  <c r="U307" i="73" s="1"/>
  <c r="BB259" i="73"/>
  <c r="R259" i="73" s="1"/>
  <c r="AT252" i="73"/>
  <c r="BB295" i="73"/>
  <c r="X162" i="73"/>
  <c r="AA162" i="73"/>
  <c r="BC183" i="73"/>
  <c r="AD123" i="73"/>
  <c r="I123" i="73"/>
  <c r="R123" i="73"/>
  <c r="AT313" i="73"/>
  <c r="AD244" i="73"/>
  <c r="I244" i="73"/>
  <c r="X133" i="73"/>
  <c r="AA133" i="73"/>
  <c r="S185" i="73"/>
  <c r="BC194" i="73"/>
  <c r="AD277" i="73"/>
  <c r="I277" i="73"/>
  <c r="P124" i="73"/>
  <c r="R112" i="73"/>
  <c r="AS219" i="73"/>
  <c r="U219" i="73" s="1"/>
  <c r="BB202" i="73"/>
  <c r="AT321" i="73"/>
  <c r="AT226" i="73"/>
  <c r="AT234" i="73"/>
  <c r="AD210" i="73"/>
  <c r="I210" i="73"/>
  <c r="R210" i="73"/>
  <c r="U102" i="73"/>
  <c r="R38" i="73"/>
  <c r="U27" i="73"/>
  <c r="R104" i="73"/>
  <c r="R137" i="73"/>
  <c r="R135" i="73"/>
  <c r="BB141" i="73"/>
  <c r="R141" i="73" s="1"/>
  <c r="BB139" i="73"/>
  <c r="R139" i="73" s="1"/>
  <c r="X139" i="73"/>
  <c r="AA139" i="73"/>
  <c r="AT141" i="73"/>
  <c r="U141" i="73" s="1"/>
  <c r="AT139" i="73"/>
  <c r="U139" i="73" s="1"/>
  <c r="AT135" i="73"/>
  <c r="U135" i="73" s="1"/>
  <c r="X141" i="73"/>
  <c r="AA141" i="73"/>
  <c r="X135" i="73"/>
  <c r="AA135" i="73"/>
  <c r="X137" i="73"/>
  <c r="AA137" i="73"/>
  <c r="U73" i="73"/>
  <c r="S39" i="73"/>
  <c r="R71" i="73"/>
  <c r="S83" i="73"/>
  <c r="P39" i="73"/>
  <c r="AF55" i="73"/>
  <c r="AI55" i="73"/>
  <c r="AG55" i="73"/>
  <c r="AH55" i="73"/>
  <c r="AM55" i="73"/>
  <c r="AN55" i="73"/>
  <c r="AV55" i="73"/>
  <c r="AW55" i="73"/>
  <c r="AF85" i="73"/>
  <c r="AG85" i="73"/>
  <c r="AH85" i="73"/>
  <c r="AI85" i="73"/>
  <c r="AW85" i="73"/>
  <c r="AM85" i="73"/>
  <c r="AN85" i="73"/>
  <c r="AV85" i="73"/>
  <c r="AG72" i="73"/>
  <c r="AH72" i="73"/>
  <c r="AF72" i="73"/>
  <c r="AI72" i="73"/>
  <c r="AV72" i="73"/>
  <c r="AM72" i="73"/>
  <c r="AN72" i="73"/>
  <c r="AW72" i="73"/>
  <c r="AG20" i="73"/>
  <c r="AF20" i="73"/>
  <c r="AH20" i="73"/>
  <c r="AM20" i="73"/>
  <c r="AW20" i="73"/>
  <c r="AI20" i="73"/>
  <c r="AV20" i="73"/>
  <c r="AN20" i="73"/>
  <c r="R36" i="73"/>
  <c r="U104" i="73"/>
  <c r="AS39" i="73"/>
  <c r="AF91" i="73"/>
  <c r="AI91" i="73"/>
  <c r="AG91" i="73"/>
  <c r="AH91" i="73"/>
  <c r="AW91" i="73"/>
  <c r="AN91" i="73"/>
  <c r="AM91" i="73"/>
  <c r="AV91" i="73"/>
  <c r="AG53" i="73"/>
  <c r="AI53" i="73"/>
  <c r="AF53" i="73"/>
  <c r="AH53" i="73"/>
  <c r="AW53" i="73"/>
  <c r="AV53" i="73"/>
  <c r="AM53" i="73"/>
  <c r="AN53" i="73"/>
  <c r="R102" i="73"/>
  <c r="P83" i="73"/>
  <c r="AG74" i="73"/>
  <c r="AI74" i="73"/>
  <c r="AF74" i="73"/>
  <c r="AH74" i="73"/>
  <c r="AN74" i="73"/>
  <c r="AV74" i="73"/>
  <c r="AW74" i="73"/>
  <c r="AM74" i="73"/>
  <c r="BB39" i="73"/>
  <c r="AG82" i="73"/>
  <c r="AI82" i="73"/>
  <c r="AF82" i="73"/>
  <c r="AH82" i="73"/>
  <c r="AN82" i="73"/>
  <c r="AM82" i="73"/>
  <c r="AV82" i="73"/>
  <c r="AW82" i="73"/>
  <c r="AG84" i="73"/>
  <c r="AF84" i="73"/>
  <c r="AH84" i="73"/>
  <c r="AI84" i="73"/>
  <c r="AM84" i="73"/>
  <c r="AV84" i="73"/>
  <c r="AW84" i="73"/>
  <c r="AN84" i="73"/>
  <c r="AF81" i="73"/>
  <c r="AI81" i="73"/>
  <c r="AG81" i="73"/>
  <c r="AH81" i="73"/>
  <c r="AN81" i="73"/>
  <c r="AM81" i="73"/>
  <c r="AW81" i="73"/>
  <c r="AV81" i="73"/>
  <c r="AG64" i="73"/>
  <c r="AF64" i="73"/>
  <c r="AH64" i="73"/>
  <c r="AI64" i="73"/>
  <c r="AM64" i="73"/>
  <c r="AN64" i="73"/>
  <c r="AW64" i="73"/>
  <c r="AV64" i="73"/>
  <c r="AF63" i="73"/>
  <c r="AI63" i="73"/>
  <c r="AH63" i="73"/>
  <c r="AG63" i="73"/>
  <c r="AM63" i="73"/>
  <c r="AV63" i="73"/>
  <c r="AN63" i="73"/>
  <c r="AW63" i="73"/>
  <c r="AF75" i="73"/>
  <c r="AG75" i="73"/>
  <c r="AI75" i="73"/>
  <c r="AH75" i="73"/>
  <c r="AV75" i="73"/>
  <c r="AW75" i="73"/>
  <c r="AM75" i="73"/>
  <c r="AN75" i="73"/>
  <c r="AT39" i="73"/>
  <c r="U103" i="73"/>
  <c r="AG47" i="73"/>
  <c r="AF47" i="73"/>
  <c r="AI47" i="73"/>
  <c r="AH47" i="73"/>
  <c r="AV47" i="73"/>
  <c r="AM47" i="73"/>
  <c r="AW47" i="73"/>
  <c r="AN47" i="73"/>
  <c r="AG92" i="73"/>
  <c r="AH92" i="73"/>
  <c r="AI92" i="73"/>
  <c r="AF92" i="73"/>
  <c r="AM92" i="73"/>
  <c r="AN92" i="73"/>
  <c r="AW92" i="73"/>
  <c r="AV92" i="73"/>
  <c r="AF94" i="73"/>
  <c r="AG94" i="73"/>
  <c r="AH94" i="73"/>
  <c r="AI94" i="73"/>
  <c r="AN94" i="73"/>
  <c r="AM94" i="73"/>
  <c r="AW94" i="73"/>
  <c r="AV94" i="73"/>
  <c r="U28" i="73"/>
  <c r="AG62" i="73"/>
  <c r="AI62" i="73"/>
  <c r="AF62" i="73"/>
  <c r="AH62" i="73"/>
  <c r="AN62" i="73"/>
  <c r="AV62" i="73"/>
  <c r="AW62" i="73"/>
  <c r="AM62" i="73"/>
  <c r="U38" i="73"/>
  <c r="AF54" i="73"/>
  <c r="AH54" i="73"/>
  <c r="AG54" i="73"/>
  <c r="AI54" i="73"/>
  <c r="AW54" i="73"/>
  <c r="AM54" i="73"/>
  <c r="AN54" i="73"/>
  <c r="AV54" i="73"/>
  <c r="U36" i="73"/>
  <c r="AS83" i="73"/>
  <c r="H55" i="73"/>
  <c r="H148" i="73"/>
  <c r="H64" i="73"/>
  <c r="H47" i="73"/>
  <c r="H278" i="73"/>
  <c r="H250" i="73"/>
  <c r="H268" i="73"/>
  <c r="H92" i="73"/>
  <c r="H242" i="73"/>
  <c r="H186" i="73"/>
  <c r="H74" i="73"/>
  <c r="H91" i="73"/>
  <c r="H85" i="73"/>
  <c r="H261" i="73"/>
  <c r="H160" i="73"/>
  <c r="H196" i="73"/>
  <c r="H21" i="73"/>
  <c r="H236" i="73"/>
  <c r="H235" i="73"/>
  <c r="H84" i="73"/>
  <c r="H62" i="73"/>
  <c r="H81" i="73"/>
  <c r="H269" i="73"/>
  <c r="H180" i="73"/>
  <c r="H75" i="73"/>
  <c r="H20" i="73"/>
  <c r="H94" i="73"/>
  <c r="H212" i="73"/>
  <c r="H287" i="73"/>
  <c r="H227" i="73"/>
  <c r="H72" i="73"/>
  <c r="H54" i="73"/>
  <c r="H82" i="73"/>
  <c r="H63" i="73"/>
  <c r="H279" i="73"/>
  <c r="H296" i="73"/>
  <c r="H305" i="73"/>
  <c r="H93" i="73"/>
  <c r="H220" i="73"/>
  <c r="H187" i="73"/>
  <c r="H270" i="73"/>
  <c r="H260" i="73"/>
  <c r="H271" i="73"/>
  <c r="H211" i="73"/>
  <c r="H243" i="73"/>
  <c r="H35" i="73"/>
  <c r="H262" i="73"/>
  <c r="H53" i="73"/>
  <c r="P235" i="73" l="1"/>
  <c r="U259" i="73"/>
  <c r="S186" i="73"/>
  <c r="S268" i="73"/>
  <c r="S220" i="73"/>
  <c r="S21" i="73"/>
  <c r="P211" i="73"/>
  <c r="S296" i="73"/>
  <c r="S287" i="73"/>
  <c r="P180" i="73"/>
  <c r="S236" i="73"/>
  <c r="S271" i="73"/>
  <c r="S260" i="73"/>
  <c r="P271" i="73"/>
  <c r="S212" i="73"/>
  <c r="P250" i="73"/>
  <c r="U125" i="73"/>
  <c r="S269" i="73"/>
  <c r="Y53" i="73"/>
  <c r="Z53" i="73"/>
  <c r="AQ133" i="73"/>
  <c r="AZ133" i="73"/>
  <c r="X123" i="73"/>
  <c r="AA123" i="73"/>
  <c r="Z82" i="73"/>
  <c r="Y82" i="73"/>
  <c r="I82" i="73"/>
  <c r="AD82" i="73"/>
  <c r="R252" i="73"/>
  <c r="AD55" i="73"/>
  <c r="I55" i="73"/>
  <c r="U262" i="73"/>
  <c r="Y279" i="73"/>
  <c r="Z279" i="73"/>
  <c r="AT210" i="73"/>
  <c r="BB304" i="73"/>
  <c r="AT243" i="73"/>
  <c r="AD63" i="73"/>
  <c r="I63" i="73"/>
  <c r="AS185" i="73"/>
  <c r="BB185" i="73"/>
  <c r="R185" i="73" s="1"/>
  <c r="X194" i="73"/>
  <c r="AA194" i="73"/>
  <c r="X122" i="73"/>
  <c r="AA122" i="73"/>
  <c r="X289" i="73"/>
  <c r="AA289" i="73"/>
  <c r="AA277" i="73"/>
  <c r="X277" i="73"/>
  <c r="I242" i="73"/>
  <c r="AD242" i="73"/>
  <c r="AT228" i="73"/>
  <c r="U228" i="73" s="1"/>
  <c r="BC228" i="73"/>
  <c r="AP38" i="73"/>
  <c r="T38" i="73" s="1"/>
  <c r="V38" i="73" s="1"/>
  <c r="AY38" i="73"/>
  <c r="Z75" i="73"/>
  <c r="Y75" i="73"/>
  <c r="R321" i="73"/>
  <c r="AZ112" i="73"/>
  <c r="AQ112" i="73"/>
  <c r="AP156" i="73"/>
  <c r="T156" i="73" s="1"/>
  <c r="V156" i="73" s="1"/>
  <c r="AY156" i="73"/>
  <c r="Q156" i="73" s="1"/>
  <c r="G156" i="73" s="1"/>
  <c r="X226" i="73"/>
  <c r="AA226" i="73"/>
  <c r="U252" i="73"/>
  <c r="BC280" i="73"/>
  <c r="R280" i="73" s="1"/>
  <c r="I262" i="73"/>
  <c r="AD262" i="73"/>
  <c r="AT185" i="73"/>
  <c r="BC185" i="73"/>
  <c r="AZ156" i="73"/>
  <c r="AQ156" i="73"/>
  <c r="AY152" i="73"/>
  <c r="AP152" i="73"/>
  <c r="T152" i="73" s="1"/>
  <c r="V152" i="73" s="1"/>
  <c r="AQ38" i="73"/>
  <c r="AZ38" i="73"/>
  <c r="U313" i="73"/>
  <c r="Y148" i="73"/>
  <c r="Z148" i="73"/>
  <c r="U210" i="73"/>
  <c r="AY73" i="73"/>
  <c r="AP73" i="73"/>
  <c r="U244" i="73"/>
  <c r="U226" i="73"/>
  <c r="AT35" i="73"/>
  <c r="Z278" i="73"/>
  <c r="Y278" i="73"/>
  <c r="AS297" i="73"/>
  <c r="U297" i="73" s="1"/>
  <c r="BB297" i="73"/>
  <c r="Y211" i="73"/>
  <c r="Z211" i="73"/>
  <c r="BC211" i="73" s="1"/>
  <c r="X184" i="73"/>
  <c r="AA184" i="73"/>
  <c r="U83" i="73"/>
  <c r="R295" i="73"/>
  <c r="Z20" i="73"/>
  <c r="Y20" i="73"/>
  <c r="AS20" i="73" s="1"/>
  <c r="AS277" i="73"/>
  <c r="BB277" i="73"/>
  <c r="R277" i="73" s="1"/>
  <c r="U321" i="73"/>
  <c r="I148" i="73"/>
  <c r="AD148" i="73"/>
  <c r="AY110" i="73"/>
  <c r="Q110" i="73" s="1"/>
  <c r="G110" i="73" s="1"/>
  <c r="AP110" i="73"/>
  <c r="AT304" i="73"/>
  <c r="U304" i="73" s="1"/>
  <c r="BC304" i="73"/>
  <c r="R307" i="73"/>
  <c r="AD270" i="73"/>
  <c r="I270" i="73"/>
  <c r="Y187" i="73"/>
  <c r="Z187" i="73"/>
  <c r="AT295" i="73"/>
  <c r="U295" i="73" s="1"/>
  <c r="U113" i="73"/>
  <c r="AT83" i="73"/>
  <c r="BC83" i="73"/>
  <c r="AD64" i="73"/>
  <c r="I64" i="73"/>
  <c r="AA202" i="73"/>
  <c r="X202" i="73"/>
  <c r="AZ37" i="73"/>
  <c r="AQ37" i="73"/>
  <c r="AS21" i="73"/>
  <c r="AZ110" i="73"/>
  <c r="AQ110" i="73"/>
  <c r="Y305" i="73"/>
  <c r="Z305" i="73"/>
  <c r="BC124" i="73"/>
  <c r="R124" i="73" s="1"/>
  <c r="BB186" i="73"/>
  <c r="AP28" i="73"/>
  <c r="AY28" i="73"/>
  <c r="BC122" i="73"/>
  <c r="R122" i="73" s="1"/>
  <c r="AT122" i="73"/>
  <c r="U122" i="73" s="1"/>
  <c r="I250" i="73"/>
  <c r="AD250" i="73"/>
  <c r="X124" i="73"/>
  <c r="AA124" i="73"/>
  <c r="AQ204" i="73"/>
  <c r="AZ204" i="73"/>
  <c r="AD92" i="73"/>
  <c r="I92" i="73"/>
  <c r="R183" i="73"/>
  <c r="Z21" i="73"/>
  <c r="Y21" i="73"/>
  <c r="BB286" i="73"/>
  <c r="R286" i="73" s="1"/>
  <c r="AS286" i="73"/>
  <c r="U286" i="73" s="1"/>
  <c r="AZ169" i="73"/>
  <c r="AQ169" i="73"/>
  <c r="AD296" i="73"/>
  <c r="I296" i="73"/>
  <c r="AT227" i="73"/>
  <c r="BC179" i="73"/>
  <c r="R179" i="73" s="1"/>
  <c r="AT179" i="73"/>
  <c r="U179" i="73" s="1"/>
  <c r="U280" i="73"/>
  <c r="AA219" i="73"/>
  <c r="X219" i="73"/>
  <c r="BB314" i="73"/>
  <c r="R314" i="73" s="1"/>
  <c r="AS314" i="73"/>
  <c r="U314" i="73" s="1"/>
  <c r="Z72" i="73"/>
  <c r="Y72" i="73"/>
  <c r="AY113" i="73"/>
  <c r="AP113" i="73"/>
  <c r="T113" i="73" s="1"/>
  <c r="V113" i="73" s="1"/>
  <c r="U251" i="73"/>
  <c r="I278" i="73"/>
  <c r="AD278" i="73"/>
  <c r="X244" i="73"/>
  <c r="AA244" i="73"/>
  <c r="X179" i="73"/>
  <c r="AA179" i="73"/>
  <c r="I20" i="73"/>
  <c r="AD20" i="73"/>
  <c r="AD53" i="73"/>
  <c r="I53" i="73"/>
  <c r="AP112" i="73"/>
  <c r="T112" i="73" s="1"/>
  <c r="V112" i="73" s="1"/>
  <c r="AY112" i="73"/>
  <c r="Q112" i="73" s="1"/>
  <c r="G112" i="73" s="1"/>
  <c r="X182" i="73"/>
  <c r="AA182" i="73"/>
  <c r="AY37" i="73"/>
  <c r="Q37" i="73" s="1"/>
  <c r="G37" i="73" s="1"/>
  <c r="AP37" i="73"/>
  <c r="T37" i="73" s="1"/>
  <c r="V37" i="73" s="1"/>
  <c r="AZ101" i="73"/>
  <c r="AQ101" i="73"/>
  <c r="P148" i="73"/>
  <c r="I211" i="73"/>
  <c r="AD211" i="73"/>
  <c r="AS180" i="73"/>
  <c r="AQ73" i="73"/>
  <c r="AZ73" i="73"/>
  <c r="AT251" i="73"/>
  <c r="S93" i="73"/>
  <c r="Z93" i="73"/>
  <c r="Y93" i="73"/>
  <c r="AS93" i="73" s="1"/>
  <c r="U93" i="73" s="1"/>
  <c r="Y196" i="73"/>
  <c r="AS196" i="73" s="1"/>
  <c r="Z196" i="73"/>
  <c r="BC196" i="73" s="1"/>
  <c r="S35" i="73"/>
  <c r="Y35" i="73"/>
  <c r="Z35" i="73"/>
  <c r="P279" i="73"/>
  <c r="I279" i="73"/>
  <c r="AD279" i="73"/>
  <c r="AS227" i="73"/>
  <c r="BC286" i="73"/>
  <c r="BB269" i="73"/>
  <c r="I305" i="73"/>
  <c r="AD305" i="73"/>
  <c r="S270" i="73"/>
  <c r="BC297" i="73"/>
  <c r="P212" i="73"/>
  <c r="Z212" i="73"/>
  <c r="BC212" i="73" s="1"/>
  <c r="Y212" i="73"/>
  <c r="AS212" i="73" s="1"/>
  <c r="I187" i="73"/>
  <c r="AD187" i="73"/>
  <c r="AZ152" i="73"/>
  <c r="AQ152" i="73"/>
  <c r="P243" i="73"/>
  <c r="X314" i="73"/>
  <c r="AA314" i="73"/>
  <c r="AQ113" i="73"/>
  <c r="AZ113" i="73"/>
  <c r="Z260" i="73"/>
  <c r="AT260" i="73" s="1"/>
  <c r="Y260" i="73"/>
  <c r="I220" i="73"/>
  <c r="AD220" i="73"/>
  <c r="U277" i="73"/>
  <c r="Y94" i="73"/>
  <c r="Z94" i="73"/>
  <c r="S278" i="73"/>
  <c r="AD93" i="73"/>
  <c r="I93" i="73"/>
  <c r="BB35" i="73"/>
  <c r="S279" i="73"/>
  <c r="Y271" i="73"/>
  <c r="AS271" i="73" s="1"/>
  <c r="Z271" i="73"/>
  <c r="AT271" i="73" s="1"/>
  <c r="R194" i="73"/>
  <c r="S305" i="73"/>
  <c r="Z81" i="73"/>
  <c r="Y81" i="73"/>
  <c r="BC270" i="73"/>
  <c r="X234" i="73"/>
  <c r="AA234" i="73"/>
  <c r="BC244" i="73"/>
  <c r="R244" i="73" s="1"/>
  <c r="U183" i="73"/>
  <c r="S187" i="73"/>
  <c r="U187" i="73" s="1"/>
  <c r="Z62" i="73"/>
  <c r="Y62" i="73"/>
  <c r="I72" i="73"/>
  <c r="AD72" i="73"/>
  <c r="S243" i="73"/>
  <c r="I243" i="73"/>
  <c r="AD243" i="73"/>
  <c r="I260" i="73"/>
  <c r="AD260" i="73"/>
  <c r="Y84" i="73"/>
  <c r="Z84" i="73"/>
  <c r="BB250" i="73"/>
  <c r="X297" i="73"/>
  <c r="AA297" i="73"/>
  <c r="BC278" i="73"/>
  <c r="AY101" i="73"/>
  <c r="Q101" i="73" s="1"/>
  <c r="G101" i="73" s="1"/>
  <c r="AP101" i="73"/>
  <c r="T101" i="73" s="1"/>
  <c r="V101" i="73" s="1"/>
  <c r="BC148" i="73"/>
  <c r="AQ36" i="73"/>
  <c r="AZ36" i="73"/>
  <c r="AP133" i="73"/>
  <c r="T133" i="73" s="1"/>
  <c r="V133" i="73" s="1"/>
  <c r="AY133" i="73"/>
  <c r="Q133" i="73" s="1"/>
  <c r="G133" i="73" s="1"/>
  <c r="AZ162" i="73"/>
  <c r="AQ162" i="73"/>
  <c r="AP150" i="73"/>
  <c r="AY150" i="73"/>
  <c r="AA29" i="73"/>
  <c r="X29" i="73"/>
  <c r="Z236" i="73"/>
  <c r="AT236" i="73" s="1"/>
  <c r="Y236" i="73"/>
  <c r="BB236" i="73" s="1"/>
  <c r="BC21" i="73"/>
  <c r="BB148" i="73"/>
  <c r="R148" i="73" s="1"/>
  <c r="AD54" i="73"/>
  <c r="I54" i="73"/>
  <c r="BB211" i="73"/>
  <c r="R211" i="73" s="1"/>
  <c r="AP36" i="73"/>
  <c r="T36" i="73" s="1"/>
  <c r="V36" i="73" s="1"/>
  <c r="AY36" i="73"/>
  <c r="Q36" i="73" s="1"/>
  <c r="G36" i="73" s="1"/>
  <c r="AA125" i="73"/>
  <c r="X125" i="73"/>
  <c r="P93" i="73"/>
  <c r="R93" i="73" s="1"/>
  <c r="AT196" i="73"/>
  <c r="AD35" i="73"/>
  <c r="I35" i="73"/>
  <c r="U35" i="73"/>
  <c r="BB279" i="73"/>
  <c r="R279" i="73" s="1"/>
  <c r="Z261" i="73"/>
  <c r="BC261" i="73" s="1"/>
  <c r="Y261" i="73"/>
  <c r="BB261" i="73" s="1"/>
  <c r="S227" i="73"/>
  <c r="Y227" i="73"/>
  <c r="Z227" i="73"/>
  <c r="BC227" i="73" s="1"/>
  <c r="AD271" i="73"/>
  <c r="I271" i="73"/>
  <c r="BB288" i="73"/>
  <c r="R288" i="73" s="1"/>
  <c r="BC305" i="73"/>
  <c r="AS270" i="73"/>
  <c r="U270" i="73" s="1"/>
  <c r="AQ71" i="73"/>
  <c r="AZ71" i="73"/>
  <c r="AD212" i="73"/>
  <c r="I212" i="73"/>
  <c r="BC187" i="73"/>
  <c r="Z85" i="73"/>
  <c r="Y85" i="73"/>
  <c r="Z91" i="73"/>
  <c r="AT91" i="73" s="1"/>
  <c r="Y91" i="73"/>
  <c r="Z268" i="73"/>
  <c r="AT268" i="73" s="1"/>
  <c r="U268" i="73" s="1"/>
  <c r="Y268" i="73"/>
  <c r="BB268" i="73" s="1"/>
  <c r="BC220" i="73"/>
  <c r="BC298" i="73"/>
  <c r="R298" i="73" s="1"/>
  <c r="X251" i="73"/>
  <c r="AA251" i="73"/>
  <c r="AD94" i="73"/>
  <c r="I94" i="73"/>
  <c r="BB278" i="73"/>
  <c r="AT21" i="73"/>
  <c r="U21" i="73" s="1"/>
  <c r="Z54" i="73"/>
  <c r="Y54" i="73"/>
  <c r="Y180" i="73"/>
  <c r="BB180" i="73" s="1"/>
  <c r="R180" i="73" s="1"/>
  <c r="Z180" i="73"/>
  <c r="AT180" i="73" s="1"/>
  <c r="X210" i="73"/>
  <c r="AA210" i="73"/>
  <c r="AP162" i="73"/>
  <c r="T162" i="73" s="1"/>
  <c r="V162" i="73" s="1"/>
  <c r="AY162" i="73"/>
  <c r="Q162" i="73" s="1"/>
  <c r="G162" i="73" s="1"/>
  <c r="AQ150" i="73"/>
  <c r="AZ150" i="73"/>
  <c r="Y47" i="73"/>
  <c r="Z47" i="73"/>
  <c r="AD75" i="73"/>
  <c r="I75" i="73"/>
  <c r="X298" i="73"/>
  <c r="AA298" i="73"/>
  <c r="X286" i="73"/>
  <c r="AA286" i="73"/>
  <c r="X306" i="73"/>
  <c r="AA306" i="73"/>
  <c r="P21" i="73"/>
  <c r="AS148" i="73"/>
  <c r="U148" i="73" s="1"/>
  <c r="I180" i="73"/>
  <c r="AD180" i="73"/>
  <c r="AY195" i="73"/>
  <c r="AP195" i="73"/>
  <c r="BC93" i="73"/>
  <c r="Z262" i="73"/>
  <c r="BC262" i="73" s="1"/>
  <c r="Y262" i="73"/>
  <c r="BB262" i="73" s="1"/>
  <c r="R262" i="73" s="1"/>
  <c r="P35" i="73"/>
  <c r="BC279" i="73"/>
  <c r="AD227" i="73"/>
  <c r="I227" i="73"/>
  <c r="U227" i="73"/>
  <c r="AZ203" i="73"/>
  <c r="AQ203" i="73"/>
  <c r="P269" i="73"/>
  <c r="AS269" i="73"/>
  <c r="BB305" i="73"/>
  <c r="R305" i="73" s="1"/>
  <c r="AD81" i="73"/>
  <c r="I81" i="73"/>
  <c r="AY71" i="73"/>
  <c r="Q71" i="73" s="1"/>
  <c r="G71" i="73" s="1"/>
  <c r="AP71" i="73"/>
  <c r="T71" i="73" s="1"/>
  <c r="V71" i="73" s="1"/>
  <c r="P186" i="73"/>
  <c r="Z186" i="73"/>
  <c r="AT186" i="73" s="1"/>
  <c r="Y186" i="73"/>
  <c r="AS186" i="73" s="1"/>
  <c r="BB187" i="73"/>
  <c r="R187" i="73" s="1"/>
  <c r="AD62" i="73"/>
  <c r="I62" i="73"/>
  <c r="AS242" i="73"/>
  <c r="BB243" i="73"/>
  <c r="AP171" i="73"/>
  <c r="AY171" i="73"/>
  <c r="AZ95" i="73"/>
  <c r="AQ95" i="73"/>
  <c r="AQ45" i="73"/>
  <c r="AZ45" i="73"/>
  <c r="AS182" i="73"/>
  <c r="U182" i="73" s="1"/>
  <c r="BC260" i="73"/>
  <c r="P268" i="73"/>
  <c r="AS268" i="73"/>
  <c r="AD84" i="73"/>
  <c r="I84" i="73"/>
  <c r="AZ102" i="73"/>
  <c r="AQ102" i="73"/>
  <c r="AA288" i="73"/>
  <c r="X288" i="73"/>
  <c r="AA304" i="73"/>
  <c r="X304" i="73"/>
  <c r="AY104" i="73"/>
  <c r="AP104" i="73"/>
  <c r="AQ103" i="73"/>
  <c r="AZ103" i="73"/>
  <c r="AT278" i="73"/>
  <c r="X280" i="73"/>
  <c r="AA280" i="73"/>
  <c r="Y64" i="73"/>
  <c r="Z64" i="73"/>
  <c r="AZ27" i="73"/>
  <c r="AQ27" i="73"/>
  <c r="BB21" i="73"/>
  <c r="AD21" i="73"/>
  <c r="I21" i="73"/>
  <c r="AT148" i="73"/>
  <c r="Y235" i="73"/>
  <c r="BB235" i="73" s="1"/>
  <c r="Z235" i="73"/>
  <c r="AT235" i="73" s="1"/>
  <c r="Z55" i="73"/>
  <c r="AT55" i="73" s="1"/>
  <c r="Y55" i="73"/>
  <c r="AQ46" i="73"/>
  <c r="AZ46" i="73"/>
  <c r="AZ195" i="73"/>
  <c r="AQ195" i="73"/>
  <c r="X183" i="73"/>
  <c r="AA183" i="73"/>
  <c r="X295" i="73"/>
  <c r="AA295" i="73"/>
  <c r="BB93" i="73"/>
  <c r="I196" i="73"/>
  <c r="AD196" i="73"/>
  <c r="AT262" i="73"/>
  <c r="BC35" i="73"/>
  <c r="R35" i="73" s="1"/>
  <c r="Z160" i="73"/>
  <c r="AT160" i="73" s="1"/>
  <c r="Y160" i="73"/>
  <c r="BB160" i="73" s="1"/>
  <c r="AT279" i="73"/>
  <c r="AD261" i="73"/>
  <c r="I261" i="73"/>
  <c r="Z296" i="73"/>
  <c r="AT296" i="73" s="1"/>
  <c r="Y296" i="73"/>
  <c r="BB296" i="73" s="1"/>
  <c r="AY154" i="73"/>
  <c r="AP154" i="73"/>
  <c r="Z287" i="73"/>
  <c r="AT287" i="73" s="1"/>
  <c r="Y287" i="73"/>
  <c r="AS287" i="73" s="1"/>
  <c r="AY203" i="73"/>
  <c r="AP203" i="73"/>
  <c r="T203" i="73" s="1"/>
  <c r="V203" i="73" s="1"/>
  <c r="R228" i="73"/>
  <c r="Z269" i="73"/>
  <c r="BC269" i="73" s="1"/>
  <c r="Y269" i="73"/>
  <c r="AT305" i="73"/>
  <c r="Y270" i="73"/>
  <c r="BB270" i="73" s="1"/>
  <c r="Z270" i="73"/>
  <c r="X39" i="73"/>
  <c r="AA39" i="73"/>
  <c r="AA181" i="73"/>
  <c r="X181" i="73"/>
  <c r="BB251" i="73"/>
  <c r="R251" i="73" s="1"/>
  <c r="AP170" i="73"/>
  <c r="T170" i="73" s="1"/>
  <c r="V170" i="73" s="1"/>
  <c r="AY170" i="73"/>
  <c r="Q170" i="73" s="1"/>
  <c r="G170" i="73" s="1"/>
  <c r="AT187" i="73"/>
  <c r="P242" i="73"/>
  <c r="X83" i="73"/>
  <c r="AA83" i="73"/>
  <c r="AD85" i="73"/>
  <c r="I85" i="73"/>
  <c r="AD91" i="73"/>
  <c r="I91" i="73"/>
  <c r="AQ171" i="73"/>
  <c r="AZ171" i="73"/>
  <c r="AP95" i="73"/>
  <c r="T95" i="73" s="1"/>
  <c r="V95" i="73" s="1"/>
  <c r="AY95" i="73"/>
  <c r="X252" i="73"/>
  <c r="AA252" i="73"/>
  <c r="AP45" i="73"/>
  <c r="T45" i="73" s="1"/>
  <c r="V45" i="73" s="1"/>
  <c r="AY45" i="73"/>
  <c r="Q45" i="73" s="1"/>
  <c r="G45" i="73" s="1"/>
  <c r="X307" i="73"/>
  <c r="AA307" i="73"/>
  <c r="BB260" i="73"/>
  <c r="R260" i="73" s="1"/>
  <c r="Y220" i="73"/>
  <c r="AS220" i="73" s="1"/>
  <c r="U220" i="73" s="1"/>
  <c r="Z220" i="73"/>
  <c r="S250" i="73"/>
  <c r="AY102" i="73"/>
  <c r="AP102" i="73"/>
  <c r="AP111" i="73"/>
  <c r="AY111" i="73"/>
  <c r="Q111" i="73" s="1"/>
  <c r="G111" i="73" s="1"/>
  <c r="Y74" i="73"/>
  <c r="Z74" i="73"/>
  <c r="AQ104" i="73"/>
  <c r="AZ104" i="73"/>
  <c r="AP103" i="73"/>
  <c r="AY103" i="73"/>
  <c r="AP158" i="73"/>
  <c r="AY158" i="73"/>
  <c r="Q158" i="73" s="1"/>
  <c r="G158" i="73" s="1"/>
  <c r="I236" i="73"/>
  <c r="AD236" i="73"/>
  <c r="AP204" i="73"/>
  <c r="T204" i="73" s="1"/>
  <c r="V204" i="73" s="1"/>
  <c r="AY204" i="73"/>
  <c r="Q204" i="73" s="1"/>
  <c r="G204" i="73" s="1"/>
  <c r="AD47" i="73"/>
  <c r="I47" i="73"/>
  <c r="AZ158" i="73"/>
  <c r="AQ158" i="73"/>
  <c r="AA185" i="73"/>
  <c r="X185" i="73"/>
  <c r="AP27" i="73"/>
  <c r="AY27" i="73"/>
  <c r="Q27" i="73" s="1"/>
  <c r="G27" i="73" s="1"/>
  <c r="AD235" i="73"/>
  <c r="I235" i="73"/>
  <c r="AS211" i="73"/>
  <c r="BC180" i="73"/>
  <c r="AY46" i="73"/>
  <c r="Q46" i="73" s="1"/>
  <c r="G46" i="73" s="1"/>
  <c r="AP46" i="73"/>
  <c r="T46" i="73" s="1"/>
  <c r="V46" i="73" s="1"/>
  <c r="AP169" i="73"/>
  <c r="T169" i="73" s="1"/>
  <c r="V169" i="73" s="1"/>
  <c r="AY169" i="73"/>
  <c r="Q169" i="73" s="1"/>
  <c r="G169" i="73" s="1"/>
  <c r="AA259" i="73"/>
  <c r="X259" i="73"/>
  <c r="AT93" i="73"/>
  <c r="S196" i="73"/>
  <c r="AS262" i="73"/>
  <c r="AS35" i="73"/>
  <c r="AD160" i="73"/>
  <c r="I160" i="73"/>
  <c r="AS279" i="73"/>
  <c r="U279" i="73" s="1"/>
  <c r="P261" i="73"/>
  <c r="P296" i="73"/>
  <c r="BB227" i="73"/>
  <c r="R227" i="73" s="1"/>
  <c r="AQ154" i="73"/>
  <c r="AZ154" i="73"/>
  <c r="BB271" i="73"/>
  <c r="AD287" i="73"/>
  <c r="I287" i="73"/>
  <c r="X218" i="73"/>
  <c r="AA218" i="73"/>
  <c r="AD269" i="73"/>
  <c r="I269" i="73"/>
  <c r="AS305" i="73"/>
  <c r="P270" i="73"/>
  <c r="AT270" i="73"/>
  <c r="X313" i="73"/>
  <c r="AA313" i="73"/>
  <c r="AA228" i="73"/>
  <c r="X228" i="73"/>
  <c r="AZ170" i="73"/>
  <c r="AQ170" i="73"/>
  <c r="BB212" i="73"/>
  <c r="I186" i="73"/>
  <c r="AD186" i="73"/>
  <c r="AS187" i="73"/>
  <c r="S242" i="73"/>
  <c r="Z242" i="73"/>
  <c r="BC242" i="73" s="1"/>
  <c r="Y242" i="73"/>
  <c r="BB242" i="73" s="1"/>
  <c r="AZ28" i="73"/>
  <c r="AQ28" i="73"/>
  <c r="Y243" i="73"/>
  <c r="AS243" i="73" s="1"/>
  <c r="U243" i="73" s="1"/>
  <c r="Z243" i="73"/>
  <c r="BC243" i="73" s="1"/>
  <c r="Z63" i="73"/>
  <c r="AT63" i="73" s="1"/>
  <c r="Y63" i="73"/>
  <c r="AS63" i="73" s="1"/>
  <c r="Z92" i="73"/>
  <c r="Y92" i="73"/>
  <c r="AS260" i="73"/>
  <c r="U260" i="73" s="1"/>
  <c r="I268" i="73"/>
  <c r="AD268" i="73"/>
  <c r="AT220" i="73"/>
  <c r="Y250" i="73"/>
  <c r="AS250" i="73" s="1"/>
  <c r="Z250" i="73"/>
  <c r="BC250" i="73" s="1"/>
  <c r="X321" i="73"/>
  <c r="AA321" i="73"/>
  <c r="AZ111" i="73"/>
  <c r="AQ111" i="73"/>
  <c r="AD74" i="73"/>
  <c r="I74" i="73"/>
  <c r="P278" i="73"/>
  <c r="AS278" i="73"/>
  <c r="U278" i="73" s="1"/>
  <c r="AZ135" i="73"/>
  <c r="AQ135" i="73"/>
  <c r="AP139" i="73"/>
  <c r="AY139" i="73"/>
  <c r="AQ137" i="73"/>
  <c r="AZ137" i="73"/>
  <c r="AZ141" i="73"/>
  <c r="AQ141" i="73"/>
  <c r="AY135" i="73"/>
  <c r="Q135" i="73" s="1"/>
  <c r="G135" i="73" s="1"/>
  <c r="AP135" i="73"/>
  <c r="T135" i="73" s="1"/>
  <c r="V135" i="73" s="1"/>
  <c r="AP137" i="73"/>
  <c r="T137" i="73" s="1"/>
  <c r="V137" i="73" s="1"/>
  <c r="AY137" i="73"/>
  <c r="AY141" i="73"/>
  <c r="AP141" i="73"/>
  <c r="AQ139" i="73"/>
  <c r="AZ139" i="73"/>
  <c r="U39" i="73"/>
  <c r="S92" i="73"/>
  <c r="P82" i="73"/>
  <c r="R39" i="73"/>
  <c r="P54" i="73"/>
  <c r="P53" i="73"/>
  <c r="P75" i="73"/>
  <c r="S63" i="73"/>
  <c r="S64" i="73"/>
  <c r="S47" i="73"/>
  <c r="P72" i="73"/>
  <c r="P91" i="73"/>
  <c r="S91" i="73"/>
  <c r="P85" i="73"/>
  <c r="S53" i="73"/>
  <c r="AT54" i="73"/>
  <c r="AT84" i="73"/>
  <c r="AT82" i="73"/>
  <c r="BB91" i="73"/>
  <c r="BB55" i="73"/>
  <c r="S54" i="73"/>
  <c r="BB54" i="73"/>
  <c r="P62" i="73"/>
  <c r="BC62" i="73"/>
  <c r="P94" i="73"/>
  <c r="BC94" i="73"/>
  <c r="BB92" i="73"/>
  <c r="AS47" i="73"/>
  <c r="S75" i="73"/>
  <c r="BB75" i="73"/>
  <c r="P64" i="73"/>
  <c r="BC64" i="73"/>
  <c r="P81" i="73"/>
  <c r="BB81" i="73"/>
  <c r="S84" i="73"/>
  <c r="BC84" i="73"/>
  <c r="BB82" i="73"/>
  <c r="P74" i="73"/>
  <c r="BC74" i="73"/>
  <c r="R83" i="73"/>
  <c r="AS53" i="73"/>
  <c r="AT20" i="73"/>
  <c r="AT72" i="73"/>
  <c r="BB85" i="73"/>
  <c r="P55" i="73"/>
  <c r="AS75" i="73"/>
  <c r="AT64" i="73"/>
  <c r="AS81" i="73"/>
  <c r="BC20" i="73"/>
  <c r="BB72" i="73"/>
  <c r="AS54" i="73"/>
  <c r="AT62" i="73"/>
  <c r="BB94" i="73"/>
  <c r="AT92" i="73"/>
  <c r="P47" i="73"/>
  <c r="AT47" i="73"/>
  <c r="BC75" i="73"/>
  <c r="BB63" i="73"/>
  <c r="BB64" i="73"/>
  <c r="AT81" i="73"/>
  <c r="BB84" i="73"/>
  <c r="AS82" i="73"/>
  <c r="AT74" i="73"/>
  <c r="BC53" i="73"/>
  <c r="S20" i="73"/>
  <c r="BC72" i="73"/>
  <c r="S85" i="73"/>
  <c r="AT85" i="73"/>
  <c r="AS62" i="73"/>
  <c r="AS94" i="73"/>
  <c r="BC92" i="73"/>
  <c r="BC47" i="73"/>
  <c r="AS74" i="73"/>
  <c r="BB53" i="73"/>
  <c r="BC85" i="73"/>
  <c r="BC54" i="73"/>
  <c r="S62" i="73"/>
  <c r="BB62" i="73"/>
  <c r="S94" i="73"/>
  <c r="AT94" i="73"/>
  <c r="P92" i="73"/>
  <c r="AS92" i="73"/>
  <c r="BB47" i="73"/>
  <c r="AT75" i="73"/>
  <c r="P63" i="73"/>
  <c r="AS64" i="73"/>
  <c r="S81" i="73"/>
  <c r="BC81" i="73"/>
  <c r="P84" i="73"/>
  <c r="AS84" i="73"/>
  <c r="S82" i="73"/>
  <c r="BC82" i="73"/>
  <c r="S74" i="73"/>
  <c r="BB74" i="73"/>
  <c r="AT53" i="73"/>
  <c r="AS91" i="73"/>
  <c r="P20" i="73"/>
  <c r="S72" i="73"/>
  <c r="AS72" i="73"/>
  <c r="AS85" i="73"/>
  <c r="S55" i="73"/>
  <c r="AS55" i="73"/>
  <c r="U196" i="73" l="1"/>
  <c r="R270" i="73"/>
  <c r="R278" i="73"/>
  <c r="R243" i="73"/>
  <c r="U271" i="73"/>
  <c r="U180" i="73"/>
  <c r="U242" i="73"/>
  <c r="R250" i="73"/>
  <c r="U287" i="73"/>
  <c r="U186" i="73"/>
  <c r="AY182" i="73"/>
  <c r="AP182" i="73"/>
  <c r="X242" i="73"/>
  <c r="AA242" i="73"/>
  <c r="U64" i="73"/>
  <c r="AA269" i="73"/>
  <c r="X269" i="73"/>
  <c r="X287" i="73"/>
  <c r="AA287" i="73"/>
  <c r="AS296" i="73"/>
  <c r="U296" i="73" s="1"/>
  <c r="T27" i="73"/>
  <c r="V27" i="73" s="1"/>
  <c r="T158" i="73"/>
  <c r="V158" i="73" s="1"/>
  <c r="T111" i="73"/>
  <c r="V111" i="73" s="1"/>
  <c r="AQ307" i="73"/>
  <c r="AZ307" i="73"/>
  <c r="AZ83" i="73"/>
  <c r="AQ83" i="73"/>
  <c r="Q203" i="73"/>
  <c r="G203" i="73" s="1"/>
  <c r="AQ183" i="73"/>
  <c r="AZ183" i="73"/>
  <c r="AY298" i="73"/>
  <c r="AP298" i="73"/>
  <c r="AT250" i="73"/>
  <c r="U250" i="73" s="1"/>
  <c r="AS235" i="73"/>
  <c r="U235" i="73" s="1"/>
  <c r="AA260" i="73"/>
  <c r="X260" i="73"/>
  <c r="R212" i="73"/>
  <c r="AZ244" i="73"/>
  <c r="AQ244" i="73"/>
  <c r="AP219" i="73"/>
  <c r="T219" i="73" s="1"/>
  <c r="V219" i="73" s="1"/>
  <c r="AY219" i="73"/>
  <c r="Q219" i="73" s="1"/>
  <c r="G219" i="73" s="1"/>
  <c r="X92" i="73"/>
  <c r="AA92" i="73"/>
  <c r="AT212" i="73"/>
  <c r="U212" i="73" s="1"/>
  <c r="BC235" i="73"/>
  <c r="R235" i="73" s="1"/>
  <c r="Q152" i="73"/>
  <c r="G152" i="73" s="1"/>
  <c r="BB196" i="73"/>
  <c r="R196" i="73" s="1"/>
  <c r="U185" i="73"/>
  <c r="R304" i="73"/>
  <c r="AZ123" i="73"/>
  <c r="AQ123" i="73"/>
  <c r="AP295" i="73"/>
  <c r="AY295" i="73"/>
  <c r="AZ298" i="73"/>
  <c r="AQ298" i="73"/>
  <c r="AY179" i="73"/>
  <c r="AP179" i="73"/>
  <c r="BC55" i="73"/>
  <c r="BC91" i="73"/>
  <c r="U63" i="73"/>
  <c r="AQ321" i="73"/>
  <c r="AZ321" i="73"/>
  <c r="X268" i="73"/>
  <c r="AA268" i="73"/>
  <c r="AQ218" i="73"/>
  <c r="AZ218" i="73"/>
  <c r="AA160" i="73"/>
  <c r="X160" i="73"/>
  <c r="AP259" i="73"/>
  <c r="AY259" i="73"/>
  <c r="AP185" i="73"/>
  <c r="T185" i="73" s="1"/>
  <c r="V185" i="73" s="1"/>
  <c r="AY185" i="73"/>
  <c r="Q185" i="73" s="1"/>
  <c r="G185" i="73" s="1"/>
  <c r="Q103" i="73"/>
  <c r="G103" i="73" s="1"/>
  <c r="T102" i="73"/>
  <c r="V102" i="73" s="1"/>
  <c r="AY307" i="73"/>
  <c r="AP307" i="73"/>
  <c r="T307" i="73" s="1"/>
  <c r="V307" i="73" s="1"/>
  <c r="AY83" i="73"/>
  <c r="AP83" i="73"/>
  <c r="AP183" i="73"/>
  <c r="T183" i="73" s="1"/>
  <c r="V183" i="73" s="1"/>
  <c r="AY183" i="73"/>
  <c r="Q183" i="73" s="1"/>
  <c r="G183" i="73" s="1"/>
  <c r="T104" i="73"/>
  <c r="V104" i="73" s="1"/>
  <c r="Q171" i="73"/>
  <c r="G171" i="73" s="1"/>
  <c r="AA62" i="73"/>
  <c r="X62" i="73"/>
  <c r="R269" i="73"/>
  <c r="AZ210" i="73"/>
  <c r="AQ210" i="73"/>
  <c r="AP125" i="73"/>
  <c r="AY125" i="73"/>
  <c r="AS236" i="73"/>
  <c r="U236" i="73" s="1"/>
  <c r="AA72" i="73"/>
  <c r="X72" i="73"/>
  <c r="AY244" i="73"/>
  <c r="Q244" i="73" s="1"/>
  <c r="G244" i="73" s="1"/>
  <c r="AP244" i="73"/>
  <c r="T244" i="73" s="1"/>
  <c r="V244" i="73" s="1"/>
  <c r="Q113" i="73"/>
  <c r="G113" i="73" s="1"/>
  <c r="AQ219" i="73"/>
  <c r="AZ219" i="73"/>
  <c r="X64" i="73"/>
  <c r="AA64" i="73"/>
  <c r="BC236" i="73"/>
  <c r="R236" i="73" s="1"/>
  <c r="BC287" i="73"/>
  <c r="BC160" i="73"/>
  <c r="R160" i="73" s="1"/>
  <c r="AZ226" i="73"/>
  <c r="AQ226" i="73"/>
  <c r="AQ289" i="73"/>
  <c r="AZ289" i="73"/>
  <c r="AA55" i="73"/>
  <c r="X55" i="73"/>
  <c r="AY123" i="73"/>
  <c r="Q123" i="73" s="1"/>
  <c r="G123" i="73" s="1"/>
  <c r="AP123" i="73"/>
  <c r="T123" i="73" s="1"/>
  <c r="V123" i="73" s="1"/>
  <c r="AA85" i="73"/>
  <c r="X85" i="73"/>
  <c r="X270" i="73"/>
  <c r="AA270" i="73"/>
  <c r="AP122" i="73"/>
  <c r="AY122" i="73"/>
  <c r="BB20" i="73"/>
  <c r="R75" i="73"/>
  <c r="AP321" i="73"/>
  <c r="T321" i="73" s="1"/>
  <c r="V321" i="73" s="1"/>
  <c r="AY321" i="73"/>
  <c r="Q321" i="73" s="1"/>
  <c r="G321" i="73" s="1"/>
  <c r="AY218" i="73"/>
  <c r="AP218" i="73"/>
  <c r="R261" i="73"/>
  <c r="AQ259" i="73"/>
  <c r="AZ259" i="73"/>
  <c r="AZ185" i="73"/>
  <c r="AQ185" i="73"/>
  <c r="T103" i="73"/>
  <c r="V103" i="73" s="1"/>
  <c r="Q102" i="73"/>
  <c r="G102" i="73" s="1"/>
  <c r="R242" i="73"/>
  <c r="AP181" i="73"/>
  <c r="T181" i="73" s="1"/>
  <c r="V181" i="73" s="1"/>
  <c r="AY181" i="73"/>
  <c r="Q181" i="73" s="1"/>
  <c r="G181" i="73" s="1"/>
  <c r="AA196" i="73"/>
  <c r="X196" i="73"/>
  <c r="AT211" i="73"/>
  <c r="U211" i="73" s="1"/>
  <c r="Q104" i="73"/>
  <c r="G104" i="73" s="1"/>
  <c r="T171" i="73"/>
  <c r="V171" i="73" s="1"/>
  <c r="X180" i="73"/>
  <c r="AA180" i="73"/>
  <c r="R21" i="73"/>
  <c r="AA75" i="73"/>
  <c r="X75" i="73"/>
  <c r="AY210" i="73"/>
  <c r="AP210" i="73"/>
  <c r="AT242" i="73"/>
  <c r="AA271" i="73"/>
  <c r="X271" i="73"/>
  <c r="AZ125" i="73"/>
  <c r="AQ125" i="73"/>
  <c r="X54" i="73"/>
  <c r="AA54" i="73"/>
  <c r="AY29" i="73"/>
  <c r="AP29" i="73"/>
  <c r="BC296" i="73"/>
  <c r="R296" i="73" s="1"/>
  <c r="AA93" i="73"/>
  <c r="X93" i="73"/>
  <c r="AA187" i="73"/>
  <c r="X187" i="73"/>
  <c r="BB287" i="73"/>
  <c r="AT261" i="73"/>
  <c r="X211" i="73"/>
  <c r="AA211" i="73"/>
  <c r="AT269" i="73"/>
  <c r="U269" i="73" s="1"/>
  <c r="X148" i="73"/>
  <c r="AA148" i="73"/>
  <c r="AY226" i="73"/>
  <c r="AP226" i="73"/>
  <c r="T226" i="73" s="1"/>
  <c r="V226" i="73" s="1"/>
  <c r="BC268" i="73"/>
  <c r="R268" i="73" s="1"/>
  <c r="AP289" i="73"/>
  <c r="T289" i="73" s="1"/>
  <c r="V289" i="73" s="1"/>
  <c r="AY289" i="73"/>
  <c r="Q289" i="73" s="1"/>
  <c r="G289" i="73" s="1"/>
  <c r="AQ194" i="73"/>
  <c r="AZ194" i="73"/>
  <c r="BB220" i="73"/>
  <c r="R220" i="73" s="1"/>
  <c r="BC271" i="73"/>
  <c r="R271" i="73" s="1"/>
  <c r="AQ280" i="73"/>
  <c r="AZ280" i="73"/>
  <c r="AP304" i="73"/>
  <c r="AY304" i="73"/>
  <c r="Q304" i="73" s="1"/>
  <c r="G304" i="73" s="1"/>
  <c r="AA227" i="73"/>
  <c r="X227" i="73"/>
  <c r="AQ306" i="73"/>
  <c r="AZ306" i="73"/>
  <c r="AA212" i="73"/>
  <c r="X212" i="73"/>
  <c r="X35" i="73"/>
  <c r="AA35" i="73"/>
  <c r="AZ29" i="73"/>
  <c r="AQ29" i="73"/>
  <c r="U305" i="73"/>
  <c r="X53" i="73"/>
  <c r="AA53" i="73"/>
  <c r="AQ124" i="73"/>
  <c r="AZ124" i="73"/>
  <c r="AZ184" i="73"/>
  <c r="AQ184" i="73"/>
  <c r="R297" i="73"/>
  <c r="AY194" i="73"/>
  <c r="AP194" i="73"/>
  <c r="AA82" i="73"/>
  <c r="X82" i="73"/>
  <c r="AP39" i="73"/>
  <c r="AY39" i="73"/>
  <c r="R20" i="73"/>
  <c r="AP228" i="73"/>
  <c r="T228" i="73" s="1"/>
  <c r="V228" i="73" s="1"/>
  <c r="AY228" i="73"/>
  <c r="AZ181" i="73"/>
  <c r="AQ181" i="73"/>
  <c r="U91" i="73"/>
  <c r="AZ228" i="73"/>
  <c r="AQ228" i="73"/>
  <c r="AQ252" i="73"/>
  <c r="AZ252" i="73"/>
  <c r="X21" i="73"/>
  <c r="AA21" i="73"/>
  <c r="AP280" i="73"/>
  <c r="T280" i="73" s="1"/>
  <c r="V280" i="73" s="1"/>
  <c r="AY280" i="73"/>
  <c r="Q280" i="73" s="1"/>
  <c r="G280" i="73" s="1"/>
  <c r="AQ304" i="73"/>
  <c r="AZ304" i="73"/>
  <c r="AA84" i="73"/>
  <c r="X84" i="73"/>
  <c r="AA81" i="73"/>
  <c r="X81" i="73"/>
  <c r="AP306" i="73"/>
  <c r="T306" i="73" s="1"/>
  <c r="V306" i="73" s="1"/>
  <c r="AY306" i="73"/>
  <c r="Q306" i="73" s="1"/>
  <c r="G306" i="73" s="1"/>
  <c r="X94" i="73"/>
  <c r="AA94" i="73"/>
  <c r="Q150" i="73"/>
  <c r="G150" i="73" s="1"/>
  <c r="AS261" i="73"/>
  <c r="U261" i="73" s="1"/>
  <c r="X20" i="73"/>
  <c r="AA20" i="73"/>
  <c r="X278" i="73"/>
  <c r="AA278" i="73"/>
  <c r="AP124" i="73"/>
  <c r="AY124" i="73"/>
  <c r="Q124" i="73" s="1"/>
  <c r="G124" i="73" s="1"/>
  <c r="Q28" i="73"/>
  <c r="G28" i="73" s="1"/>
  <c r="T110" i="73"/>
  <c r="V110" i="73" s="1"/>
  <c r="AY184" i="73"/>
  <c r="Q184" i="73" s="1"/>
  <c r="G184" i="73" s="1"/>
  <c r="AP184" i="73"/>
  <c r="T184" i="73" s="1"/>
  <c r="V184" i="73" s="1"/>
  <c r="X91" i="73"/>
  <c r="AA91" i="73"/>
  <c r="Q141" i="73"/>
  <c r="G141" i="73" s="1"/>
  <c r="X186" i="73"/>
  <c r="AA186" i="73"/>
  <c r="AQ313" i="73"/>
  <c r="AZ313" i="73"/>
  <c r="AA236" i="73"/>
  <c r="X236" i="73"/>
  <c r="AP252" i="73"/>
  <c r="T252" i="73" s="1"/>
  <c r="V252" i="73" s="1"/>
  <c r="AY252" i="73"/>
  <c r="T154" i="73"/>
  <c r="V154" i="73" s="1"/>
  <c r="X261" i="73"/>
  <c r="AA261" i="73"/>
  <c r="AY288" i="73"/>
  <c r="Q288" i="73" s="1"/>
  <c r="G288" i="73" s="1"/>
  <c r="AP288" i="73"/>
  <c r="T288" i="73" s="1"/>
  <c r="V288" i="73" s="1"/>
  <c r="T195" i="73"/>
  <c r="V195" i="73" s="1"/>
  <c r="AQ286" i="73"/>
  <c r="AZ286" i="73"/>
  <c r="AZ251" i="73"/>
  <c r="AQ251" i="73"/>
  <c r="AS160" i="73"/>
  <c r="U160" i="73" s="1"/>
  <c r="T150" i="73"/>
  <c r="V150" i="73" s="1"/>
  <c r="AQ297" i="73"/>
  <c r="AZ297" i="73"/>
  <c r="AZ234" i="73"/>
  <c r="AQ234" i="73"/>
  <c r="AA220" i="73"/>
  <c r="X220" i="73"/>
  <c r="AQ314" i="73"/>
  <c r="AZ314" i="73"/>
  <c r="BC186" i="73"/>
  <c r="R186" i="73" s="1"/>
  <c r="X305" i="73"/>
  <c r="AA305" i="73"/>
  <c r="X296" i="73"/>
  <c r="AA296" i="73"/>
  <c r="T28" i="73"/>
  <c r="V28" i="73" s="1"/>
  <c r="T73" i="73"/>
  <c r="V73" i="73" s="1"/>
  <c r="X262" i="73"/>
  <c r="AA262" i="73"/>
  <c r="AP277" i="73"/>
  <c r="AY277" i="73"/>
  <c r="X63" i="73"/>
  <c r="AA63" i="73"/>
  <c r="X250" i="73"/>
  <c r="AA250" i="73"/>
  <c r="AQ202" i="73"/>
  <c r="AZ202" i="73"/>
  <c r="BC63" i="73"/>
  <c r="Q137" i="73"/>
  <c r="G137" i="73" s="1"/>
  <c r="AA74" i="73"/>
  <c r="X74" i="73"/>
  <c r="AY313" i="73"/>
  <c r="Q313" i="73" s="1"/>
  <c r="G313" i="73" s="1"/>
  <c r="AP313" i="73"/>
  <c r="X235" i="73"/>
  <c r="AA235" i="73"/>
  <c r="X47" i="73"/>
  <c r="AA47" i="73"/>
  <c r="Q95" i="73"/>
  <c r="G95" i="73" s="1"/>
  <c r="AQ39" i="73"/>
  <c r="AZ39" i="73"/>
  <c r="Q154" i="73"/>
  <c r="G154" i="73" s="1"/>
  <c r="AZ295" i="73"/>
  <c r="AQ295" i="73"/>
  <c r="AQ288" i="73"/>
  <c r="AZ288" i="73"/>
  <c r="Q195" i="73"/>
  <c r="G195" i="73" s="1"/>
  <c r="AP286" i="73"/>
  <c r="T286" i="73" s="1"/>
  <c r="V286" i="73" s="1"/>
  <c r="AY286" i="73"/>
  <c r="Q286" i="73" s="1"/>
  <c r="G286" i="73" s="1"/>
  <c r="AY251" i="73"/>
  <c r="AP251" i="73"/>
  <c r="T251" i="73" s="1"/>
  <c r="V251" i="73" s="1"/>
  <c r="AY297" i="73"/>
  <c r="AP297" i="73"/>
  <c r="X243" i="73"/>
  <c r="AA243" i="73"/>
  <c r="AP234" i="73"/>
  <c r="T234" i="73" s="1"/>
  <c r="V234" i="73" s="1"/>
  <c r="AY234" i="73"/>
  <c r="Q234" i="73" s="1"/>
  <c r="G234" i="73" s="1"/>
  <c r="AY314" i="73"/>
  <c r="AP314" i="73"/>
  <c r="T314" i="73" s="1"/>
  <c r="V314" i="73" s="1"/>
  <c r="X279" i="73"/>
  <c r="AA279" i="73"/>
  <c r="AZ182" i="73"/>
  <c r="AQ182" i="73"/>
  <c r="AQ179" i="73"/>
  <c r="AZ179" i="73"/>
  <c r="AP202" i="73"/>
  <c r="AY202" i="73"/>
  <c r="Q73" i="73"/>
  <c r="G73" i="73" s="1"/>
  <c r="Q38" i="73"/>
  <c r="G38" i="73" s="1"/>
  <c r="AZ277" i="73"/>
  <c r="AQ277" i="73"/>
  <c r="AZ122" i="73"/>
  <c r="AQ122" i="73"/>
  <c r="R54" i="73"/>
  <c r="U92" i="73"/>
  <c r="Q139" i="73"/>
  <c r="G139" i="73" s="1"/>
  <c r="T139" i="73"/>
  <c r="V139" i="73" s="1"/>
  <c r="T141" i="73"/>
  <c r="V141" i="73" s="1"/>
  <c r="R82" i="73"/>
  <c r="R72" i="73"/>
  <c r="U53" i="73"/>
  <c r="R53" i="73"/>
  <c r="U47" i="73"/>
  <c r="R91" i="73"/>
  <c r="R85" i="73"/>
  <c r="U82" i="73"/>
  <c r="U62" i="73"/>
  <c r="U20" i="73"/>
  <c r="R64" i="73"/>
  <c r="U54" i="73"/>
  <c r="R84" i="73"/>
  <c r="U74" i="73"/>
  <c r="U94" i="73"/>
  <c r="U85" i="73"/>
  <c r="R47" i="73"/>
  <c r="R74" i="73"/>
  <c r="R81" i="73"/>
  <c r="U75" i="73"/>
  <c r="R62" i="73"/>
  <c r="U72" i="73"/>
  <c r="R63" i="73"/>
  <c r="U55" i="73"/>
  <c r="U81" i="73"/>
  <c r="R92" i="73"/>
  <c r="R55" i="73"/>
  <c r="U84" i="73"/>
  <c r="R94" i="73"/>
  <c r="T125" i="73" l="1"/>
  <c r="V125" i="73" s="1"/>
  <c r="AY92" i="73"/>
  <c r="AP92" i="73"/>
  <c r="AQ260" i="73"/>
  <c r="AZ260" i="73"/>
  <c r="AQ287" i="73"/>
  <c r="AZ287" i="73"/>
  <c r="Q182" i="73"/>
  <c r="G182" i="73" s="1"/>
  <c r="AQ262" i="73"/>
  <c r="AZ262" i="73"/>
  <c r="AQ236" i="73"/>
  <c r="AZ236" i="73"/>
  <c r="AY278" i="73"/>
  <c r="AP278" i="73"/>
  <c r="AY148" i="73"/>
  <c r="AP148" i="73"/>
  <c r="AZ187" i="73"/>
  <c r="AQ187" i="73"/>
  <c r="AZ75" i="73"/>
  <c r="AQ75" i="73"/>
  <c r="AZ268" i="73"/>
  <c r="AQ268" i="73"/>
  <c r="AY269" i="73"/>
  <c r="AP269" i="73"/>
  <c r="AQ243" i="73"/>
  <c r="AZ243" i="73"/>
  <c r="AQ74" i="73"/>
  <c r="AZ74" i="73"/>
  <c r="AP262" i="73"/>
  <c r="T262" i="73" s="1"/>
  <c r="V262" i="73" s="1"/>
  <c r="AY262" i="73"/>
  <c r="T179" i="73"/>
  <c r="V179" i="73" s="1"/>
  <c r="AP287" i="73"/>
  <c r="T287" i="73" s="1"/>
  <c r="V287" i="73" s="1"/>
  <c r="AY287" i="73"/>
  <c r="Q287" i="73" s="1"/>
  <c r="G287" i="73" s="1"/>
  <c r="T297" i="73"/>
  <c r="V297" i="73" s="1"/>
  <c r="AP250" i="73"/>
  <c r="AY250" i="73"/>
  <c r="AZ261" i="73"/>
  <c r="AQ261" i="73"/>
  <c r="AP20" i="73"/>
  <c r="AY20" i="73"/>
  <c r="AP81" i="73"/>
  <c r="AY81" i="73"/>
  <c r="Q81" i="73" s="1"/>
  <c r="G81" i="73" s="1"/>
  <c r="AZ21" i="73"/>
  <c r="AQ21" i="73"/>
  <c r="Q39" i="73"/>
  <c r="G39" i="73" s="1"/>
  <c r="AZ35" i="73"/>
  <c r="AQ35" i="73"/>
  <c r="AZ211" i="73"/>
  <c r="AQ211" i="73"/>
  <c r="AZ93" i="73"/>
  <c r="AQ93" i="73"/>
  <c r="AP271" i="73"/>
  <c r="AY271" i="73"/>
  <c r="Q271" i="73" s="1"/>
  <c r="G271" i="73" s="1"/>
  <c r="AQ180" i="73"/>
  <c r="AZ180" i="73"/>
  <c r="Q122" i="73"/>
  <c r="G122" i="73" s="1"/>
  <c r="Q179" i="73"/>
  <c r="G179" i="73" s="1"/>
  <c r="AP279" i="73"/>
  <c r="AY279" i="73"/>
  <c r="Q297" i="73"/>
  <c r="G297" i="73" s="1"/>
  <c r="AY47" i="73"/>
  <c r="AP47" i="73"/>
  <c r="AP220" i="73"/>
  <c r="AY220" i="73"/>
  <c r="AY261" i="73"/>
  <c r="Q261" i="73" s="1"/>
  <c r="G261" i="73" s="1"/>
  <c r="AP261" i="73"/>
  <c r="T261" i="73" s="1"/>
  <c r="V261" i="73" s="1"/>
  <c r="AZ186" i="73"/>
  <c r="AQ186" i="73"/>
  <c r="AQ81" i="73"/>
  <c r="AZ81" i="73"/>
  <c r="AY21" i="73"/>
  <c r="Q21" i="73" s="1"/>
  <c r="G21" i="73" s="1"/>
  <c r="AP21" i="73"/>
  <c r="T39" i="73"/>
  <c r="V39" i="73" s="1"/>
  <c r="AP35" i="73"/>
  <c r="T35" i="73" s="1"/>
  <c r="V35" i="73" s="1"/>
  <c r="AY35" i="73"/>
  <c r="Q35" i="73" s="1"/>
  <c r="G35" i="73" s="1"/>
  <c r="T304" i="73"/>
  <c r="V304" i="73" s="1"/>
  <c r="AY211" i="73"/>
  <c r="Q211" i="73" s="1"/>
  <c r="G211" i="73" s="1"/>
  <c r="AP211" i="73"/>
  <c r="AQ271" i="73"/>
  <c r="AZ271" i="73"/>
  <c r="AP180" i="73"/>
  <c r="T180" i="73" s="1"/>
  <c r="V180" i="73" s="1"/>
  <c r="AY180" i="73"/>
  <c r="Q180" i="73" s="1"/>
  <c r="G180" i="73" s="1"/>
  <c r="T218" i="73"/>
  <c r="V218" i="73" s="1"/>
  <c r="T122" i="73"/>
  <c r="V122" i="73" s="1"/>
  <c r="AP55" i="73"/>
  <c r="AY55" i="73"/>
  <c r="T83" i="73"/>
  <c r="V83" i="73" s="1"/>
  <c r="Q259" i="73"/>
  <c r="G259" i="73" s="1"/>
  <c r="AY268" i="73"/>
  <c r="Q268" i="73" s="1"/>
  <c r="G268" i="73" s="1"/>
  <c r="AP268" i="73"/>
  <c r="T268" i="73" s="1"/>
  <c r="V268" i="73" s="1"/>
  <c r="T298" i="73"/>
  <c r="V298" i="73" s="1"/>
  <c r="AZ269" i="73"/>
  <c r="AQ269" i="73"/>
  <c r="AY186" i="73"/>
  <c r="AP186" i="73"/>
  <c r="T186" i="73" s="1"/>
  <c r="V186" i="73" s="1"/>
  <c r="AP84" i="73"/>
  <c r="AY84" i="73"/>
  <c r="AY82" i="73"/>
  <c r="AP82" i="73"/>
  <c r="AP212" i="73"/>
  <c r="AY212" i="73"/>
  <c r="T29" i="73"/>
  <c r="V29" i="73" s="1"/>
  <c r="Q218" i="73"/>
  <c r="G218" i="73" s="1"/>
  <c r="AZ270" i="73"/>
  <c r="AQ270" i="73"/>
  <c r="AQ55" i="73"/>
  <c r="AZ55" i="73"/>
  <c r="AZ64" i="73"/>
  <c r="AQ64" i="73"/>
  <c r="AP72" i="73"/>
  <c r="AY72" i="73"/>
  <c r="Q72" i="73" s="1"/>
  <c r="G72" i="73" s="1"/>
  <c r="AY62" i="73"/>
  <c r="AP62" i="73"/>
  <c r="T62" i="73" s="1"/>
  <c r="V62" i="73" s="1"/>
  <c r="Q83" i="73"/>
  <c r="G83" i="73" s="1"/>
  <c r="T259" i="73"/>
  <c r="V259" i="73" s="1"/>
  <c r="Q298" i="73"/>
  <c r="G298" i="73" s="1"/>
  <c r="AP74" i="73"/>
  <c r="T74" i="73" s="1"/>
  <c r="V74" i="73" s="1"/>
  <c r="AY74" i="73"/>
  <c r="Q74" i="73" s="1"/>
  <c r="G74" i="73" s="1"/>
  <c r="AP91" i="73"/>
  <c r="AY91" i="73"/>
  <c r="AY227" i="73"/>
  <c r="AP227" i="73"/>
  <c r="AZ196" i="73"/>
  <c r="AQ196" i="73"/>
  <c r="AZ250" i="73"/>
  <c r="AQ250" i="73"/>
  <c r="AZ20" i="73"/>
  <c r="AQ20" i="73"/>
  <c r="AZ227" i="73"/>
  <c r="AQ227" i="73"/>
  <c r="AY93" i="73"/>
  <c r="Q93" i="73" s="1"/>
  <c r="G93" i="73" s="1"/>
  <c r="AP93" i="73"/>
  <c r="T93" i="73" s="1"/>
  <c r="V93" i="73" s="1"/>
  <c r="AZ279" i="73"/>
  <c r="AQ279" i="73"/>
  <c r="AQ235" i="73"/>
  <c r="AZ235" i="73"/>
  <c r="AQ63" i="73"/>
  <c r="AZ63" i="73"/>
  <c r="AQ220" i="73"/>
  <c r="AZ220" i="73"/>
  <c r="T202" i="73"/>
  <c r="V202" i="73" s="1"/>
  <c r="Q314" i="73"/>
  <c r="G314" i="73" s="1"/>
  <c r="Q251" i="73"/>
  <c r="G251" i="73" s="1"/>
  <c r="AY235" i="73"/>
  <c r="Q235" i="73" s="1"/>
  <c r="G235" i="73" s="1"/>
  <c r="AP235" i="73"/>
  <c r="T235" i="73" s="1"/>
  <c r="V235" i="73" s="1"/>
  <c r="AY63" i="73"/>
  <c r="Q63" i="73" s="1"/>
  <c r="G63" i="73" s="1"/>
  <c r="AP63" i="73"/>
  <c r="AP296" i="73"/>
  <c r="AY296" i="73"/>
  <c r="Q252" i="73"/>
  <c r="G252" i="73" s="1"/>
  <c r="AZ84" i="73"/>
  <c r="AQ84" i="73"/>
  <c r="AZ82" i="73"/>
  <c r="AQ82" i="73"/>
  <c r="AQ53" i="73"/>
  <c r="AZ53" i="73"/>
  <c r="AZ212" i="73"/>
  <c r="AQ212" i="73"/>
  <c r="Q29" i="73"/>
  <c r="G29" i="73" s="1"/>
  <c r="T210" i="73"/>
  <c r="V210" i="73" s="1"/>
  <c r="AY270" i="73"/>
  <c r="Q270" i="73" s="1"/>
  <c r="G270" i="73" s="1"/>
  <c r="AP270" i="73"/>
  <c r="T270" i="73" s="1"/>
  <c r="V270" i="73" s="1"/>
  <c r="AP64" i="73"/>
  <c r="T64" i="73" s="1"/>
  <c r="V64" i="73" s="1"/>
  <c r="AY64" i="73"/>
  <c r="Q64" i="73" s="1"/>
  <c r="G64" i="73" s="1"/>
  <c r="AQ72" i="73"/>
  <c r="AZ72" i="73"/>
  <c r="AZ62" i="73"/>
  <c r="AQ62" i="73"/>
  <c r="AP160" i="73"/>
  <c r="AY160" i="73"/>
  <c r="Q160" i="73" s="1"/>
  <c r="G160" i="73" s="1"/>
  <c r="Q295" i="73"/>
  <c r="G295" i="73" s="1"/>
  <c r="AZ242" i="73"/>
  <c r="AQ242" i="73"/>
  <c r="AP243" i="73"/>
  <c r="T243" i="73" s="1"/>
  <c r="V243" i="73" s="1"/>
  <c r="AY243" i="73"/>
  <c r="Q243" i="73" s="1"/>
  <c r="G243" i="73" s="1"/>
  <c r="AQ47" i="73"/>
  <c r="AZ47" i="73"/>
  <c r="Q202" i="73"/>
  <c r="G202" i="73" s="1"/>
  <c r="AQ296" i="73"/>
  <c r="AZ296" i="73"/>
  <c r="T313" i="73"/>
  <c r="V313" i="73" s="1"/>
  <c r="Q277" i="73"/>
  <c r="G277" i="73" s="1"/>
  <c r="AZ305" i="73"/>
  <c r="AQ305" i="73"/>
  <c r="T124" i="73"/>
  <c r="V124" i="73" s="1"/>
  <c r="AQ94" i="73"/>
  <c r="AZ94" i="73"/>
  <c r="Q228" i="73"/>
  <c r="G228" i="73" s="1"/>
  <c r="T194" i="73"/>
  <c r="V194" i="73" s="1"/>
  <c r="AP53" i="73"/>
  <c r="T53" i="73" s="1"/>
  <c r="V53" i="73" s="1"/>
  <c r="AY53" i="73"/>
  <c r="Q53" i="73" s="1"/>
  <c r="G53" i="73" s="1"/>
  <c r="Q226" i="73"/>
  <c r="G226" i="73" s="1"/>
  <c r="R287" i="73"/>
  <c r="AZ54" i="73"/>
  <c r="AQ54" i="73"/>
  <c r="Q210" i="73"/>
  <c r="G210" i="73" s="1"/>
  <c r="AP85" i="73"/>
  <c r="AY85" i="73"/>
  <c r="Q307" i="73"/>
  <c r="G307" i="73" s="1"/>
  <c r="AZ160" i="73"/>
  <c r="AQ160" i="73"/>
  <c r="T295" i="73"/>
  <c r="V295" i="73" s="1"/>
  <c r="AP242" i="73"/>
  <c r="T242" i="73" s="1"/>
  <c r="V242" i="73" s="1"/>
  <c r="AY242" i="73"/>
  <c r="Q242" i="73" s="1"/>
  <c r="G242" i="73" s="1"/>
  <c r="T277" i="73"/>
  <c r="V277" i="73" s="1"/>
  <c r="AY305" i="73"/>
  <c r="AP305" i="73"/>
  <c r="T305" i="73" s="1"/>
  <c r="V305" i="73" s="1"/>
  <c r="AY236" i="73"/>
  <c r="Q236" i="73" s="1"/>
  <c r="G236" i="73" s="1"/>
  <c r="AP236" i="73"/>
  <c r="T236" i="73" s="1"/>
  <c r="V236" i="73" s="1"/>
  <c r="AQ91" i="73"/>
  <c r="AZ91" i="73"/>
  <c r="AQ278" i="73"/>
  <c r="AZ278" i="73"/>
  <c r="AP94" i="73"/>
  <c r="AY94" i="73"/>
  <c r="Q94" i="73" s="1"/>
  <c r="G94" i="73" s="1"/>
  <c r="Q194" i="73"/>
  <c r="G194" i="73" s="1"/>
  <c r="AZ148" i="73"/>
  <c r="AQ148" i="73"/>
  <c r="AY187" i="73"/>
  <c r="Q187" i="73" s="1"/>
  <c r="G187" i="73" s="1"/>
  <c r="AP187" i="73"/>
  <c r="T187" i="73" s="1"/>
  <c r="V187" i="73" s="1"/>
  <c r="AY54" i="73"/>
  <c r="Q54" i="73" s="1"/>
  <c r="G54" i="73" s="1"/>
  <c r="AP54" i="73"/>
  <c r="AY75" i="73"/>
  <c r="Q75" i="73" s="1"/>
  <c r="G75" i="73" s="1"/>
  <c r="AP75" i="73"/>
  <c r="T75" i="73" s="1"/>
  <c r="V75" i="73" s="1"/>
  <c r="AY196" i="73"/>
  <c r="Q196" i="73" s="1"/>
  <c r="G196" i="73" s="1"/>
  <c r="AP196" i="73"/>
  <c r="T196" i="73" s="1"/>
  <c r="V196" i="73" s="1"/>
  <c r="AQ85" i="73"/>
  <c r="AZ85" i="73"/>
  <c r="Q125" i="73"/>
  <c r="G125" i="73" s="1"/>
  <c r="AQ92" i="73"/>
  <c r="AZ92" i="73"/>
  <c r="AY260" i="73"/>
  <c r="Q260" i="73" s="1"/>
  <c r="G260" i="73" s="1"/>
  <c r="AP260" i="73"/>
  <c r="T260" i="73" s="1"/>
  <c r="V260" i="73" s="1"/>
  <c r="T182" i="73"/>
  <c r="V182" i="73" s="1"/>
  <c r="D12" i="115"/>
  <c r="H12" i="115" s="1"/>
  <c r="Q8" i="62"/>
  <c r="S8" i="62" s="1"/>
  <c r="AI8" i="62" s="1"/>
  <c r="AK8" i="62" s="1"/>
  <c r="AL8" i="62" s="1"/>
  <c r="AM8" i="62" s="1"/>
  <c r="M19" i="73" s="1"/>
  <c r="Q91" i="73" l="1"/>
  <c r="G91" i="73" s="1"/>
  <c r="Q62" i="73"/>
  <c r="G62" i="73" s="1"/>
  <c r="T84" i="73"/>
  <c r="V84" i="73" s="1"/>
  <c r="T21" i="73"/>
  <c r="V21" i="73" s="1"/>
  <c r="Q220" i="73"/>
  <c r="G220" i="73" s="1"/>
  <c r="Q20" i="73"/>
  <c r="G20" i="73" s="1"/>
  <c r="T269" i="73"/>
  <c r="V269" i="73" s="1"/>
  <c r="T148" i="73"/>
  <c r="V148" i="73" s="1"/>
  <c r="T91" i="73"/>
  <c r="V91" i="73" s="1"/>
  <c r="T220" i="73"/>
  <c r="V220" i="73" s="1"/>
  <c r="T20" i="73"/>
  <c r="V20" i="73" s="1"/>
  <c r="Q269" i="73"/>
  <c r="G269" i="73" s="1"/>
  <c r="Q148" i="73"/>
  <c r="G148" i="73" s="1"/>
  <c r="T54" i="73"/>
  <c r="V54" i="73" s="1"/>
  <c r="T94" i="73"/>
  <c r="V94" i="73" s="1"/>
  <c r="Q305" i="73"/>
  <c r="G305" i="73" s="1"/>
  <c r="Q85" i="73"/>
  <c r="G85" i="73" s="1"/>
  <c r="T72" i="73"/>
  <c r="V72" i="73" s="1"/>
  <c r="Q186" i="73"/>
  <c r="G186" i="73" s="1"/>
  <c r="Q55" i="73"/>
  <c r="G55" i="73" s="1"/>
  <c r="T211" i="73"/>
  <c r="V211" i="73" s="1"/>
  <c r="T47" i="73"/>
  <c r="V47" i="73" s="1"/>
  <c r="Q262" i="73"/>
  <c r="G262" i="73" s="1"/>
  <c r="T278" i="73"/>
  <c r="V278" i="73" s="1"/>
  <c r="T85" i="73"/>
  <c r="V85" i="73" s="1"/>
  <c r="Q296" i="73"/>
  <c r="G296" i="73" s="1"/>
  <c r="Q212" i="73"/>
  <c r="G212" i="73" s="1"/>
  <c r="T55" i="73"/>
  <c r="V55" i="73" s="1"/>
  <c r="Q47" i="73"/>
  <c r="G47" i="73" s="1"/>
  <c r="Q278" i="73"/>
  <c r="G278" i="73" s="1"/>
  <c r="T296" i="73"/>
  <c r="V296" i="73" s="1"/>
  <c r="T212" i="73"/>
  <c r="V212" i="73" s="1"/>
  <c r="T271" i="73"/>
  <c r="V271" i="73" s="1"/>
  <c r="Q250" i="73"/>
  <c r="G250" i="73" s="1"/>
  <c r="T63" i="73"/>
  <c r="V63" i="73" s="1"/>
  <c r="T82" i="73"/>
  <c r="V82" i="73" s="1"/>
  <c r="Q279" i="73"/>
  <c r="G279" i="73" s="1"/>
  <c r="T250" i="73"/>
  <c r="V250" i="73" s="1"/>
  <c r="T92" i="73"/>
  <c r="V92" i="73" s="1"/>
  <c r="T227" i="73"/>
  <c r="V227" i="73" s="1"/>
  <c r="Q82" i="73"/>
  <c r="G82" i="73" s="1"/>
  <c r="T279" i="73"/>
  <c r="V279" i="73" s="1"/>
  <c r="Q92" i="73"/>
  <c r="G92" i="73" s="1"/>
  <c r="T160" i="73"/>
  <c r="V160" i="73" s="1"/>
  <c r="Q227" i="73"/>
  <c r="G227" i="73" s="1"/>
  <c r="Q84" i="73"/>
  <c r="G84" i="73" s="1"/>
  <c r="T81" i="73"/>
  <c r="V81" i="73" s="1"/>
  <c r="AJ19" i="73"/>
  <c r="AE19" i="73"/>
  <c r="AM19" i="73"/>
  <c r="AN19" i="73"/>
  <c r="AW19" i="73"/>
  <c r="AV19" i="73"/>
  <c r="AG19" i="73"/>
  <c r="AI19" i="73"/>
  <c r="AF19" i="73"/>
  <c r="AH19" i="73"/>
  <c r="I20" i="115"/>
  <c r="K12" i="115" s="1"/>
  <c r="H19" i="73"/>
  <c r="AD19" i="73" l="1"/>
  <c r="I19" i="73"/>
  <c r="Y19" i="73"/>
  <c r="Z19" i="73"/>
  <c r="AT19" i="73" s="1"/>
  <c r="P19" i="73"/>
  <c r="AS19" i="73"/>
  <c r="BB19" i="73"/>
  <c r="K16" i="115"/>
  <c r="K8" i="115"/>
  <c r="K14" i="115"/>
  <c r="K15" i="115"/>
  <c r="K11" i="115"/>
  <c r="I21" i="115"/>
  <c r="I22" i="115" s="1"/>
  <c r="I23" i="115" s="1"/>
  <c r="K17" i="115"/>
  <c r="K13" i="115"/>
  <c r="K10" i="115"/>
  <c r="K9" i="115"/>
  <c r="S19" i="73"/>
  <c r="BC19" i="73" l="1"/>
  <c r="R19" i="73" s="1"/>
  <c r="AA19" i="73"/>
  <c r="X19" i="73"/>
  <c r="U19" i="73"/>
  <c r="AP19" i="73" l="1"/>
  <c r="T19" i="73" s="1"/>
  <c r="V19" i="73" s="1"/>
  <c r="AY19" i="73"/>
  <c r="Q19" i="73" s="1"/>
  <c r="G19" i="73" s="1"/>
  <c r="AZ19" i="73"/>
  <c r="AQ19" i="73"/>
</calcChain>
</file>

<file path=xl/sharedStrings.xml><?xml version="1.0" encoding="utf-8"?>
<sst xmlns="http://schemas.openxmlformats.org/spreadsheetml/2006/main" count="2910" uniqueCount="225">
  <si>
    <t>Serial Number:</t>
  </si>
  <si>
    <t>Calibration Date:</t>
  </si>
  <si>
    <t>Lower
Limit</t>
  </si>
  <si>
    <t>Upper
Limit</t>
  </si>
  <si>
    <t>Result</t>
  </si>
  <si>
    <t>Normal</t>
  </si>
  <si>
    <t>Unit</t>
  </si>
  <si>
    <t>Veff</t>
  </si>
  <si>
    <t>Procedure:</t>
  </si>
  <si>
    <t>Rectangular</t>
  </si>
  <si>
    <t>Divisor</t>
  </si>
  <si>
    <t>Confidence Level 95.45%</t>
  </si>
  <si>
    <t xml:space="preserve"> </t>
  </si>
  <si>
    <t>Confidence Level 95%</t>
  </si>
  <si>
    <t>Measurement</t>
  </si>
  <si>
    <t>over 100</t>
  </si>
  <si>
    <t>Manufacturer:</t>
  </si>
  <si>
    <t>Model:</t>
  </si>
  <si>
    <t>Calibration Due:</t>
  </si>
  <si>
    <t>Description:</t>
  </si>
  <si>
    <t>Temp. before:</t>
  </si>
  <si>
    <t>Range:</t>
  </si>
  <si>
    <t>Temp. after:</t>
  </si>
  <si>
    <t>Resolution:</t>
  </si>
  <si>
    <t>RH before:</t>
  </si>
  <si>
    <t>RH after:</t>
  </si>
  <si>
    <t>STUDENT'S</t>
  </si>
  <si>
    <t>EXPANDED</t>
  </si>
  <si>
    <t>TUR</t>
  </si>
  <si>
    <t>Tolerance (±)</t>
  </si>
  <si>
    <t>Uncertainty (±)</t>
  </si>
  <si>
    <t>Computed Uncertainty  ( ± )</t>
  </si>
  <si>
    <t>Uncertainty Budget</t>
  </si>
  <si>
    <t>Type</t>
  </si>
  <si>
    <t xml:space="preserve">Uncertainty Value </t>
  </si>
  <si>
    <t>Probability Distribution</t>
  </si>
  <si>
    <t>Sensitivity Coefficient</t>
  </si>
  <si>
    <t>U</t>
  </si>
  <si>
    <t>Scope UNC ( ± )</t>
  </si>
  <si>
    <t>Combined Standard Uncertainty</t>
  </si>
  <si>
    <t>Effective Degrees of Freedom</t>
  </si>
  <si>
    <t>Uc</t>
  </si>
  <si>
    <t>Cal. Interval</t>
  </si>
  <si>
    <t>Location:</t>
  </si>
  <si>
    <t>List of Standards Used for Calibration:</t>
  </si>
  <si>
    <t>Comments:</t>
  </si>
  <si>
    <t>Rev #</t>
  </si>
  <si>
    <t>Date</t>
  </si>
  <si>
    <t>Changes</t>
  </si>
  <si>
    <t>Author</t>
  </si>
  <si>
    <t>Approval</t>
  </si>
  <si>
    <t>Initial Release</t>
  </si>
  <si>
    <t>Standard Uncertainty</t>
  </si>
  <si>
    <t>Work Order #:</t>
  </si>
  <si>
    <t>MPC Control #:</t>
  </si>
  <si>
    <t>Asset ID:</t>
  </si>
  <si>
    <t>DATASHEET</t>
  </si>
  <si>
    <t>Template Content Revision History</t>
  </si>
  <si>
    <t xml:space="preserve">Revision No. : </t>
  </si>
  <si>
    <t>DS. No.:</t>
  </si>
  <si>
    <t>Meter Type:</t>
  </si>
  <si>
    <t>Digital</t>
  </si>
  <si>
    <t>NA</t>
  </si>
  <si>
    <t>U Spec Tol</t>
  </si>
  <si>
    <t>Limits</t>
  </si>
  <si>
    <t>Report Result Criteria:</t>
  </si>
  <si>
    <t>Basis:</t>
  </si>
  <si>
    <t>UL</t>
  </si>
  <si>
    <t>LL</t>
  </si>
  <si>
    <t>UL TUR</t>
  </si>
  <si>
    <t>LL TUR</t>
  </si>
  <si>
    <t>UL UNC</t>
  </si>
  <si>
    <t>LL UNC</t>
  </si>
  <si>
    <t>FAIL</t>
  </si>
  <si>
    <t>PASS</t>
  </si>
  <si>
    <t>L Spec Tol</t>
  </si>
  <si>
    <t>PASSᶻ</t>
  </si>
  <si>
    <t>FAILᶻ</t>
  </si>
  <si>
    <t>TOL</t>
  </si>
  <si>
    <t>NOMINAL</t>
  </si>
  <si>
    <t>u(x)</t>
  </si>
  <si>
    <t>Meter Type</t>
  </si>
  <si>
    <t>Trials</t>
  </si>
  <si>
    <t>DOF-eff</t>
  </si>
  <si>
    <t>Degrees
of Freedom</t>
  </si>
  <si>
    <t>Coverage Factor @ 95% CI</t>
  </si>
  <si>
    <t>k</t>
  </si>
  <si>
    <t>Expanded uncertainty (±)</t>
  </si>
  <si>
    <t>Type A</t>
  </si>
  <si>
    <t>Type B</t>
  </si>
  <si>
    <t>Uncertainty</t>
  </si>
  <si>
    <t>Entry</t>
  </si>
  <si>
    <t>MP GLOBAL</t>
  </si>
  <si>
    <t>Degrees of Freedom</t>
  </si>
  <si>
    <t>Combined UNC
(Uc)</t>
  </si>
  <si>
    <t>Expanded Uncertainty (U)</t>
  </si>
  <si>
    <t>Student's t Distribution @ 95%</t>
  </si>
  <si>
    <t>Bands</t>
  </si>
  <si>
    <t>n</t>
  </si>
  <si>
    <t>Average / Mode</t>
  </si>
  <si>
    <t>Stdev 1</t>
  </si>
  <si>
    <t>Stdev 2</t>
  </si>
  <si>
    <t>Resolution 1</t>
  </si>
  <si>
    <t>Resolution 2</t>
  </si>
  <si>
    <t>Measurement
Repeatability</t>
  </si>
  <si>
    <t>STD 2 Cal Unc</t>
  </si>
  <si>
    <t>Others 1</t>
  </si>
  <si>
    <t>Others 2</t>
  </si>
  <si>
    <t>Others 3</t>
  </si>
  <si>
    <t>Others 4</t>
  </si>
  <si>
    <t>Component</t>
  </si>
  <si>
    <t>Conformity Statements</t>
  </si>
  <si>
    <t>Contribution</t>
  </si>
  <si>
    <t>Uncertainty Components</t>
  </si>
  <si>
    <t>∞</t>
  </si>
  <si>
    <t>Results (As Found)</t>
  </si>
  <si>
    <t>AS FOUND</t>
  </si>
  <si>
    <t>AS LEFT</t>
  </si>
  <si>
    <t>Selection</t>
  </si>
  <si>
    <t>Z540.3 METHOD 6</t>
  </si>
  <si>
    <t>Z540.3 METHOD 5</t>
  </si>
  <si>
    <t>CORRECTION</t>
  </si>
  <si>
    <t>Traceable with UNC</t>
  </si>
  <si>
    <t>ACC CAL WITH GB - Method 6</t>
  </si>
  <si>
    <t>ACC CAL WITH GB - Method 5</t>
  </si>
  <si>
    <t>DATA NO UNC</t>
  </si>
  <si>
    <t>ACC CAL WITHOUT GB</t>
  </si>
  <si>
    <t>AS FOUND Expanded Value</t>
  </si>
  <si>
    <t>AS LEFT Expanded Value</t>
  </si>
  <si>
    <t>MIN</t>
  </si>
  <si>
    <t>MAX</t>
  </si>
  <si>
    <t>Range</t>
  </si>
  <si>
    <t>Nominal</t>
  </si>
  <si>
    <t>ROV WITH UNC</t>
  </si>
  <si>
    <t>ROV NO UNC</t>
  </si>
  <si>
    <t>REPORT</t>
  </si>
  <si>
    <t>Results (As Left)</t>
  </si>
  <si>
    <t>Update to rev05 Template</t>
  </si>
  <si>
    <t>J. Ilagan</t>
  </si>
  <si>
    <t>Jul/06/2020</t>
  </si>
  <si>
    <t>Fluke</t>
  </si>
  <si>
    <t>8845A</t>
  </si>
  <si>
    <t>Digital Multimeter</t>
  </si>
  <si>
    <t xml:space="preserve">FLUKE 8845A/8846A </t>
  </si>
  <si>
    <t>Accuracy Specification :</t>
  </si>
  <si>
    <t>1 Year</t>
  </si>
  <si>
    <t>DC Voltage Accuracy</t>
  </si>
  <si>
    <t>Range: 100 mV</t>
  </si>
  <si>
    <t>Applied</t>
  </si>
  <si>
    <t>90 Days</t>
  </si>
  <si>
    <t xml:space="preserve"> 1 Year</t>
  </si>
  <si>
    <t>8846A</t>
  </si>
  <si>
    <t>selection</t>
  </si>
  <si>
    <t>Range: 1 V</t>
  </si>
  <si>
    <t>Range: 10 V</t>
  </si>
  <si>
    <t>Range: 100 V</t>
  </si>
  <si>
    <t>Range: 1000 V</t>
  </si>
  <si>
    <t>DC Volts Ratio</t>
  </si>
  <si>
    <t>0.100000 V</t>
  </si>
  <si>
    <t>1.000000 V</t>
  </si>
  <si>
    <t>10.000000 V</t>
  </si>
  <si>
    <t>AC Voltage Accuracy</t>
  </si>
  <si>
    <t>Range 100 mV</t>
  </si>
  <si>
    <t>Frequency</t>
  </si>
  <si>
    <t>10 Hz</t>
  </si>
  <si>
    <t>20 kHz</t>
  </si>
  <si>
    <t>50 kHz</t>
  </si>
  <si>
    <t>100 kHz</t>
  </si>
  <si>
    <t>300 kHz</t>
  </si>
  <si>
    <t>Range 1.0 V</t>
  </si>
  <si>
    <t>Range 10 V</t>
  </si>
  <si>
    <t>Range 100 V</t>
  </si>
  <si>
    <t>45 Hz</t>
  </si>
  <si>
    <t>1 kHz</t>
  </si>
  <si>
    <t>10 kHz</t>
  </si>
  <si>
    <t>AC Volts Frequency Accuracy</t>
  </si>
  <si>
    <t>Amplitude</t>
  </si>
  <si>
    <t>1 V</t>
  </si>
  <si>
    <t>100 mV</t>
  </si>
  <si>
    <t>Resistance Accuracy</t>
  </si>
  <si>
    <t>Four-wire</t>
  </si>
  <si>
    <t>10 Ω</t>
  </si>
  <si>
    <t>100 Ω</t>
  </si>
  <si>
    <t>1 kΩ</t>
  </si>
  <si>
    <t>10 kΩ</t>
  </si>
  <si>
    <t>100 kΩ</t>
  </si>
  <si>
    <t>Two-wire</t>
  </si>
  <si>
    <t>1 MΩ</t>
  </si>
  <si>
    <t>10 MΩ</t>
  </si>
  <si>
    <t>100 MΩ</t>
  </si>
  <si>
    <t>1 GΩ</t>
  </si>
  <si>
    <t>Rear-Panel Terminal Accuracy</t>
  </si>
  <si>
    <t>10 V DC</t>
  </si>
  <si>
    <t>4-W, 1 kΩ</t>
  </si>
  <si>
    <t>100 mA</t>
  </si>
  <si>
    <t>Capacitance Accuracy</t>
  </si>
  <si>
    <t>1.000 nF</t>
  </si>
  <si>
    <t>10.00 nF</t>
  </si>
  <si>
    <t>100.0 nF</t>
  </si>
  <si>
    <t>1.000 µF</t>
  </si>
  <si>
    <t>10.00 µF</t>
  </si>
  <si>
    <t>100.0 µF</t>
  </si>
  <si>
    <t>1.000 mF</t>
  </si>
  <si>
    <t>10.00 mF</t>
  </si>
  <si>
    <t>100.0 mF</t>
  </si>
  <si>
    <t>DC Current  Accuracy</t>
  </si>
  <si>
    <t>Range 100 μA</t>
  </si>
  <si>
    <t>Function Tested</t>
  </si>
  <si>
    <t>Range 1 mA</t>
  </si>
  <si>
    <t>Range 10 mA</t>
  </si>
  <si>
    <t>Range 100 mA</t>
  </si>
  <si>
    <t>Range 400 mA</t>
  </si>
  <si>
    <t xml:space="preserve"> Range 1.0 A</t>
  </si>
  <si>
    <t>Range 3.0 A</t>
  </si>
  <si>
    <t>Range 10.0 A</t>
  </si>
  <si>
    <t>AC Current Accuracy</t>
  </si>
  <si>
    <t>5 kHz</t>
  </si>
  <si>
    <t xml:space="preserve">Remove ",as per ILAC-G8:03/2009" on the Statement of Conformance for Method 6, Method 5 and ACC CAL WITHOUT GB.
</t>
  </si>
  <si>
    <t>D.Villanueva</t>
  </si>
  <si>
    <t>Scope Uncertainty</t>
  </si>
  <si>
    <t>Update Components of Uncertainty (Repeatability, Resolution and Scope Uncertainty)</t>
  </si>
  <si>
    <t>R. Blay</t>
  </si>
  <si>
    <t>MP-PH Scope v037</t>
  </si>
  <si>
    <t>A. Amer</t>
  </si>
  <si>
    <t>Fixed tolerance for Resistance Accuracy (4 wire), 100 kohm test point and AC Voltage Accuracy, 10 V @ 10 Hz  test point.
Update Scope Uncertainty to v037.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</si>
</sst>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1">
    <numFmt numFmtId="164" formatCode="0.00&quot;Div&quot;"/>
    <numFmt numFmtId="165" formatCode="0.00&quot;°C&quot;"/>
    <numFmt numFmtId="166" formatCode="0.00&quot;°F&quot;"/>
    <numFmt numFmtId="167" formatCode="0.00&quot;KV&quot;"/>
    <numFmt numFmtId="168" formatCode="0.00&quot;mS&quot;"/>
    <numFmt numFmtId="169" formatCode="0.00&quot;mV&quot;"/>
    <numFmt numFmtId="170" formatCode="0.00&quot;nS&quot;"/>
    <numFmt numFmtId="171" formatCode="0.00&quot;uS&quot;"/>
    <numFmt numFmtId="172" formatCode="0.00\V"/>
    <numFmt numFmtId="173" formatCode="0.000000"/>
    <numFmt numFmtId="174" formatCode="0.0000000"/>
    <numFmt numFmtId="175" formatCode="0.0"/>
    <numFmt numFmtId="176" formatCode="0.00000"/>
    <numFmt numFmtId="177" formatCode="0.000"/>
    <numFmt numFmtId="178" formatCode="0.0000"/>
    <numFmt numFmtId="179" formatCode="[$-3409]mmmm\ dd\,\ yyyy;@"/>
    <numFmt numFmtId="180" formatCode="0.0\ &quot;°C&quot;"/>
    <numFmt numFmtId="181" formatCode="0.0\ &quot;%&quot;"/>
    <numFmt numFmtId="182" formatCode="0.00000&quot; ns&quot;"/>
    <numFmt numFmtId="183" formatCode="0.00&quot; MHz&quot;"/>
    <numFmt numFmtId="184" formatCode="00"/>
    <numFmt numFmtId="185" formatCode="0\ &quot;months&quot;"/>
    <numFmt numFmtId="186" formatCode="0.00&quot; G&quot;"/>
    <numFmt numFmtId="187" formatCode="mmm/dd/yyyy"/>
    <numFmt numFmtId="188" formatCode="0.00000000&quot;&quot;"/>
    <numFmt numFmtId="189" formatCode="0.0&quot; : 1&quot;"/>
    <numFmt numFmtId="190" formatCode="0&quot;&quot;"/>
    <numFmt numFmtId="191" formatCode="0.0&quot;&quot;"/>
    <numFmt numFmtId="192" formatCode="0.0000000000"/>
    <numFmt numFmtId="193" formatCode="0.00\ &quot;&quot;"/>
    <numFmt numFmtId="194" formatCode="0.00\ &quot;in&quot;"/>
    <numFmt numFmtId="195" formatCode="0.000000\ &quot;&quot;"/>
    <numFmt numFmtId="196" formatCode="0.000\ &quot;&quot;"/>
    <numFmt numFmtId="197" formatCode="0.00&quot;&quot;"/>
    <numFmt numFmtId="198" formatCode="0&quot; mV&quot;"/>
    <numFmt numFmtId="199" formatCode="0.0000&quot; mV&quot;"/>
    <numFmt numFmtId="200" formatCode="0&quot; V&quot;"/>
    <numFmt numFmtId="201" formatCode="0.000000&quot; V&quot;"/>
    <numFmt numFmtId="202" formatCode="0.00000&quot; V&quot;"/>
    <numFmt numFmtId="203" formatCode="0.0000&quot; V&quot;"/>
    <numFmt numFmtId="204" formatCode="0.000&quot; V&quot;"/>
    <numFmt numFmtId="205" formatCode="\-000.0"/>
    <numFmt numFmtId="206" formatCode="0.00&quot; mV&quot;"/>
    <numFmt numFmtId="207" formatCode="0.00&quot; V&quot;"/>
    <numFmt numFmtId="208" formatCode="0.00000&quot; Hz&quot;"/>
    <numFmt numFmtId="209" formatCode="0.0000&quot; kHz&quot;"/>
    <numFmt numFmtId="210" formatCode="0.000000&quot; MHz&quot;"/>
    <numFmt numFmtId="211" formatCode="0.00000&quot; Ω&quot;"/>
    <numFmt numFmtId="212" formatCode="0.0000&quot; Ω&quot;"/>
    <numFmt numFmtId="213" formatCode="0.000000&quot; kΩ&quot;"/>
    <numFmt numFmtId="214" formatCode="0.00000&quot; kΩ&quot;"/>
    <numFmt numFmtId="215" formatCode="0.0000&quot; kΩ&quot;"/>
    <numFmt numFmtId="216" formatCode="0.000&quot;&quot;"/>
    <numFmt numFmtId="217" formatCode="0.000000&quot; MΩ&quot;"/>
    <numFmt numFmtId="218" formatCode="0.00000&quot; MΩ&quot;"/>
    <numFmt numFmtId="219" formatCode="0.0000&quot; MΩ&quot;"/>
    <numFmt numFmtId="220" formatCode="0.000000&quot; GΩ&quot;"/>
    <numFmt numFmtId="221" formatCode="0.0000&quot; mA&quot;"/>
    <numFmt numFmtId="222" formatCode="0.000000&quot; mA&quot;"/>
    <numFmt numFmtId="223" formatCode="0.000&quot; nF&quot;"/>
    <numFmt numFmtId="224" formatCode="0.00&quot; nF&quot;"/>
    <numFmt numFmtId="225" formatCode="0.0&quot; nF&quot;"/>
    <numFmt numFmtId="226" formatCode="0.000&quot; µF&quot;"/>
    <numFmt numFmtId="227" formatCode="0.00&quot; µF&quot;"/>
    <numFmt numFmtId="228" formatCode="0.0&quot; µF&quot;"/>
    <numFmt numFmtId="229" formatCode="0.000&quot; mF&quot;"/>
    <numFmt numFmtId="230" formatCode="0.00&quot; mF&quot;"/>
    <numFmt numFmtId="231" formatCode="0.0&quot; mF&quot;"/>
    <numFmt numFmtId="232" formatCode="0.0&quot; µA&quot;"/>
    <numFmt numFmtId="233" formatCode="0.0000&quot; µA&quot;"/>
    <numFmt numFmtId="234" formatCode="0.0&quot; mA&quot;"/>
    <numFmt numFmtId="235" formatCode="0.00000&quot; mA&quot;"/>
    <numFmt numFmtId="236" formatCode="0.000&quot; mA&quot;"/>
    <numFmt numFmtId="237" formatCode="0.0&quot; A&quot;"/>
    <numFmt numFmtId="238" formatCode="0.000000&quot; A&quot;"/>
    <numFmt numFmtId="239" formatCode="0.00&quot; A&quot;"/>
    <numFmt numFmtId="240" formatCode="0.00000&quot; A&quot;"/>
    <numFmt numFmtId="241" formatCode="0.0000&quot; μA&quot;"/>
    <numFmt numFmtId="242" formatCode="0.00000\ &quot;&quot;"/>
    <numFmt numFmtId="243" formatCode="0.00000000000\ &quot;&quot;"/>
    <numFmt numFmtId="244" formatCode="0.00000&quot;&quot;"/>
  </numFmts>
  <fonts count="94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8"/>
      <name val="Calibri"/>
      <family val="2"/>
    </font>
    <font>
      <u/>
      <sz val="8.8000000000000007"/>
      <color theme="10"/>
      <name val="Calibri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sz val="11"/>
      <name val="Arial Narrow"/>
      <family val="2"/>
    </font>
    <font>
      <i/>
      <sz val="11"/>
      <name val="Arial Narrow"/>
      <family val="2"/>
    </font>
    <font>
      <sz val="14"/>
      <name val="Arial Narrow"/>
      <family val="2"/>
    </font>
    <font>
      <sz val="16"/>
      <name val="Arial Narrow"/>
      <family val="2"/>
    </font>
    <font>
      <b/>
      <sz val="16"/>
      <name val="Arial Narrow"/>
      <family val="2"/>
    </font>
    <font>
      <b/>
      <sz val="12"/>
      <name val="Arial Narrow"/>
      <family val="2"/>
    </font>
    <font>
      <b/>
      <i/>
      <sz val="18"/>
      <name val="Arial Narrow"/>
      <family val="2"/>
    </font>
    <font>
      <b/>
      <sz val="14"/>
      <name val="Arial Narrow"/>
      <family val="2"/>
    </font>
    <font>
      <sz val="9"/>
      <name val="Arial"/>
      <family val="2"/>
    </font>
    <font>
      <sz val="9"/>
      <name val="Arial Narrow"/>
      <family val="2"/>
    </font>
    <font>
      <sz val="13"/>
      <name val="Arial Narrow"/>
      <family val="2"/>
    </font>
    <font>
      <sz val="13"/>
      <color rgb="FFFF0000"/>
      <name val="Arial Narrow"/>
      <family val="2"/>
    </font>
    <font>
      <sz val="14"/>
      <name val="CordiaUPC"/>
      <family val="2"/>
      <charset val="222"/>
    </font>
    <font>
      <sz val="14"/>
      <name val="Arial"/>
      <family val="2"/>
    </font>
    <font>
      <b/>
      <sz val="9"/>
      <name val="Arial"/>
      <family val="2"/>
    </font>
    <font>
      <sz val="11"/>
      <color indexed="8"/>
      <name val="Arial Narrow"/>
      <family val="2"/>
    </font>
    <font>
      <b/>
      <sz val="15"/>
      <color theme="1"/>
      <name val="Arial Narrow"/>
      <family val="2"/>
    </font>
    <font>
      <b/>
      <sz val="13"/>
      <color theme="1"/>
      <name val="Arial Narrow"/>
      <family val="2"/>
    </font>
    <font>
      <sz val="11"/>
      <color theme="1"/>
      <name val="Arial Narrow"/>
      <family val="2"/>
    </font>
    <font>
      <sz val="12"/>
      <name val="Arial Narrow"/>
      <family val="2"/>
    </font>
    <font>
      <sz val="11"/>
      <name val="Calibri"/>
      <family val="2"/>
    </font>
    <font>
      <b/>
      <sz val="14"/>
      <name val="Arial"/>
      <family val="2"/>
    </font>
    <font>
      <sz val="13"/>
      <color theme="0"/>
      <name val="Arial Narrow"/>
      <family val="2"/>
    </font>
    <font>
      <b/>
      <sz val="18"/>
      <name val="Arial Narrow"/>
      <family val="2"/>
    </font>
    <font>
      <sz val="16"/>
      <color rgb="FF000000"/>
      <name val="Arial Narrow"/>
      <family val="2"/>
    </font>
    <font>
      <sz val="13"/>
      <color theme="1"/>
      <name val="Arial Narrow"/>
      <family val="2"/>
    </font>
    <font>
      <sz val="16"/>
      <color rgb="FFFF0000"/>
      <name val="Arial Narrow"/>
      <family val="2"/>
    </font>
    <font>
      <b/>
      <sz val="20"/>
      <color indexed="9"/>
      <name val="Arial Narrow"/>
      <family val="2"/>
    </font>
    <font>
      <sz val="20"/>
      <color indexed="9"/>
      <name val="Arial Narrow"/>
      <family val="2"/>
    </font>
    <font>
      <sz val="16"/>
      <color indexed="9"/>
      <name val="Arial Narrow"/>
      <family val="2"/>
    </font>
    <font>
      <b/>
      <i/>
      <sz val="14"/>
      <color theme="1" tint="0.34998626667073579"/>
      <name val="Arial Narrow"/>
      <family val="2"/>
    </font>
    <font>
      <sz val="9"/>
      <color theme="0"/>
      <name val="Arial Narrow"/>
      <family val="2"/>
    </font>
    <font>
      <b/>
      <sz val="14"/>
      <color rgb="FF0070C0"/>
      <name val="Arial Narrow"/>
      <family val="2"/>
    </font>
    <font>
      <sz val="14"/>
      <color rgb="FFFF0000"/>
      <name val="Arial Narrow"/>
      <family val="2"/>
    </font>
    <font>
      <sz val="9"/>
      <color rgb="FFFF0000"/>
      <name val="Arial Narrow"/>
      <family val="2"/>
    </font>
    <font>
      <b/>
      <sz val="22"/>
      <name val="Arial Narrow"/>
      <family val="2"/>
    </font>
    <font>
      <b/>
      <sz val="20"/>
      <color theme="0"/>
      <name val="Arial Narrow"/>
      <family val="2"/>
    </font>
    <font>
      <b/>
      <sz val="24"/>
      <color theme="3"/>
      <name val="Arial Narrow"/>
      <family val="2"/>
    </font>
    <font>
      <b/>
      <sz val="24"/>
      <color indexed="12"/>
      <name val="Arial Narrow"/>
      <family val="2"/>
    </font>
    <font>
      <sz val="11"/>
      <color indexed="20"/>
      <name val="Arial Narrow"/>
      <family val="2"/>
    </font>
    <font>
      <sz val="20"/>
      <name val="Arial Narrow"/>
      <family val="2"/>
    </font>
    <font>
      <b/>
      <sz val="48"/>
      <name val="Arial Narrow"/>
      <family val="2"/>
    </font>
    <font>
      <b/>
      <sz val="16"/>
      <color theme="0"/>
      <name val="Arial Narrow"/>
      <family val="2"/>
    </font>
    <font>
      <b/>
      <sz val="18"/>
      <color rgb="FF0070C0"/>
      <name val="Arial Narrow"/>
      <family val="2"/>
    </font>
    <font>
      <b/>
      <i/>
      <sz val="18"/>
      <color theme="1" tint="0.499984740745262"/>
      <name val="Arial Narrow"/>
      <family val="2"/>
    </font>
    <font>
      <sz val="14"/>
      <color theme="1"/>
      <name val="Arial Narrow"/>
      <family val="2"/>
    </font>
    <font>
      <sz val="8"/>
      <color indexed="8"/>
      <name val="Arial Narrow"/>
      <family val="2"/>
    </font>
    <font>
      <sz val="9"/>
      <color rgb="FFFF0000"/>
      <name val="Arial"/>
      <family val="2"/>
    </font>
    <font>
      <b/>
      <sz val="10"/>
      <color indexed="8"/>
      <name val="Arial Narrow"/>
      <family val="2"/>
    </font>
    <font>
      <sz val="10"/>
      <color indexed="8"/>
      <name val="Arial Narrow"/>
      <family val="2"/>
    </font>
    <font>
      <sz val="10"/>
      <color rgb="FFC00000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sz val="18"/>
      <name val="Arial Narrow"/>
      <family val="2"/>
    </font>
    <font>
      <b/>
      <sz val="14"/>
      <name val="Calibri"/>
      <family val="2"/>
    </font>
    <font>
      <sz val="14"/>
      <color rgb="FFC00000"/>
      <name val="Arial Narrow"/>
      <family val="2"/>
    </font>
    <font>
      <sz val="15"/>
      <name val="Arial Narrow"/>
      <family val="2"/>
    </font>
    <font>
      <sz val="10"/>
      <color theme="1"/>
      <name val="Arial Narrow"/>
      <family val="2"/>
    </font>
    <font>
      <sz val="8"/>
      <color theme="0"/>
      <name val="Arial Narrow"/>
      <family val="2"/>
    </font>
    <font>
      <b/>
      <sz val="26"/>
      <name val="Arial Narrow"/>
      <family val="2"/>
    </font>
    <font>
      <sz val="16"/>
      <color rgb="FFC00000"/>
      <name val="Arial Narrow"/>
      <family val="2"/>
    </font>
    <font>
      <sz val="14"/>
      <name val="Calibri"/>
      <family val="2"/>
    </font>
    <font>
      <sz val="14"/>
      <color theme="0"/>
      <name val="Arial Narrow"/>
      <family val="2"/>
    </font>
    <font>
      <b/>
      <sz val="11"/>
      <color indexed="8"/>
      <name val="Arial Narrow"/>
      <family val="2"/>
    </font>
    <font>
      <b/>
      <sz val="14"/>
      <color theme="1"/>
      <name val="Arial Narrow"/>
      <family val="2"/>
    </font>
    <font>
      <sz val="13"/>
      <name val="Arial"/>
      <family val="2"/>
    </font>
    <font>
      <sz val="13"/>
      <name val="Calibri"/>
      <family val="2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-0.249977111117893"/>
        <bgColor indexed="64"/>
      </patternFill>
    </fill>
  </fills>
  <borders count="8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medium">
        <color indexed="64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theme="1" tint="0.34998626667073579"/>
      </left>
      <right style="thin">
        <color theme="0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/>
      </left>
      <right style="thin">
        <color theme="0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double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76">
    <xf numFmtId="0" fontId="0" fillId="0" borderId="0"/>
    <xf numFmtId="0" fontId="22" fillId="2" borderId="0" applyNumberFormat="0" applyBorder="0" applyAlignment="0" applyProtection="0"/>
    <xf numFmtId="0" fontId="22" fillId="3" borderId="0" applyNumberFormat="0" applyBorder="0" applyAlignment="0" applyProtection="0"/>
    <xf numFmtId="0" fontId="22" fillId="4" borderId="0" applyNumberFormat="0" applyBorder="0" applyAlignment="0" applyProtection="0"/>
    <xf numFmtId="0" fontId="22" fillId="5" borderId="0" applyNumberFormat="0" applyBorder="0" applyAlignment="0" applyProtection="0"/>
    <xf numFmtId="0" fontId="22" fillId="6" borderId="0" applyNumberFormat="0" applyBorder="0" applyAlignment="0" applyProtection="0"/>
    <xf numFmtId="0" fontId="22" fillId="7" borderId="0" applyNumberFormat="0" applyBorder="0" applyAlignment="0" applyProtection="0"/>
    <xf numFmtId="0" fontId="22" fillId="8" borderId="0" applyNumberFormat="0" applyBorder="0" applyAlignment="0" applyProtection="0"/>
    <xf numFmtId="0" fontId="22" fillId="9" borderId="0" applyNumberFormat="0" applyBorder="0" applyAlignment="0" applyProtection="0"/>
    <xf numFmtId="0" fontId="22" fillId="10" borderId="0" applyNumberFormat="0" applyBorder="0" applyAlignment="0" applyProtection="0"/>
    <xf numFmtId="0" fontId="22" fillId="5" borderId="0" applyNumberFormat="0" applyBorder="0" applyAlignment="0" applyProtection="0"/>
    <xf numFmtId="0" fontId="22" fillId="8" borderId="0" applyNumberFormat="0" applyBorder="0" applyAlignment="0" applyProtection="0"/>
    <xf numFmtId="0" fontId="22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164" fontId="8" fillId="0" borderId="0">
      <alignment horizontal="center" vertical="center"/>
    </xf>
    <xf numFmtId="165" fontId="8" fillId="0" borderId="0">
      <alignment horizontal="center" vertical="center"/>
    </xf>
    <xf numFmtId="166" fontId="8" fillId="0" borderId="0">
      <alignment horizontal="center" vertical="center"/>
    </xf>
    <xf numFmtId="164" fontId="8" fillId="0" borderId="0">
      <alignment horizontal="center" vertical="center"/>
    </xf>
    <xf numFmtId="0" fontId="9" fillId="0" borderId="0" applyNumberFormat="0" applyFill="0" applyBorder="0" applyAlignment="0" applyProtection="0"/>
    <xf numFmtId="0" fontId="10" fillId="4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24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4" fillId="7" borderId="1" applyNumberFormat="0" applyAlignment="0" applyProtection="0"/>
    <xf numFmtId="167" fontId="8" fillId="0" borderId="0">
      <alignment horizontal="center" vertical="center"/>
    </xf>
    <xf numFmtId="0" fontId="15" fillId="0" borderId="6" applyNumberFormat="0" applyFill="0" applyAlignment="0" applyProtection="0"/>
    <xf numFmtId="168" fontId="8" fillId="0" borderId="0">
      <alignment horizontal="center" vertical="center"/>
    </xf>
    <xf numFmtId="169" fontId="8" fillId="0" borderId="0">
      <alignment horizontal="center" vertical="center"/>
    </xf>
    <xf numFmtId="0" fontId="16" fillId="22" borderId="0" applyNumberFormat="0" applyBorder="0" applyAlignment="0" applyProtection="0"/>
    <xf numFmtId="0" fontId="17" fillId="0" borderId="0"/>
    <xf numFmtId="0" fontId="17" fillId="0" borderId="0"/>
    <xf numFmtId="0" fontId="17" fillId="0" borderId="0"/>
    <xf numFmtId="0" fontId="17" fillId="0" borderId="0"/>
    <xf numFmtId="0" fontId="8" fillId="0" borderId="0"/>
    <xf numFmtId="0" fontId="22" fillId="0" borderId="0"/>
    <xf numFmtId="0" fontId="8" fillId="0" borderId="0"/>
    <xf numFmtId="0" fontId="8" fillId="0" borderId="0"/>
    <xf numFmtId="0" fontId="25" fillId="0" borderId="0"/>
    <xf numFmtId="0" fontId="17" fillId="0" borderId="0"/>
    <xf numFmtId="0" fontId="8" fillId="0" borderId="0"/>
    <xf numFmtId="0" fontId="8" fillId="0" borderId="0"/>
    <xf numFmtId="0" fontId="22" fillId="23" borderId="7" applyNumberFormat="0" applyAlignment="0" applyProtection="0"/>
    <xf numFmtId="170" fontId="8" fillId="0" borderId="0">
      <alignment horizontal="center" vertical="center"/>
    </xf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171" fontId="8" fillId="0" borderId="0">
      <alignment horizontal="center" vertical="center"/>
    </xf>
    <xf numFmtId="172" fontId="8" fillId="0" borderId="0">
      <alignment horizontal="center" vertical="center"/>
    </xf>
    <xf numFmtId="0" fontId="21" fillId="0" borderId="0" applyNumberFormat="0" applyFill="0" applyBorder="0" applyAlignment="0" applyProtection="0"/>
    <xf numFmtId="0" fontId="39" fillId="0" borderId="0"/>
    <xf numFmtId="0" fontId="3" fillId="0" borderId="0"/>
    <xf numFmtId="0" fontId="2" fillId="0" borderId="0"/>
    <xf numFmtId="0" fontId="2" fillId="0" borderId="0"/>
    <xf numFmtId="9" fontId="22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</cellStyleXfs>
  <cellXfs count="742">
    <xf numFmtId="0" fontId="0" fillId="0" borderId="0" xfId="0"/>
    <xf numFmtId="0" fontId="26" fillId="0" borderId="0" xfId="51" applyFont="1" applyAlignment="1">
      <alignment vertical="center"/>
    </xf>
    <xf numFmtId="0" fontId="26" fillId="0" borderId="0" xfId="57" applyFont="1" applyAlignment="1">
      <alignment vertical="center"/>
    </xf>
    <xf numFmtId="0" fontId="28" fillId="0" borderId="0" xfId="57" applyFont="1" applyAlignment="1">
      <alignment vertical="center"/>
    </xf>
    <xf numFmtId="0" fontId="29" fillId="0" borderId="0" xfId="57" applyFont="1" applyAlignment="1" applyProtection="1">
      <alignment horizontal="right" vertical="center"/>
      <protection locked="0"/>
    </xf>
    <xf numFmtId="0" fontId="26" fillId="0" borderId="0" xfId="51" applyFont="1" applyAlignment="1" applyProtection="1">
      <alignment vertical="center"/>
      <protection locked="0"/>
    </xf>
    <xf numFmtId="0" fontId="29" fillId="0" borderId="0" xfId="57" applyFont="1" applyAlignment="1" applyProtection="1">
      <alignment horizontal="left" vertical="center"/>
      <protection locked="0"/>
    </xf>
    <xf numFmtId="0" fontId="29" fillId="0" borderId="0" xfId="57" applyFont="1" applyAlignment="1" applyProtection="1">
      <alignment vertical="center"/>
      <protection locked="0"/>
    </xf>
    <xf numFmtId="0" fontId="29" fillId="0" borderId="0" xfId="58" applyFont="1" applyAlignment="1" applyProtection="1">
      <alignment horizontal="left" vertical="center"/>
      <protection locked="0"/>
    </xf>
    <xf numFmtId="0" fontId="29" fillId="24" borderId="0" xfId="58" applyFont="1" applyFill="1" applyAlignment="1" applyProtection="1">
      <alignment horizontal="right" vertical="center"/>
      <protection locked="0"/>
    </xf>
    <xf numFmtId="0" fontId="29" fillId="24" borderId="0" xfId="58" applyFont="1" applyFill="1" applyAlignment="1" applyProtection="1">
      <alignment horizontal="left" vertical="center"/>
      <protection locked="0"/>
    </xf>
    <xf numFmtId="0" fontId="29" fillId="24" borderId="0" xfId="58" applyFont="1" applyFill="1" applyAlignment="1" applyProtection="1">
      <alignment vertical="center"/>
      <protection locked="0"/>
    </xf>
    <xf numFmtId="0" fontId="26" fillId="0" borderId="0" xfId="57" applyFont="1" applyAlignment="1" applyProtection="1">
      <alignment horizontal="left" vertical="center"/>
      <protection locked="0"/>
    </xf>
    <xf numFmtId="0" fontId="29" fillId="0" borderId="0" xfId="57" applyFont="1" applyAlignment="1" applyProtection="1">
      <alignment horizontal="center" vertical="center"/>
      <protection locked="0"/>
    </xf>
    <xf numFmtId="0" fontId="30" fillId="0" borderId="0" xfId="51" applyFont="1" applyAlignment="1" applyProtection="1">
      <alignment vertical="center"/>
      <protection locked="0"/>
    </xf>
    <xf numFmtId="0" fontId="27" fillId="0" borderId="0" xfId="58" applyFont="1" applyAlignment="1" applyProtection="1">
      <alignment horizontal="left" vertical="center"/>
      <protection locked="0"/>
    </xf>
    <xf numFmtId="0" fontId="30" fillId="0" borderId="29" xfId="51" applyFont="1" applyBorder="1" applyAlignment="1">
      <alignment vertical="center"/>
    </xf>
    <xf numFmtId="0" fontId="31" fillId="0" borderId="29" xfId="51" applyFont="1" applyBorder="1" applyAlignment="1">
      <alignment horizontal="right" vertical="center"/>
    </xf>
    <xf numFmtId="0" fontId="30" fillId="0" borderId="0" xfId="51" applyFont="1" applyAlignment="1">
      <alignment vertical="center"/>
    </xf>
    <xf numFmtId="0" fontId="35" fillId="0" borderId="0" xfId="51" applyFont="1"/>
    <xf numFmtId="0" fontId="36" fillId="0" borderId="0" xfId="51" applyFont="1"/>
    <xf numFmtId="0" fontId="27" fillId="0" borderId="0" xfId="51" applyFont="1" applyAlignment="1">
      <alignment vertical="center"/>
    </xf>
    <xf numFmtId="0" fontId="27" fillId="0" borderId="0" xfId="57" applyFont="1" applyAlignment="1">
      <alignment vertical="center"/>
    </xf>
    <xf numFmtId="0" fontId="27" fillId="0" borderId="0" xfId="51" applyFont="1" applyAlignment="1" applyProtection="1">
      <alignment vertical="center"/>
      <protection locked="0"/>
    </xf>
    <xf numFmtId="0" fontId="27" fillId="0" borderId="0" xfId="57" quotePrefix="1" applyFont="1" applyAlignment="1" applyProtection="1">
      <alignment vertical="center"/>
      <protection locked="0"/>
    </xf>
    <xf numFmtId="0" fontId="29" fillId="24" borderId="0" xfId="58" applyFont="1" applyFill="1" applyAlignment="1" applyProtection="1">
      <alignment horizontal="center" vertical="center"/>
      <protection locked="0"/>
    </xf>
    <xf numFmtId="0" fontId="29" fillId="0" borderId="0" xfId="58" applyFont="1" applyAlignment="1" applyProtection="1">
      <alignment horizontal="center" vertical="center"/>
      <protection locked="0"/>
    </xf>
    <xf numFmtId="0" fontId="27" fillId="0" borderId="29" xfId="57" applyFont="1" applyBorder="1" applyAlignment="1">
      <alignment horizontal="right" vertical="center"/>
    </xf>
    <xf numFmtId="176" fontId="35" fillId="0" borderId="0" xfId="51" applyNumberFormat="1" applyFont="1"/>
    <xf numFmtId="0" fontId="29" fillId="0" borderId="0" xfId="57" quotePrefix="1" applyFont="1" applyAlignment="1" applyProtection="1">
      <alignment vertical="center"/>
      <protection locked="0"/>
    </xf>
    <xf numFmtId="0" fontId="26" fillId="0" borderId="0" xfId="57" applyFont="1" applyAlignment="1" applyProtection="1">
      <alignment vertical="center"/>
      <protection locked="0"/>
    </xf>
    <xf numFmtId="0" fontId="29" fillId="0" borderId="0" xfId="51" applyFont="1"/>
    <xf numFmtId="182" fontId="35" fillId="0" borderId="0" xfId="51" applyNumberFormat="1" applyFont="1" applyAlignment="1">
      <alignment horizontal="center" vertical="center"/>
    </xf>
    <xf numFmtId="0" fontId="41" fillId="0" borderId="0" xfId="51" applyFont="1" applyAlignment="1">
      <alignment horizontal="left" vertical="top"/>
    </xf>
    <xf numFmtId="0" fontId="35" fillId="0" borderId="0" xfId="51" applyFont="1" applyAlignment="1">
      <alignment horizontal="center" wrapText="1"/>
    </xf>
    <xf numFmtId="0" fontId="26" fillId="0" borderId="0" xfId="47" applyFont="1"/>
    <xf numFmtId="0" fontId="32" fillId="0" borderId="48" xfId="47" applyFont="1" applyBorder="1" applyAlignment="1">
      <alignment horizontal="center" vertical="center"/>
    </xf>
    <xf numFmtId="0" fontId="26" fillId="0" borderId="0" xfId="47" applyFont="1" applyAlignment="1">
      <alignment vertical="center"/>
    </xf>
    <xf numFmtId="0" fontId="27" fillId="0" borderId="0" xfId="47" applyFont="1" applyAlignment="1">
      <alignment horizontal="center" vertical="top"/>
    </xf>
    <xf numFmtId="15" fontId="27" fillId="0" borderId="0" xfId="47" applyNumberFormat="1" applyFont="1" applyAlignment="1">
      <alignment horizontal="center" vertical="top"/>
    </xf>
    <xf numFmtId="0" fontId="27" fillId="0" borderId="0" xfId="47" applyFont="1" applyAlignment="1">
      <alignment vertical="top" wrapText="1"/>
    </xf>
    <xf numFmtId="0" fontId="26" fillId="0" borderId="41" xfId="47" applyFont="1" applyBorder="1" applyAlignment="1">
      <alignment horizontal="left"/>
    </xf>
    <xf numFmtId="0" fontId="26" fillId="0" borderId="42" xfId="47" applyFont="1" applyBorder="1" applyAlignment="1">
      <alignment horizontal="left" indent="1"/>
    </xf>
    <xf numFmtId="0" fontId="26" fillId="0" borderId="43" xfId="47" applyFont="1" applyBorder="1" applyAlignment="1">
      <alignment horizontal="left" indent="1"/>
    </xf>
    <xf numFmtId="184" fontId="27" fillId="0" borderId="10" xfId="47" quotePrefix="1" applyNumberFormat="1" applyFont="1" applyBorder="1" applyAlignment="1">
      <alignment horizontal="center" vertical="center"/>
    </xf>
    <xf numFmtId="184" fontId="27" fillId="0" borderId="11" xfId="47" quotePrefix="1" applyNumberFormat="1" applyFont="1" applyBorder="1" applyAlignment="1">
      <alignment horizontal="center" vertical="center"/>
    </xf>
    <xf numFmtId="184" fontId="27" fillId="0" borderId="12" xfId="47" quotePrefix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87" fontId="27" fillId="0" borderId="22" xfId="47" applyNumberFormat="1" applyFont="1" applyBorder="1" applyAlignment="1">
      <alignment horizontal="center" vertical="center"/>
    </xf>
    <xf numFmtId="187" fontId="27" fillId="0" borderId="17" xfId="47" applyNumberFormat="1" applyFont="1" applyBorder="1" applyAlignment="1">
      <alignment horizontal="center" vertical="center"/>
    </xf>
    <xf numFmtId="187" fontId="27" fillId="0" borderId="20" xfId="47" applyNumberFormat="1" applyFont="1" applyBorder="1" applyAlignment="1">
      <alignment horizontal="center" vertical="center"/>
    </xf>
    <xf numFmtId="0" fontId="31" fillId="0" borderId="29" xfId="38" applyFont="1" applyBorder="1" applyAlignment="1" applyProtection="1">
      <alignment horizontal="left"/>
    </xf>
    <xf numFmtId="0" fontId="47" fillId="0" borderId="0" xfId="0" applyFont="1"/>
    <xf numFmtId="0" fontId="41" fillId="0" borderId="0" xfId="51" applyFont="1" applyAlignment="1">
      <alignment horizontal="left" vertical="center"/>
    </xf>
    <xf numFmtId="0" fontId="48" fillId="0" borderId="0" xfId="51" applyFont="1" applyAlignment="1">
      <alignment horizontal="left" vertical="top"/>
    </xf>
    <xf numFmtId="0" fontId="26" fillId="0" borderId="0" xfId="56" applyFont="1"/>
    <xf numFmtId="0" fontId="26" fillId="24" borderId="0" xfId="58" applyFont="1" applyFill="1" applyAlignment="1">
      <alignment horizontal="center" vertical="center"/>
    </xf>
    <xf numFmtId="0" fontId="29" fillId="0" borderId="0" xfId="57" applyFont="1" applyAlignment="1">
      <alignment horizontal="center" vertical="center"/>
    </xf>
    <xf numFmtId="0" fontId="37" fillId="0" borderId="0" xfId="51" applyFont="1" applyAlignment="1">
      <alignment horizontal="center" vertical="center"/>
    </xf>
    <xf numFmtId="0" fontId="38" fillId="0" borderId="0" xfId="51" applyFont="1" applyAlignment="1">
      <alignment horizontal="center" vertical="center"/>
    </xf>
    <xf numFmtId="0" fontId="26" fillId="24" borderId="0" xfId="58" applyFont="1" applyFill="1" applyAlignment="1">
      <alignment horizontal="right" vertical="center"/>
    </xf>
    <xf numFmtId="0" fontId="26" fillId="24" borderId="0" xfId="58" applyFont="1" applyFill="1" applyAlignment="1">
      <alignment horizontal="left" vertical="center"/>
    </xf>
    <xf numFmtId="0" fontId="26" fillId="24" borderId="0" xfId="51" applyFont="1" applyFill="1" applyAlignment="1">
      <alignment vertical="center"/>
    </xf>
    <xf numFmtId="0" fontId="26" fillId="0" borderId="34" xfId="51" applyFont="1" applyBorder="1" applyAlignment="1">
      <alignment vertical="center"/>
    </xf>
    <xf numFmtId="0" fontId="26" fillId="0" borderId="33" xfId="51" applyFont="1" applyBorder="1" applyAlignment="1">
      <alignment vertical="center"/>
    </xf>
    <xf numFmtId="0" fontId="26" fillId="0" borderId="24" xfId="51" applyFont="1" applyBorder="1" applyAlignment="1">
      <alignment vertical="center"/>
    </xf>
    <xf numFmtId="0" fontId="26" fillId="0" borderId="35" xfId="51" applyFont="1" applyBorder="1" applyAlignment="1">
      <alignment vertical="center"/>
    </xf>
    <xf numFmtId="0" fontId="26" fillId="0" borderId="36" xfId="51" applyFont="1" applyBorder="1" applyAlignment="1">
      <alignment vertical="center"/>
    </xf>
    <xf numFmtId="0" fontId="26" fillId="0" borderId="40" xfId="51" applyFont="1" applyBorder="1" applyAlignment="1">
      <alignment vertical="center"/>
    </xf>
    <xf numFmtId="188" fontId="37" fillId="0" borderId="22" xfId="51" applyNumberFormat="1" applyFont="1" applyBorder="1" applyAlignment="1">
      <alignment horizontal="center" vertical="center"/>
    </xf>
    <xf numFmtId="189" fontId="37" fillId="0" borderId="22" xfId="51" applyNumberFormat="1" applyFont="1" applyBorder="1" applyAlignment="1">
      <alignment horizontal="center" vertical="center"/>
    </xf>
    <xf numFmtId="0" fontId="26" fillId="0" borderId="25" xfId="51" applyFont="1" applyBorder="1" applyAlignment="1">
      <alignment vertical="center"/>
    </xf>
    <xf numFmtId="0" fontId="34" fillId="0" borderId="0" xfId="51" applyFont="1" applyAlignment="1">
      <alignment vertical="center"/>
    </xf>
    <xf numFmtId="190" fontId="37" fillId="0" borderId="22" xfId="51" applyNumberFormat="1" applyFont="1" applyBorder="1" applyAlignment="1">
      <alignment horizontal="center" vertical="center"/>
    </xf>
    <xf numFmtId="188" fontId="52" fillId="0" borderId="22" xfId="51" applyNumberFormat="1" applyFont="1" applyBorder="1" applyAlignment="1">
      <alignment horizontal="center" vertical="center"/>
    </xf>
    <xf numFmtId="0" fontId="33" fillId="24" borderId="0" xfId="58" applyFont="1" applyFill="1" applyAlignment="1">
      <alignment horizontal="left" vertical="center"/>
    </xf>
    <xf numFmtId="0" fontId="59" fillId="0" borderId="0" xfId="51" applyFont="1" applyAlignment="1">
      <alignment horizontal="left" vertical="center"/>
    </xf>
    <xf numFmtId="0" fontId="29" fillId="0" borderId="0" xfId="51" applyFont="1" applyAlignment="1">
      <alignment vertical="center"/>
    </xf>
    <xf numFmtId="0" fontId="27" fillId="0" borderId="0" xfId="56" applyFont="1"/>
    <xf numFmtId="2" fontId="29" fillId="0" borderId="0" xfId="56" applyNumberFormat="1" applyFont="1" applyAlignment="1">
      <alignment horizontal="center" vertical="center"/>
    </xf>
    <xf numFmtId="0" fontId="29" fillId="0" borderId="0" xfId="56" applyFont="1" applyAlignment="1">
      <alignment horizontal="center" vertical="center"/>
    </xf>
    <xf numFmtId="0" fontId="50" fillId="0" borderId="0" xfId="56" applyFont="1"/>
    <xf numFmtId="0" fontId="54" fillId="0" borderId="0" xfId="56" applyFont="1" applyAlignment="1">
      <alignment horizontal="center" vertical="center"/>
    </xf>
    <xf numFmtId="0" fontId="55" fillId="0" borderId="0" xfId="56" applyFont="1" applyAlignment="1">
      <alignment horizontal="center" vertical="center"/>
    </xf>
    <xf numFmtId="0" fontId="56" fillId="0" borderId="0" xfId="56" applyFont="1" applyAlignment="1">
      <alignment horizontal="center" vertical="center"/>
    </xf>
    <xf numFmtId="0" fontId="58" fillId="0" borderId="0" xfId="51" applyFont="1"/>
    <xf numFmtId="0" fontId="37" fillId="0" borderId="0" xfId="51" applyFont="1"/>
    <xf numFmtId="190" fontId="37" fillId="0" borderId="0" xfId="51" applyNumberFormat="1" applyFont="1"/>
    <xf numFmtId="0" fontId="61" fillId="0" borderId="0" xfId="51" applyFont="1"/>
    <xf numFmtId="0" fontId="26" fillId="0" borderId="0" xfId="56" applyFont="1" applyAlignment="1">
      <alignment wrapText="1"/>
    </xf>
    <xf numFmtId="0" fontId="26" fillId="30" borderId="0" xfId="56" applyFont="1" applyFill="1"/>
    <xf numFmtId="0" fontId="54" fillId="31" borderId="32" xfId="56" applyFont="1" applyFill="1" applyBorder="1" applyAlignment="1">
      <alignment horizontal="right" vertical="center" wrapText="1"/>
    </xf>
    <xf numFmtId="0" fontId="54" fillId="31" borderId="38" xfId="56" applyFont="1" applyFill="1" applyBorder="1" applyAlignment="1">
      <alignment horizontal="left" vertical="center" wrapText="1"/>
    </xf>
    <xf numFmtId="0" fontId="63" fillId="30" borderId="32" xfId="56" applyFont="1" applyFill="1" applyBorder="1" applyAlignment="1">
      <alignment horizontal="right" vertical="center" wrapText="1"/>
    </xf>
    <xf numFmtId="0" fontId="63" fillId="30" borderId="38" xfId="56" applyFont="1" applyFill="1" applyBorder="1" applyAlignment="1">
      <alignment horizontal="left" vertical="center" wrapText="1"/>
    </xf>
    <xf numFmtId="0" fontId="63" fillId="32" borderId="32" xfId="56" applyFont="1" applyFill="1" applyBorder="1" applyAlignment="1">
      <alignment horizontal="right" vertical="center" wrapText="1"/>
    </xf>
    <xf numFmtId="0" fontId="63" fillId="32" borderId="38" xfId="56" applyFont="1" applyFill="1" applyBorder="1" applyAlignment="1">
      <alignment horizontal="left" vertical="center" wrapText="1"/>
    </xf>
    <xf numFmtId="0" fontId="63" fillId="33" borderId="32" xfId="56" applyFont="1" applyFill="1" applyBorder="1" applyAlignment="1">
      <alignment horizontal="right" vertical="center" wrapText="1"/>
    </xf>
    <xf numFmtId="0" fontId="63" fillId="33" borderId="38" xfId="56" applyFont="1" applyFill="1" applyBorder="1" applyAlignment="1">
      <alignment horizontal="left" vertical="center" wrapText="1"/>
    </xf>
    <xf numFmtId="0" fontId="26" fillId="32" borderId="0" xfId="56" applyFont="1" applyFill="1"/>
    <xf numFmtId="0" fontId="64" fillId="0" borderId="40" xfId="48" applyFont="1" applyBorder="1" applyAlignment="1">
      <alignment vertical="center"/>
    </xf>
    <xf numFmtId="0" fontId="29" fillId="24" borderId="40" xfId="48" applyFont="1" applyFill="1" applyBorder="1"/>
    <xf numFmtId="0" fontId="64" fillId="0" borderId="0" xfId="48" applyFont="1" applyAlignment="1">
      <alignment horizontal="center" vertical="center"/>
    </xf>
    <xf numFmtId="0" fontId="29" fillId="0" borderId="0" xfId="48" applyFont="1" applyAlignment="1">
      <alignment horizontal="center"/>
    </xf>
    <xf numFmtId="0" fontId="29" fillId="24" borderId="0" xfId="48" applyFont="1" applyFill="1"/>
    <xf numFmtId="0" fontId="26" fillId="0" borderId="0" xfId="48" applyFont="1" applyAlignment="1">
      <alignment vertical="center"/>
    </xf>
    <xf numFmtId="0" fontId="65" fillId="0" borderId="0" xfId="48" applyFont="1" applyAlignment="1">
      <alignment horizontal="center" vertical="center"/>
    </xf>
    <xf numFmtId="0" fontId="26" fillId="0" borderId="0" xfId="48" applyFont="1"/>
    <xf numFmtId="0" fontId="29" fillId="0" borderId="0" xfId="48" applyFont="1" applyAlignment="1">
      <alignment horizontal="left"/>
    </xf>
    <xf numFmtId="0" fontId="32" fillId="0" borderId="0" xfId="48" applyFont="1" applyAlignment="1">
      <alignment horizontal="center" vertical="center" wrapText="1"/>
    </xf>
    <xf numFmtId="0" fontId="29" fillId="0" borderId="55" xfId="48" applyFont="1" applyBorder="1" applyAlignment="1">
      <alignment horizontal="center" vertical="center" wrapText="1"/>
    </xf>
    <xf numFmtId="0" fontId="29" fillId="0" borderId="55" xfId="67" applyFont="1" applyBorder="1" applyAlignment="1">
      <alignment horizontal="center" vertical="center"/>
    </xf>
    <xf numFmtId="0" fontId="29" fillId="0" borderId="55" xfId="67" applyFont="1" applyBorder="1" applyAlignment="1">
      <alignment horizontal="center" vertical="center" wrapText="1"/>
    </xf>
    <xf numFmtId="173" fontId="29" fillId="0" borderId="55" xfId="67" applyNumberFormat="1" applyFont="1" applyBorder="1" applyAlignment="1">
      <alignment horizontal="center" vertical="center"/>
    </xf>
    <xf numFmtId="175" fontId="29" fillId="0" borderId="55" xfId="67" applyNumberFormat="1" applyFont="1" applyBorder="1" applyAlignment="1">
      <alignment horizontal="center" vertical="center"/>
    </xf>
    <xf numFmtId="0" fontId="27" fillId="0" borderId="0" xfId="67" applyFont="1" applyAlignment="1">
      <alignment horizontal="center" vertical="center"/>
    </xf>
    <xf numFmtId="0" fontId="27" fillId="0" borderId="0" xfId="48" applyFont="1"/>
    <xf numFmtId="0" fontId="27" fillId="24" borderId="0" xfId="48" applyFont="1" applyFill="1"/>
    <xf numFmtId="0" fontId="46" fillId="0" borderId="0" xfId="48" applyFont="1" applyAlignment="1">
      <alignment horizontal="center" vertical="center"/>
    </xf>
    <xf numFmtId="0" fontId="46" fillId="0" borderId="0" xfId="48" applyFont="1" applyAlignment="1">
      <alignment horizontal="center" vertical="top" wrapText="1"/>
    </xf>
    <xf numFmtId="173" fontId="29" fillId="25" borderId="55" xfId="67" applyNumberFormat="1" applyFont="1" applyFill="1" applyBorder="1" applyAlignment="1">
      <alignment horizontal="center" vertical="center"/>
    </xf>
    <xf numFmtId="176" fontId="66" fillId="0" borderId="0" xfId="67" applyNumberFormat="1" applyFont="1" applyAlignment="1">
      <alignment horizontal="center" vertical="center"/>
    </xf>
    <xf numFmtId="1" fontId="66" fillId="0" borderId="0" xfId="67" applyNumberFormat="1" applyFont="1" applyAlignment="1">
      <alignment horizontal="center" vertical="center"/>
    </xf>
    <xf numFmtId="2" fontId="29" fillId="25" borderId="55" xfId="67" applyNumberFormat="1" applyFont="1" applyFill="1" applyBorder="1" applyAlignment="1">
      <alignment horizontal="center" vertical="center"/>
    </xf>
    <xf numFmtId="175" fontId="66" fillId="0" borderId="0" xfId="67" applyNumberFormat="1" applyFont="1" applyAlignment="1">
      <alignment horizontal="center" vertical="center"/>
    </xf>
    <xf numFmtId="192" fontId="66" fillId="0" borderId="0" xfId="67" applyNumberFormat="1" applyFont="1" applyAlignment="1">
      <alignment horizontal="center" vertical="center"/>
    </xf>
    <xf numFmtId="0" fontId="67" fillId="0" borderId="0" xfId="48" applyFont="1"/>
    <xf numFmtId="0" fontId="67" fillId="24" borderId="0" xfId="48" applyFont="1" applyFill="1"/>
    <xf numFmtId="0" fontId="69" fillId="31" borderId="61" xfId="48" applyFont="1" applyFill="1" applyBorder="1" applyAlignment="1">
      <alignment horizontal="center" vertical="center" wrapText="1"/>
    </xf>
    <xf numFmtId="0" fontId="69" fillId="31" borderId="62" xfId="48" applyFont="1" applyFill="1" applyBorder="1" applyAlignment="1">
      <alignment horizontal="center" vertical="center" wrapText="1"/>
    </xf>
    <xf numFmtId="0" fontId="69" fillId="31" borderId="63" xfId="48" applyFont="1" applyFill="1" applyBorder="1" applyAlignment="1">
      <alignment horizontal="center" vertical="center" wrapText="1"/>
    </xf>
    <xf numFmtId="174" fontId="29" fillId="26" borderId="55" xfId="67" applyNumberFormat="1" applyFont="1" applyFill="1" applyBorder="1" applyAlignment="1">
      <alignment horizontal="center" vertical="center"/>
    </xf>
    <xf numFmtId="0" fontId="29" fillId="0" borderId="56" xfId="48" applyFont="1" applyBorder="1" applyAlignment="1">
      <alignment horizontal="center" vertical="top" wrapText="1"/>
    </xf>
    <xf numFmtId="0" fontId="29" fillId="0" borderId="56" xfId="67" applyFont="1" applyBorder="1" applyAlignment="1">
      <alignment horizontal="center" vertical="center"/>
    </xf>
    <xf numFmtId="0" fontId="29" fillId="0" borderId="56" xfId="48" applyFont="1" applyBorder="1" applyAlignment="1">
      <alignment horizontal="left" vertical="top" wrapText="1"/>
    </xf>
    <xf numFmtId="178" fontId="29" fillId="0" borderId="56" xfId="48" applyNumberFormat="1" applyFont="1" applyBorder="1" applyAlignment="1">
      <alignment horizontal="center" vertical="center" wrapText="1"/>
    </xf>
    <xf numFmtId="0" fontId="29" fillId="0" borderId="56" xfId="48" applyFont="1" applyBorder="1" applyAlignment="1">
      <alignment horizontal="center" vertical="center"/>
    </xf>
    <xf numFmtId="175" fontId="29" fillId="0" borderId="56" xfId="67" applyNumberFormat="1" applyFont="1" applyBorder="1" applyAlignment="1">
      <alignment horizontal="center" vertical="center"/>
    </xf>
    <xf numFmtId="178" fontId="29" fillId="0" borderId="56" xfId="67" applyNumberFormat="1" applyFont="1" applyBorder="1" applyAlignment="1">
      <alignment horizontal="center" vertical="center"/>
    </xf>
    <xf numFmtId="0" fontId="29" fillId="0" borderId="0" xfId="48" applyFont="1" applyAlignment="1">
      <alignment horizontal="center" vertical="top" wrapText="1"/>
    </xf>
    <xf numFmtId="0" fontId="29" fillId="0" borderId="0" xfId="67" applyFont="1" applyAlignment="1">
      <alignment horizontal="center" vertical="center"/>
    </xf>
    <xf numFmtId="0" fontId="29" fillId="0" borderId="0" xfId="48" applyFont="1" applyAlignment="1">
      <alignment horizontal="left" vertical="top" wrapText="1"/>
    </xf>
    <xf numFmtId="178" fontId="29" fillId="0" borderId="0" xfId="48" applyNumberFormat="1" applyFont="1" applyAlignment="1">
      <alignment horizontal="center" vertical="center" wrapText="1"/>
    </xf>
    <xf numFmtId="0" fontId="29" fillId="0" borderId="0" xfId="48" applyFont="1" applyAlignment="1">
      <alignment horizontal="center" vertical="center"/>
    </xf>
    <xf numFmtId="175" fontId="29" fillId="0" borderId="0" xfId="67" applyNumberFormat="1" applyFont="1" applyAlignment="1">
      <alignment horizontal="center" vertical="center"/>
    </xf>
    <xf numFmtId="178" fontId="29" fillId="0" borderId="0" xfId="67" applyNumberFormat="1" applyFont="1" applyAlignment="1">
      <alignment horizontal="center" vertical="center"/>
    </xf>
    <xf numFmtId="191" fontId="37" fillId="0" borderId="0" xfId="51" applyNumberFormat="1" applyFont="1" applyAlignment="1">
      <alignment horizontal="center" vertical="center"/>
    </xf>
    <xf numFmtId="0" fontId="73" fillId="0" borderId="0" xfId="0" applyFont="1" applyAlignment="1">
      <alignment horizontal="center" vertical="center"/>
    </xf>
    <xf numFmtId="173" fontId="29" fillId="29" borderId="26" xfId="56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91" fontId="37" fillId="0" borderId="22" xfId="30" applyNumberFormat="1" applyFont="1" applyBorder="1" applyProtection="1">
      <alignment horizontal="center" vertical="center"/>
      <protection locked="0"/>
    </xf>
    <xf numFmtId="0" fontId="36" fillId="0" borderId="0" xfId="51" applyFont="1" applyAlignment="1">
      <alignment vertical="center"/>
    </xf>
    <xf numFmtId="0" fontId="42" fillId="0" borderId="0" xfId="0" applyFont="1"/>
    <xf numFmtId="0" fontId="42" fillId="26" borderId="0" xfId="0" applyFont="1" applyFill="1"/>
    <xf numFmtId="0" fontId="42" fillId="0" borderId="0" xfId="0" applyFont="1" applyAlignment="1">
      <alignment horizontal="center" vertical="center" wrapText="1"/>
    </xf>
    <xf numFmtId="0" fontId="42" fillId="0" borderId="0" xfId="0" applyFont="1" applyAlignment="1">
      <alignment vertical="center" wrapText="1"/>
    </xf>
    <xf numFmtId="0" fontId="42" fillId="0" borderId="0" xfId="0" applyFont="1" applyAlignment="1">
      <alignment horizontal="center"/>
    </xf>
    <xf numFmtId="0" fontId="29" fillId="0" borderId="0" xfId="51" applyFont="1" applyAlignment="1">
      <alignment vertical="center" wrapText="1"/>
    </xf>
    <xf numFmtId="0" fontId="26" fillId="0" borderId="0" xfId="51" applyFont="1" applyAlignment="1">
      <alignment vertical="center" wrapText="1"/>
    </xf>
    <xf numFmtId="0" fontId="29" fillId="0" borderId="0" xfId="51" applyFont="1" applyAlignment="1" applyProtection="1">
      <alignment vertical="center" wrapText="1"/>
      <protection locked="0"/>
    </xf>
    <xf numFmtId="0" fontId="26" fillId="0" borderId="0" xfId="51" applyFont="1" applyAlignment="1" applyProtection="1">
      <alignment vertical="center" wrapText="1"/>
      <protection locked="0"/>
    </xf>
    <xf numFmtId="0" fontId="30" fillId="0" borderId="0" xfId="51" applyFont="1" applyAlignment="1" applyProtection="1">
      <alignment vertical="center" wrapText="1"/>
      <protection locked="0"/>
    </xf>
    <xf numFmtId="0" fontId="30" fillId="0" borderId="0" xfId="51" applyFont="1" applyAlignment="1">
      <alignment vertical="center" wrapText="1"/>
    </xf>
    <xf numFmtId="0" fontId="40" fillId="0" borderId="0" xfId="51" applyFont="1" applyAlignment="1">
      <alignment wrapText="1"/>
    </xf>
    <xf numFmtId="0" fontId="35" fillId="0" borderId="0" xfId="51" applyFont="1" applyAlignment="1">
      <alignment wrapText="1"/>
    </xf>
    <xf numFmtId="0" fontId="27" fillId="0" borderId="0" xfId="0" applyFont="1" applyAlignment="1">
      <alignment vertical="center" wrapText="1"/>
    </xf>
    <xf numFmtId="0" fontId="26" fillId="0" borderId="10" xfId="47" applyFont="1" applyBorder="1" applyAlignment="1">
      <alignment horizontal="center"/>
    </xf>
    <xf numFmtId="2" fontId="26" fillId="0" borderId="22" xfId="47" applyNumberFormat="1" applyFont="1" applyBorder="1" applyAlignment="1">
      <alignment horizontal="center"/>
    </xf>
    <xf numFmtId="0" fontId="27" fillId="0" borderId="0" xfId="0" applyFont="1"/>
    <xf numFmtId="0" fontId="26" fillId="0" borderId="11" xfId="47" applyFont="1" applyBorder="1" applyAlignment="1">
      <alignment horizontal="center"/>
    </xf>
    <xf numFmtId="2" fontId="26" fillId="0" borderId="17" xfId="47" applyNumberFormat="1" applyFont="1" applyBorder="1" applyAlignment="1">
      <alignment horizontal="center"/>
    </xf>
    <xf numFmtId="177" fontId="26" fillId="0" borderId="17" xfId="47" applyNumberFormat="1" applyFont="1" applyBorder="1" applyAlignment="1">
      <alignment horizontal="center"/>
    </xf>
    <xf numFmtId="0" fontId="26" fillId="0" borderId="12" xfId="47" applyFont="1" applyBorder="1" applyAlignment="1">
      <alignment horizontal="center"/>
    </xf>
    <xf numFmtId="2" fontId="26" fillId="0" borderId="20" xfId="47" applyNumberFormat="1" applyFont="1" applyBorder="1" applyAlignment="1">
      <alignment horizontal="center"/>
    </xf>
    <xf numFmtId="0" fontId="76" fillId="0" borderId="0" xfId="0" applyFont="1" applyAlignment="1">
      <alignment horizontal="center" vertical="center"/>
    </xf>
    <xf numFmtId="0" fontId="76" fillId="0" borderId="17" xfId="0" applyFont="1" applyBorder="1" applyAlignment="1">
      <alignment horizontal="center" vertical="center"/>
    </xf>
    <xf numFmtId="0" fontId="77" fillId="34" borderId="17" xfId="0" applyFont="1" applyFill="1" applyBorder="1" applyAlignment="1">
      <alignment horizontal="center" vertical="center"/>
    </xf>
    <xf numFmtId="0" fontId="78" fillId="0" borderId="17" xfId="0" applyFont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0" fontId="77" fillId="34" borderId="0" xfId="0" applyFont="1" applyFill="1" applyAlignment="1">
      <alignment horizontal="center" vertical="center"/>
    </xf>
    <xf numFmtId="0" fontId="79" fillId="0" borderId="48" xfId="47" applyFont="1" applyBorder="1" applyAlignment="1">
      <alignment horizontal="center" vertical="center" wrapText="1"/>
    </xf>
    <xf numFmtId="0" fontId="79" fillId="0" borderId="49" xfId="47" applyFont="1" applyBorder="1" applyAlignment="1">
      <alignment horizontal="center" vertical="center" wrapText="1"/>
    </xf>
    <xf numFmtId="0" fontId="75" fillId="0" borderId="0" xfId="0" applyFont="1" applyAlignment="1">
      <alignment horizontal="center" vertical="center"/>
    </xf>
    <xf numFmtId="2" fontId="29" fillId="0" borderId="55" xfId="67" applyNumberFormat="1" applyFont="1" applyBorder="1" applyAlignment="1">
      <alignment horizontal="center" vertical="center"/>
    </xf>
    <xf numFmtId="0" fontId="54" fillId="0" borderId="0" xfId="52" applyFont="1" applyAlignment="1">
      <alignment vertical="center"/>
    </xf>
    <xf numFmtId="0" fontId="69" fillId="35" borderId="63" xfId="48" applyFont="1" applyFill="1" applyBorder="1" applyAlignment="1">
      <alignment horizontal="center" vertical="center" wrapText="1"/>
    </xf>
    <xf numFmtId="10" fontId="29" fillId="0" borderId="55" xfId="71" applyNumberFormat="1" applyFont="1" applyBorder="1" applyAlignment="1">
      <alignment horizontal="center" vertical="center"/>
    </xf>
    <xf numFmtId="0" fontId="54" fillId="31" borderId="29" xfId="56" applyFont="1" applyFill="1" applyBorder="1" applyAlignment="1">
      <alignment horizontal="right" vertical="center" wrapText="1"/>
    </xf>
    <xf numFmtId="0" fontId="54" fillId="30" borderId="29" xfId="56" applyFont="1" applyFill="1" applyBorder="1" applyAlignment="1">
      <alignment horizontal="right" vertical="center" wrapText="1"/>
    </xf>
    <xf numFmtId="0" fontId="54" fillId="33" borderId="29" xfId="56" applyFont="1" applyFill="1" applyBorder="1" applyAlignment="1">
      <alignment horizontal="right" vertical="center" wrapText="1"/>
    </xf>
    <xf numFmtId="0" fontId="81" fillId="0" borderId="64" xfId="47" applyFont="1" applyBorder="1" applyAlignment="1">
      <alignment horizontal="center"/>
    </xf>
    <xf numFmtId="0" fontId="37" fillId="0" borderId="22" xfId="51" applyFont="1" applyBorder="1" applyAlignment="1">
      <alignment horizontal="center" vertical="center" wrapText="1"/>
    </xf>
    <xf numFmtId="178" fontId="37" fillId="0" borderId="22" xfId="51" applyNumberFormat="1" applyFont="1" applyBorder="1" applyAlignment="1">
      <alignment horizontal="center" vertical="center" wrapText="1"/>
    </xf>
    <xf numFmtId="0" fontId="37" fillId="0" borderId="0" xfId="51" applyFont="1" applyAlignment="1">
      <alignment horizontal="center" vertical="center" wrapText="1"/>
    </xf>
    <xf numFmtId="174" fontId="37" fillId="0" borderId="22" xfId="51" applyNumberFormat="1" applyFont="1" applyBorder="1" applyAlignment="1">
      <alignment horizontal="center" vertical="center" wrapText="1"/>
    </xf>
    <xf numFmtId="174" fontId="37" fillId="29" borderId="22" xfId="51" applyNumberFormat="1" applyFont="1" applyFill="1" applyBorder="1" applyAlignment="1">
      <alignment horizontal="center" vertical="center" wrapText="1"/>
    </xf>
    <xf numFmtId="0" fontId="46" fillId="0" borderId="40" xfId="51" applyFont="1" applyBorder="1" applyAlignment="1" applyProtection="1">
      <alignment vertical="center" wrapText="1"/>
      <protection locked="0"/>
    </xf>
    <xf numFmtId="0" fontId="46" fillId="0" borderId="37" xfId="51" applyFont="1" applyBorder="1" applyAlignment="1" applyProtection="1">
      <alignment vertical="center" wrapText="1"/>
      <protection locked="0"/>
    </xf>
    <xf numFmtId="0" fontId="34" fillId="0" borderId="31" xfId="51" applyFont="1" applyBorder="1" applyAlignment="1">
      <alignment horizontal="center" vertical="center"/>
    </xf>
    <xf numFmtId="0" fontId="34" fillId="0" borderId="30" xfId="57" applyFont="1" applyBorder="1" applyAlignment="1">
      <alignment horizontal="center" vertical="center" wrapText="1"/>
    </xf>
    <xf numFmtId="0" fontId="34" fillId="30" borderId="30" xfId="57" applyFont="1" applyFill="1" applyBorder="1" applyAlignment="1">
      <alignment horizontal="center" vertical="center" wrapText="1"/>
    </xf>
    <xf numFmtId="0" fontId="34" fillId="30" borderId="65" xfId="57" applyFont="1" applyFill="1" applyBorder="1" applyAlignment="1">
      <alignment horizontal="center" vertical="center" wrapText="1"/>
    </xf>
    <xf numFmtId="0" fontId="34" fillId="30" borderId="66" xfId="57" applyFont="1" applyFill="1" applyBorder="1" applyAlignment="1">
      <alignment horizontal="center" vertical="center" wrapText="1"/>
    </xf>
    <xf numFmtId="0" fontId="34" fillId="30" borderId="67" xfId="57" applyFont="1" applyFill="1" applyBorder="1" applyAlignment="1">
      <alignment horizontal="center" vertical="center" wrapText="1"/>
    </xf>
    <xf numFmtId="177" fontId="29" fillId="0" borderId="26" xfId="56" applyNumberFormat="1" applyFont="1" applyBorder="1" applyAlignment="1">
      <alignment horizontal="center" vertical="center"/>
    </xf>
    <xf numFmtId="176" fontId="29" fillId="0" borderId="26" xfId="56" applyNumberFormat="1" applyFont="1" applyBorder="1" applyAlignment="1">
      <alignment horizontal="center" vertical="center"/>
    </xf>
    <xf numFmtId="174" fontId="29" fillId="0" borderId="26" xfId="56" applyNumberFormat="1" applyFont="1" applyBorder="1" applyAlignment="1">
      <alignment horizontal="center" vertical="center"/>
    </xf>
    <xf numFmtId="1" fontId="29" fillId="0" borderId="26" xfId="56" applyNumberFormat="1" applyFont="1" applyBorder="1" applyAlignment="1">
      <alignment horizontal="center" vertical="center"/>
    </xf>
    <xf numFmtId="2" fontId="29" fillId="0" borderId="26" xfId="56" applyNumberFormat="1" applyFont="1" applyBorder="1" applyAlignment="1">
      <alignment horizontal="center" vertical="center"/>
    </xf>
    <xf numFmtId="0" fontId="80" fillId="0" borderId="25" xfId="56" applyFont="1" applyBorder="1"/>
    <xf numFmtId="0" fontId="50" fillId="0" borderId="28" xfId="56" applyFont="1" applyBorder="1" applyAlignment="1">
      <alignment horizontal="center" vertical="center" wrapText="1"/>
    </xf>
    <xf numFmtId="0" fontId="50" fillId="29" borderId="28" xfId="56" applyFont="1" applyFill="1" applyBorder="1" applyAlignment="1">
      <alignment horizontal="center" vertical="center" wrapText="1"/>
    </xf>
    <xf numFmtId="0" fontId="29" fillId="0" borderId="69" xfId="56" applyFont="1" applyBorder="1" applyAlignment="1">
      <alignment vertical="center" wrapText="1"/>
    </xf>
    <xf numFmtId="0" fontId="41" fillId="0" borderId="0" xfId="51" applyFont="1" applyAlignment="1">
      <alignment horizontal="left"/>
    </xf>
    <xf numFmtId="182" fontId="35" fillId="0" borderId="0" xfId="51" applyNumberFormat="1" applyFont="1" applyAlignment="1">
      <alignment horizontal="center"/>
    </xf>
    <xf numFmtId="183" fontId="35" fillId="0" borderId="0" xfId="51" applyNumberFormat="1" applyFont="1" applyAlignment="1">
      <alignment horizontal="center"/>
    </xf>
    <xf numFmtId="0" fontId="29" fillId="0" borderId="11" xfId="56" applyFont="1" applyBorder="1" applyAlignment="1">
      <alignment vertical="center" wrapText="1"/>
    </xf>
    <xf numFmtId="177" fontId="29" fillId="0" borderId="17" xfId="56" applyNumberFormat="1" applyFont="1" applyBorder="1" applyAlignment="1">
      <alignment horizontal="center" vertical="center"/>
    </xf>
    <xf numFmtId="173" fontId="29" fillId="29" borderId="17" xfId="56" applyNumberFormat="1" applyFont="1" applyFill="1" applyBorder="1" applyAlignment="1">
      <alignment horizontal="center" vertical="center"/>
    </xf>
    <xf numFmtId="176" fontId="29" fillId="0" borderId="17" xfId="56" applyNumberFormat="1" applyFont="1" applyBorder="1" applyAlignment="1">
      <alignment horizontal="center" vertical="center"/>
    </xf>
    <xf numFmtId="174" fontId="29" fillId="0" borderId="17" xfId="56" applyNumberFormat="1" applyFont="1" applyBorder="1" applyAlignment="1">
      <alignment horizontal="center" vertical="center"/>
    </xf>
    <xf numFmtId="1" fontId="29" fillId="0" borderId="17" xfId="56" applyNumberFormat="1" applyFont="1" applyBorder="1" applyAlignment="1">
      <alignment horizontal="center" vertical="center"/>
    </xf>
    <xf numFmtId="2" fontId="29" fillId="0" borderId="17" xfId="56" applyNumberFormat="1" applyFont="1" applyBorder="1" applyAlignment="1">
      <alignment horizontal="center" vertical="center"/>
    </xf>
    <xf numFmtId="173" fontId="29" fillId="0" borderId="19" xfId="56" applyNumberFormat="1" applyFont="1" applyBorder="1" applyAlignment="1">
      <alignment horizontal="center" vertical="center"/>
    </xf>
    <xf numFmtId="0" fontId="53" fillId="0" borderId="0" xfId="51" applyFont="1" applyAlignment="1">
      <alignment horizontal="center"/>
    </xf>
    <xf numFmtId="0" fontId="29" fillId="0" borderId="0" xfId="51" applyFont="1" applyAlignment="1">
      <alignment vertical="top"/>
    </xf>
    <xf numFmtId="0" fontId="40" fillId="0" borderId="0" xfId="51" applyFont="1" applyAlignment="1">
      <alignment vertical="top"/>
    </xf>
    <xf numFmtId="182" fontId="40" fillId="0" borderId="0" xfId="51" applyNumberFormat="1" applyFont="1" applyAlignment="1">
      <alignment horizontal="center" vertical="top"/>
    </xf>
    <xf numFmtId="183" fontId="40" fillId="0" borderId="0" xfId="51" applyNumberFormat="1" applyFont="1" applyAlignment="1">
      <alignment horizontal="center" vertical="top"/>
    </xf>
    <xf numFmtId="0" fontId="40" fillId="0" borderId="0" xfId="51" applyFont="1" applyAlignment="1">
      <alignment vertical="top" wrapText="1"/>
    </xf>
    <xf numFmtId="0" fontId="82" fillId="0" borderId="0" xfId="51" applyFont="1"/>
    <xf numFmtId="0" fontId="35" fillId="0" borderId="0" xfId="51" applyFont="1" applyAlignment="1">
      <alignment vertical="center"/>
    </xf>
    <xf numFmtId="183" fontId="35" fillId="0" borderId="0" xfId="51" applyNumberFormat="1" applyFont="1" applyAlignment="1">
      <alignment horizontal="center" vertical="center"/>
    </xf>
    <xf numFmtId="0" fontId="40" fillId="0" borderId="0" xfId="51" applyFont="1" applyAlignment="1">
      <alignment vertical="center" wrapText="1"/>
    </xf>
    <xf numFmtId="0" fontId="35" fillId="0" borderId="0" xfId="51" applyFont="1" applyAlignment="1">
      <alignment vertical="center" wrapText="1"/>
    </xf>
    <xf numFmtId="0" fontId="76" fillId="0" borderId="0" xfId="0" applyFont="1" applyAlignment="1">
      <alignment horizontal="left" vertical="center"/>
    </xf>
    <xf numFmtId="0" fontId="83" fillId="0" borderId="0" xfId="57" applyFont="1" applyAlignment="1">
      <alignment horizontal="right" vertical="center" indent="1"/>
    </xf>
    <xf numFmtId="0" fontId="83" fillId="0" borderId="0" xfId="57" applyFont="1" applyAlignment="1">
      <alignment horizontal="left" vertical="center"/>
    </xf>
    <xf numFmtId="0" fontId="83" fillId="0" borderId="0" xfId="57" applyFont="1" applyAlignment="1">
      <alignment vertical="center"/>
    </xf>
    <xf numFmtId="0" fontId="60" fillId="0" borderId="0" xfId="51" applyFont="1" applyAlignment="1">
      <alignment horizontal="center" vertical="top"/>
    </xf>
    <xf numFmtId="0" fontId="26" fillId="0" borderId="0" xfId="51" applyFont="1" applyAlignment="1">
      <alignment vertical="top"/>
    </xf>
    <xf numFmtId="0" fontId="37" fillId="29" borderId="22" xfId="51" applyFont="1" applyFill="1" applyBorder="1" applyAlignment="1">
      <alignment horizontal="center" vertical="center" wrapText="1"/>
    </xf>
    <xf numFmtId="195" fontId="49" fillId="0" borderId="0" xfId="51" applyNumberFormat="1" applyFont="1"/>
    <xf numFmtId="195" fontId="37" fillId="27" borderId="22" xfId="51" applyNumberFormat="1" applyFont="1" applyFill="1" applyBorder="1" applyAlignment="1">
      <alignment horizontal="center" vertical="center"/>
    </xf>
    <xf numFmtId="195" fontId="37" fillId="0" borderId="22" xfId="51" applyNumberFormat="1" applyFont="1" applyBorder="1" applyAlignment="1">
      <alignment horizontal="center" vertical="center"/>
    </xf>
    <xf numFmtId="193" fontId="49" fillId="0" borderId="0" xfId="51" applyNumberFormat="1" applyFont="1"/>
    <xf numFmtId="194" fontId="49" fillId="0" borderId="0" xfId="51" applyNumberFormat="1" applyFont="1"/>
    <xf numFmtId="0" fontId="32" fillId="0" borderId="0" xfId="56" applyFont="1"/>
    <xf numFmtId="0" fontId="37" fillId="0" borderId="26" xfId="51" applyFont="1" applyBorder="1" applyAlignment="1">
      <alignment horizontal="center" vertical="center"/>
    </xf>
    <xf numFmtId="0" fontId="37" fillId="0" borderId="17" xfId="51" applyFont="1" applyBorder="1" applyAlignment="1">
      <alignment horizontal="center" vertical="center"/>
    </xf>
    <xf numFmtId="0" fontId="84" fillId="0" borderId="17" xfId="51" applyFont="1" applyBorder="1" applyAlignment="1">
      <alignment horizontal="center" vertical="center"/>
    </xf>
    <xf numFmtId="0" fontId="85" fillId="0" borderId="0" xfId="51" applyFont="1" applyAlignment="1">
      <alignment horizontal="center" vertical="center"/>
    </xf>
    <xf numFmtId="0" fontId="36" fillId="0" borderId="0" xfId="51" applyFont="1" applyAlignment="1" applyProtection="1">
      <alignment vertical="center"/>
      <protection locked="0"/>
    </xf>
    <xf numFmtId="0" fontId="74" fillId="0" borderId="0" xfId="51" applyFont="1" applyAlignment="1" applyProtection="1">
      <alignment vertical="center"/>
      <protection locked="0"/>
    </xf>
    <xf numFmtId="0" fontId="38" fillId="0" borderId="0" xfId="51" applyFont="1" applyAlignment="1" applyProtection="1">
      <alignment horizontal="center" vertical="center"/>
      <protection locked="0"/>
    </xf>
    <xf numFmtId="0" fontId="35" fillId="0" borderId="0" xfId="51" applyFont="1" applyAlignment="1" applyProtection="1">
      <alignment vertical="center"/>
      <protection locked="0"/>
    </xf>
    <xf numFmtId="0" fontId="37" fillId="0" borderId="0" xfId="51" applyFont="1" applyAlignment="1">
      <alignment vertical="center"/>
    </xf>
    <xf numFmtId="0" fontId="50" fillId="0" borderId="0" xfId="51" quotePrefix="1" applyFont="1" applyAlignment="1">
      <alignment horizontal="center"/>
    </xf>
    <xf numFmtId="0" fontId="74" fillId="0" borderId="0" xfId="51" applyFont="1" applyProtection="1">
      <protection locked="0"/>
    </xf>
    <xf numFmtId="0" fontId="35" fillId="0" borderId="0" xfId="51" applyFont="1" applyProtection="1">
      <protection locked="0"/>
    </xf>
    <xf numFmtId="0" fontId="50" fillId="0" borderId="0" xfId="51" applyFont="1"/>
    <xf numFmtId="0" fontId="37" fillId="0" borderId="0" xfId="51" applyFont="1" applyAlignment="1">
      <alignment horizontal="left" vertical="center"/>
    </xf>
    <xf numFmtId="0" fontId="34" fillId="0" borderId="0" xfId="51" applyFont="1" applyAlignment="1">
      <alignment vertical="top"/>
    </xf>
    <xf numFmtId="0" fontId="34" fillId="0" borderId="0" xfId="51" applyFont="1" applyAlignment="1">
      <alignment vertical="top" wrapText="1"/>
    </xf>
    <xf numFmtId="0" fontId="37" fillId="0" borderId="0" xfId="51" applyFont="1" applyAlignment="1">
      <alignment horizontal="left" vertical="top"/>
    </xf>
    <xf numFmtId="0" fontId="37" fillId="0" borderId="0" xfId="51" applyFont="1" applyAlignment="1">
      <alignment horizontal="left" vertical="center" wrapText="1"/>
    </xf>
    <xf numFmtId="0" fontId="29" fillId="0" borderId="0" xfId="51" quotePrefix="1" applyFont="1" applyAlignment="1">
      <alignment vertical="center" wrapText="1"/>
    </xf>
    <xf numFmtId="0" fontId="29" fillId="0" borderId="0" xfId="51" quotePrefix="1" applyFont="1" applyAlignment="1">
      <alignment vertical="center"/>
    </xf>
    <xf numFmtId="0" fontId="72" fillId="24" borderId="0" xfId="58" applyFont="1" applyFill="1" applyAlignment="1">
      <alignment horizontal="center" vertical="center"/>
    </xf>
    <xf numFmtId="0" fontId="72" fillId="0" borderId="0" xfId="58" applyFont="1" applyAlignment="1">
      <alignment horizontal="center" vertical="center"/>
    </xf>
    <xf numFmtId="0" fontId="84" fillId="0" borderId="18" xfId="51" applyFont="1" applyBorder="1" applyAlignment="1">
      <alignment vertical="center"/>
    </xf>
    <xf numFmtId="0" fontId="26" fillId="0" borderId="18" xfId="51" applyFont="1" applyBorder="1" applyAlignment="1">
      <alignment vertical="center"/>
    </xf>
    <xf numFmtId="0" fontId="26" fillId="0" borderId="37" xfId="51" applyFont="1" applyBorder="1" applyAlignment="1">
      <alignment vertical="center"/>
    </xf>
    <xf numFmtId="0" fontId="29" fillId="0" borderId="0" xfId="51" applyFont="1" applyAlignment="1" applyProtection="1">
      <alignment vertical="center"/>
      <protection locked="0"/>
    </xf>
    <xf numFmtId="0" fontId="26" fillId="0" borderId="17" xfId="51" applyFont="1" applyBorder="1" applyAlignment="1">
      <alignment vertical="center"/>
    </xf>
    <xf numFmtId="0" fontId="85" fillId="28" borderId="0" xfId="51" applyFont="1" applyFill="1" applyAlignment="1">
      <alignment horizontal="center" vertical="center" wrapText="1"/>
    </xf>
    <xf numFmtId="0" fontId="85" fillId="0" borderId="0" xfId="51" applyFont="1" applyAlignment="1">
      <alignment horizontal="center" vertical="center" wrapText="1"/>
    </xf>
    <xf numFmtId="0" fontId="27" fillId="0" borderId="0" xfId="51" applyFont="1" applyAlignment="1" applyProtection="1">
      <alignment vertical="center" wrapText="1"/>
      <protection locked="0"/>
    </xf>
    <xf numFmtId="0" fontId="46" fillId="0" borderId="0" xfId="51" applyFont="1" applyAlignment="1">
      <alignment vertical="center"/>
    </xf>
    <xf numFmtId="0" fontId="32" fillId="0" borderId="49" xfId="47" applyFont="1" applyBorder="1" applyAlignment="1">
      <alignment horizontal="center" vertical="center"/>
    </xf>
    <xf numFmtId="0" fontId="87" fillId="0" borderId="29" xfId="57" applyFont="1" applyBorder="1" applyAlignment="1">
      <alignment horizontal="right" vertical="center"/>
    </xf>
    <xf numFmtId="0" fontId="29" fillId="0" borderId="0" xfId="51" applyFont="1" applyAlignment="1">
      <alignment horizontal="center" vertical="center"/>
    </xf>
    <xf numFmtId="0" fontId="30" fillId="0" borderId="0" xfId="51" applyFont="1" applyAlignment="1">
      <alignment horizontal="center" vertical="center"/>
    </xf>
    <xf numFmtId="0" fontId="35" fillId="0" borderId="0" xfId="51" applyFont="1" applyAlignment="1">
      <alignment horizontal="center" vertical="center"/>
    </xf>
    <xf numFmtId="0" fontId="34" fillId="0" borderId="35" xfId="57" applyFont="1" applyBorder="1" applyAlignment="1">
      <alignment horizontal="center" vertical="center" wrapText="1"/>
    </xf>
    <xf numFmtId="0" fontId="89" fillId="0" borderId="0" xfId="51" applyFont="1"/>
    <xf numFmtId="0" fontId="29" fillId="0" borderId="0" xfId="0" applyFont="1" applyAlignment="1">
      <alignment horizontal="center" vertical="center" wrapText="1"/>
    </xf>
    <xf numFmtId="11" fontId="29" fillId="0" borderId="27" xfId="56" applyNumberFormat="1" applyFont="1" applyBorder="1" applyAlignment="1">
      <alignment horizontal="center" vertical="center"/>
    </xf>
    <xf numFmtId="0" fontId="57" fillId="0" borderId="0" xfId="51" applyFont="1" applyAlignment="1">
      <alignment horizontal="left" vertical="top"/>
    </xf>
    <xf numFmtId="0" fontId="31" fillId="0" borderId="0" xfId="51" applyFont="1" applyAlignment="1">
      <alignment horizontal="left"/>
    </xf>
    <xf numFmtId="0" fontId="35" fillId="0" borderId="0" xfId="51" applyFont="1" applyAlignment="1">
      <alignment horizontal="center"/>
    </xf>
    <xf numFmtId="0" fontId="37" fillId="0" borderId="0" xfId="51" applyFont="1" applyAlignment="1" applyProtection="1">
      <alignment horizontal="left" vertical="center" wrapText="1"/>
      <protection locked="0"/>
    </xf>
    <xf numFmtId="0" fontId="37" fillId="0" borderId="0" xfId="51" applyFont="1" applyAlignment="1" applyProtection="1">
      <alignment horizontal="left" vertical="center"/>
      <protection locked="0"/>
    </xf>
    <xf numFmtId="196" fontId="72" fillId="0" borderId="0" xfId="51" applyNumberFormat="1" applyFont="1" applyAlignment="1">
      <alignment horizontal="center"/>
    </xf>
    <xf numFmtId="188" fontId="72" fillId="0" borderId="0" xfId="51" applyNumberFormat="1" applyFont="1" applyAlignment="1">
      <alignment horizontal="center"/>
    </xf>
    <xf numFmtId="0" fontId="72" fillId="0" borderId="0" xfId="51" applyFont="1" applyAlignment="1">
      <alignment horizontal="center"/>
    </xf>
    <xf numFmtId="0" fontId="30" fillId="0" borderId="0" xfId="51" applyFont="1"/>
    <xf numFmtId="0" fontId="26" fillId="0" borderId="0" xfId="51" applyFont="1"/>
    <xf numFmtId="194" fontId="37" fillId="0" borderId="35" xfId="51" applyNumberFormat="1" applyFont="1" applyBorder="1" applyAlignment="1">
      <alignment horizontal="center" vertical="center"/>
    </xf>
    <xf numFmtId="193" fontId="37" fillId="0" borderId="35" xfId="51" applyNumberFormat="1" applyFont="1" applyBorder="1" applyAlignment="1">
      <alignment horizontal="center" vertical="center"/>
    </xf>
    <xf numFmtId="195" fontId="37" fillId="0" borderId="35" xfId="51" applyNumberFormat="1" applyFont="1" applyBorder="1" applyAlignment="1">
      <alignment horizontal="center" vertical="center"/>
    </xf>
    <xf numFmtId="0" fontId="90" fillId="0" borderId="0" xfId="0" applyFont="1" applyAlignment="1">
      <alignment horizontal="center" vertical="center"/>
    </xf>
    <xf numFmtId="0" fontId="90" fillId="0" borderId="0" xfId="0" applyFont="1"/>
    <xf numFmtId="0" fontId="90" fillId="0" borderId="29" xfId="0" applyFont="1" applyBorder="1" applyAlignment="1">
      <alignment horizontal="left"/>
    </xf>
    <xf numFmtId="0" fontId="42" fillId="0" borderId="29" xfId="0" applyFont="1" applyBorder="1" applyAlignment="1">
      <alignment horizontal="center" vertical="center" wrapText="1"/>
    </xf>
    <xf numFmtId="0" fontId="76" fillId="0" borderId="29" xfId="0" applyFont="1" applyBorder="1" applyAlignment="1">
      <alignment vertical="center"/>
    </xf>
    <xf numFmtId="0" fontId="75" fillId="0" borderId="29" xfId="0" applyFont="1" applyBorder="1"/>
    <xf numFmtId="0" fontId="54" fillId="36" borderId="28" xfId="56" applyFont="1" applyFill="1" applyBorder="1" applyAlignment="1">
      <alignment horizontal="center" vertical="center" wrapText="1"/>
    </xf>
    <xf numFmtId="0" fontId="91" fillId="0" borderId="0" xfId="51" applyFont="1"/>
    <xf numFmtId="0" fontId="91" fillId="0" borderId="30" xfId="51" applyFont="1" applyBorder="1" applyAlignment="1">
      <alignment horizontal="center" vertical="center" wrapText="1"/>
    </xf>
    <xf numFmtId="0" fontId="91" fillId="0" borderId="30" xfId="51" applyFont="1" applyBorder="1" applyAlignment="1">
      <alignment horizontal="center"/>
    </xf>
    <xf numFmtId="0" fontId="90" fillId="0" borderId="29" xfId="0" applyFont="1" applyBorder="1" applyAlignment="1">
      <alignment horizontal="center"/>
    </xf>
    <xf numFmtId="0" fontId="42" fillId="0" borderId="29" xfId="0" applyFont="1" applyBorder="1" applyAlignment="1">
      <alignment vertical="center" wrapText="1"/>
    </xf>
    <xf numFmtId="0" fontId="37" fillId="0" borderId="33" xfId="51" applyFont="1" applyBorder="1" applyAlignment="1" applyProtection="1">
      <alignment vertical="center"/>
      <protection locked="0"/>
    </xf>
    <xf numFmtId="0" fontId="36" fillId="0" borderId="33" xfId="51" applyFont="1" applyBorder="1" applyAlignment="1" applyProtection="1">
      <alignment vertical="center"/>
      <protection locked="0"/>
    </xf>
    <xf numFmtId="0" fontId="90" fillId="0" borderId="29" xfId="0" applyFont="1" applyBorder="1"/>
    <xf numFmtId="0" fontId="42" fillId="0" borderId="0" xfId="0" applyFont="1" applyAlignment="1">
      <alignment vertical="center"/>
    </xf>
    <xf numFmtId="0" fontId="73" fillId="0" borderId="0" xfId="0" applyFont="1" applyAlignment="1">
      <alignment vertical="center"/>
    </xf>
    <xf numFmtId="0" fontId="36" fillId="0" borderId="45" xfId="51" applyFont="1" applyBorder="1"/>
    <xf numFmtId="191" fontId="37" fillId="0" borderId="45" xfId="51" applyNumberFormat="1" applyFont="1" applyBorder="1" applyAlignment="1">
      <alignment horizontal="center" vertical="center"/>
    </xf>
    <xf numFmtId="0" fontId="35" fillId="0" borderId="45" xfId="51" applyFont="1" applyBorder="1"/>
    <xf numFmtId="177" fontId="29" fillId="0" borderId="0" xfId="51" applyNumberFormat="1" applyFont="1"/>
    <xf numFmtId="197" fontId="37" fillId="0" borderId="17" xfId="51" applyNumberFormat="1" applyFont="1" applyBorder="1" applyAlignment="1">
      <alignment horizontal="center" vertical="center"/>
    </xf>
    <xf numFmtId="0" fontId="37" fillId="0" borderId="76" xfId="51" applyFont="1" applyBorder="1" applyAlignment="1">
      <alignment horizontal="center" vertical="center"/>
    </xf>
    <xf numFmtId="0" fontId="37" fillId="0" borderId="19" xfId="51" applyFont="1" applyBorder="1" applyAlignment="1">
      <alignment horizontal="center" vertical="center"/>
    </xf>
    <xf numFmtId="189" fontId="37" fillId="0" borderId="19" xfId="51" applyNumberFormat="1" applyFont="1" applyBorder="1" applyAlignment="1">
      <alignment horizontal="center" vertical="center"/>
    </xf>
    <xf numFmtId="0" fontId="34" fillId="0" borderId="15" xfId="51" applyFont="1" applyBorder="1" applyAlignment="1">
      <alignment horizontal="center" vertical="center"/>
    </xf>
    <xf numFmtId="0" fontId="34" fillId="0" borderId="16" xfId="51" applyFont="1" applyBorder="1" applyAlignment="1">
      <alignment horizontal="center" vertical="center"/>
    </xf>
    <xf numFmtId="0" fontId="31" fillId="0" borderId="0" xfId="51" applyFont="1" applyAlignment="1">
      <alignment horizontal="left" vertical="center"/>
    </xf>
    <xf numFmtId="186" fontId="36" fillId="25" borderId="0" xfId="51" applyNumberFormat="1" applyFont="1" applyFill="1"/>
    <xf numFmtId="0" fontId="92" fillId="0" borderId="17" xfId="51" applyFont="1" applyBorder="1" applyAlignment="1">
      <alignment horizontal="center" vertical="center"/>
    </xf>
    <xf numFmtId="186" fontId="36" fillId="0" borderId="0" xfId="51" applyNumberFormat="1" applyFont="1" applyAlignment="1">
      <alignment vertical="center"/>
    </xf>
    <xf numFmtId="0" fontId="35" fillId="0" borderId="0" xfId="51" applyFont="1" applyAlignment="1">
      <alignment horizontal="center" vertical="center" wrapText="1"/>
    </xf>
    <xf numFmtId="0" fontId="82" fillId="0" borderId="0" xfId="51" applyFont="1" applyAlignment="1">
      <alignment vertical="top"/>
    </xf>
    <xf numFmtId="0" fontId="40" fillId="0" borderId="0" xfId="51" applyFont="1" applyAlignment="1">
      <alignment horizontal="center" vertical="top" wrapText="1"/>
    </xf>
    <xf numFmtId="0" fontId="40" fillId="0" borderId="0" xfId="51" applyFont="1" applyAlignment="1">
      <alignment horizontal="center" vertical="top"/>
    </xf>
    <xf numFmtId="0" fontId="34" fillId="0" borderId="0" xfId="57" applyFont="1" applyAlignment="1">
      <alignment horizontal="center" vertical="center" wrapText="1"/>
    </xf>
    <xf numFmtId="0" fontId="30" fillId="0" borderId="0" xfId="51" applyFont="1" applyAlignment="1">
      <alignment horizontal="center" vertical="center" wrapText="1"/>
    </xf>
    <xf numFmtId="0" fontId="30" fillId="0" borderId="77" xfId="51" applyFont="1" applyBorder="1" applyAlignment="1">
      <alignment horizontal="center" vertical="center" wrapText="1"/>
    </xf>
    <xf numFmtId="198" fontId="37" fillId="0" borderId="17" xfId="51" applyNumberFormat="1" applyFont="1" applyBorder="1" applyAlignment="1">
      <alignment horizontal="center" vertical="center"/>
    </xf>
    <xf numFmtId="199" fontId="37" fillId="0" borderId="17" xfId="51" applyNumberFormat="1" applyFont="1" applyBorder="1" applyAlignment="1">
      <alignment horizontal="center" vertical="center"/>
    </xf>
    <xf numFmtId="199" fontId="37" fillId="29" borderId="17" xfId="51" applyNumberFormat="1" applyFont="1" applyFill="1" applyBorder="1" applyAlignment="1">
      <alignment horizontal="center" vertical="center"/>
    </xf>
    <xf numFmtId="199" fontId="37" fillId="29" borderId="17" xfId="30" applyNumberFormat="1" applyFont="1" applyFill="1" applyBorder="1" applyProtection="1">
      <alignment horizontal="center" vertical="center"/>
      <protection locked="0"/>
    </xf>
    <xf numFmtId="174" fontId="37" fillId="0" borderId="0" xfId="51" applyNumberFormat="1" applyFont="1" applyAlignment="1">
      <alignment horizontal="center" vertical="center" wrapText="1"/>
    </xf>
    <xf numFmtId="0" fontId="30" fillId="0" borderId="0" xfId="51" applyFont="1" applyAlignment="1">
      <alignment horizontal="center" wrapText="1"/>
    </xf>
    <xf numFmtId="0" fontId="92" fillId="0" borderId="0" xfId="51" applyFont="1" applyAlignment="1">
      <alignment horizontal="center" vertical="center"/>
    </xf>
    <xf numFmtId="200" fontId="37" fillId="0" borderId="17" xfId="51" applyNumberFormat="1" applyFont="1" applyBorder="1" applyAlignment="1">
      <alignment horizontal="center" vertical="center"/>
    </xf>
    <xf numFmtId="201" fontId="37" fillId="0" borderId="17" xfId="51" applyNumberFormat="1" applyFont="1" applyBorder="1" applyAlignment="1">
      <alignment horizontal="center" vertical="center"/>
    </xf>
    <xf numFmtId="201" fontId="37" fillId="29" borderId="17" xfId="51" applyNumberFormat="1" applyFont="1" applyFill="1" applyBorder="1" applyAlignment="1">
      <alignment horizontal="center" vertical="center"/>
    </xf>
    <xf numFmtId="201" fontId="37" fillId="29" borderId="17" xfId="30" applyNumberFormat="1" applyFont="1" applyFill="1" applyBorder="1" applyProtection="1">
      <alignment horizontal="center" vertical="center"/>
      <protection locked="0"/>
    </xf>
    <xf numFmtId="202" fontId="37" fillId="0" borderId="17" xfId="51" applyNumberFormat="1" applyFont="1" applyBorder="1" applyAlignment="1">
      <alignment horizontal="center" vertical="center"/>
    </xf>
    <xf numFmtId="202" fontId="37" fillId="29" borderId="17" xfId="51" applyNumberFormat="1" applyFont="1" applyFill="1" applyBorder="1" applyAlignment="1">
      <alignment horizontal="center" vertical="center"/>
    </xf>
    <xf numFmtId="202" fontId="37" fillId="29" borderId="17" xfId="30" applyNumberFormat="1" applyFont="1" applyFill="1" applyBorder="1" applyProtection="1">
      <alignment horizontal="center" vertical="center"/>
      <protection locked="0"/>
    </xf>
    <xf numFmtId="200" fontId="59" fillId="0" borderId="0" xfId="51" applyNumberFormat="1" applyFont="1" applyAlignment="1">
      <alignment horizontal="left" vertical="center"/>
    </xf>
    <xf numFmtId="200" fontId="57" fillId="0" borderId="0" xfId="51" applyNumberFormat="1" applyFont="1" applyAlignment="1">
      <alignment horizontal="left" vertical="top"/>
    </xf>
    <xf numFmtId="203" fontId="37" fillId="0" borderId="17" xfId="51" applyNumberFormat="1" applyFont="1" applyBorder="1" applyAlignment="1">
      <alignment horizontal="center" vertical="center"/>
    </xf>
    <xf numFmtId="203" fontId="37" fillId="29" borderId="17" xfId="51" applyNumberFormat="1" applyFont="1" applyFill="1" applyBorder="1" applyAlignment="1">
      <alignment horizontal="center" vertical="center"/>
    </xf>
    <xf numFmtId="203" fontId="37" fillId="29" borderId="17" xfId="30" applyNumberFormat="1" applyFont="1" applyFill="1" applyBorder="1" applyProtection="1">
      <alignment horizontal="center" vertical="center"/>
      <protection locked="0"/>
    </xf>
    <xf numFmtId="204" fontId="37" fillId="0" borderId="17" xfId="51" applyNumberFormat="1" applyFont="1" applyBorder="1" applyAlignment="1">
      <alignment horizontal="center" vertical="center"/>
    </xf>
    <xf numFmtId="204" fontId="37" fillId="29" borderId="17" xfId="51" applyNumberFormat="1" applyFont="1" applyFill="1" applyBorder="1" applyAlignment="1">
      <alignment horizontal="center" vertical="center"/>
    </xf>
    <xf numFmtId="204" fontId="37" fillId="29" borderId="17" xfId="30" applyNumberFormat="1" applyFont="1" applyFill="1" applyBorder="1" applyProtection="1">
      <alignment horizontal="center" vertical="center"/>
      <protection locked="0"/>
    </xf>
    <xf numFmtId="190" fontId="37" fillId="0" borderId="17" xfId="51" applyNumberFormat="1" applyFont="1" applyBorder="1" applyAlignment="1">
      <alignment horizontal="center" vertical="center"/>
    </xf>
    <xf numFmtId="205" fontId="37" fillId="0" borderId="17" xfId="51" applyNumberFormat="1" applyFont="1" applyBorder="1" applyAlignment="1">
      <alignment horizontal="center" vertical="center"/>
    </xf>
    <xf numFmtId="1" fontId="37" fillId="0" borderId="17" xfId="51" applyNumberFormat="1" applyFont="1" applyBorder="1" applyAlignment="1">
      <alignment horizontal="center" vertical="center"/>
    </xf>
    <xf numFmtId="206" fontId="37" fillId="0" borderId="17" xfId="51" applyNumberFormat="1" applyFont="1" applyBorder="1" applyAlignment="1">
      <alignment horizontal="center" vertical="center"/>
    </xf>
    <xf numFmtId="206" fontId="37" fillId="29" borderId="17" xfId="51" applyNumberFormat="1" applyFont="1" applyFill="1" applyBorder="1" applyAlignment="1">
      <alignment horizontal="center" vertical="center"/>
    </xf>
    <xf numFmtId="178" fontId="30" fillId="0" borderId="0" xfId="51" applyNumberFormat="1" applyFont="1" applyAlignment="1">
      <alignment horizontal="center" vertical="center" wrapText="1"/>
    </xf>
    <xf numFmtId="207" fontId="37" fillId="0" borderId="17" xfId="51" applyNumberFormat="1" applyFont="1" applyBorder="1" applyAlignment="1">
      <alignment horizontal="center" vertical="center"/>
    </xf>
    <xf numFmtId="207" fontId="37" fillId="29" borderId="17" xfId="51" applyNumberFormat="1" applyFont="1" applyFill="1" applyBorder="1" applyAlignment="1">
      <alignment horizontal="center" vertical="center"/>
    </xf>
    <xf numFmtId="208" fontId="37" fillId="0" borderId="17" xfId="51" applyNumberFormat="1" applyFont="1" applyBorder="1" applyAlignment="1">
      <alignment horizontal="center" vertical="center"/>
    </xf>
    <xf numFmtId="208" fontId="37" fillId="29" borderId="17" xfId="51" applyNumberFormat="1" applyFont="1" applyFill="1" applyBorder="1" applyAlignment="1">
      <alignment horizontal="center" vertical="center"/>
    </xf>
    <xf numFmtId="208" fontId="37" fillId="29" borderId="17" xfId="30" applyNumberFormat="1" applyFont="1" applyFill="1" applyBorder="1" applyProtection="1">
      <alignment horizontal="center" vertical="center"/>
      <protection locked="0"/>
    </xf>
    <xf numFmtId="209" fontId="37" fillId="0" borderId="17" xfId="51" applyNumberFormat="1" applyFont="1" applyBorder="1" applyAlignment="1">
      <alignment horizontal="center" vertical="center"/>
    </xf>
    <xf numFmtId="209" fontId="37" fillId="29" borderId="17" xfId="51" applyNumberFormat="1" applyFont="1" applyFill="1" applyBorder="1" applyAlignment="1">
      <alignment horizontal="center" vertical="center"/>
    </xf>
    <xf numFmtId="209" fontId="37" fillId="29" borderId="17" xfId="30" applyNumberFormat="1" applyFont="1" applyFill="1" applyBorder="1" applyProtection="1">
      <alignment horizontal="center" vertical="center"/>
      <protection locked="0"/>
    </xf>
    <xf numFmtId="210" fontId="37" fillId="0" borderId="17" xfId="51" applyNumberFormat="1" applyFont="1" applyBorder="1" applyAlignment="1">
      <alignment horizontal="center" vertical="center"/>
    </xf>
    <xf numFmtId="210" fontId="37" fillId="29" borderId="17" xfId="51" applyNumberFormat="1" applyFont="1" applyFill="1" applyBorder="1" applyAlignment="1">
      <alignment horizontal="center" vertical="center"/>
    </xf>
    <xf numFmtId="210" fontId="37" fillId="29" borderId="17" xfId="30" applyNumberFormat="1" applyFont="1" applyFill="1" applyBorder="1" applyProtection="1">
      <alignment horizontal="center" vertical="center"/>
      <protection locked="0"/>
    </xf>
    <xf numFmtId="211" fontId="37" fillId="0" borderId="17" xfId="51" applyNumberFormat="1" applyFont="1" applyBorder="1" applyAlignment="1">
      <alignment horizontal="center" vertical="center"/>
    </xf>
    <xf numFmtId="211" fontId="37" fillId="29" borderId="17" xfId="51" applyNumberFormat="1" applyFont="1" applyFill="1" applyBorder="1" applyAlignment="1">
      <alignment horizontal="center" vertical="center"/>
    </xf>
    <xf numFmtId="211" fontId="37" fillId="29" borderId="17" xfId="30" applyNumberFormat="1" applyFont="1" applyFill="1" applyBorder="1" applyProtection="1">
      <alignment horizontal="center" vertical="center"/>
      <protection locked="0"/>
    </xf>
    <xf numFmtId="212" fontId="37" fillId="0" borderId="17" xfId="51" applyNumberFormat="1" applyFont="1" applyBorder="1" applyAlignment="1">
      <alignment horizontal="center" vertical="center"/>
    </xf>
    <xf numFmtId="212" fontId="37" fillId="29" borderId="17" xfId="51" applyNumberFormat="1" applyFont="1" applyFill="1" applyBorder="1" applyAlignment="1">
      <alignment horizontal="center" vertical="center"/>
    </xf>
    <xf numFmtId="212" fontId="37" fillId="29" borderId="17" xfId="30" applyNumberFormat="1" applyFont="1" applyFill="1" applyBorder="1" applyProtection="1">
      <alignment horizontal="center" vertical="center"/>
      <protection locked="0"/>
    </xf>
    <xf numFmtId="213" fontId="37" fillId="0" borderId="17" xfId="51" applyNumberFormat="1" applyFont="1" applyBorder="1" applyAlignment="1">
      <alignment horizontal="center" vertical="center"/>
    </xf>
    <xf numFmtId="213" fontId="37" fillId="29" borderId="17" xfId="51" applyNumberFormat="1" applyFont="1" applyFill="1" applyBorder="1" applyAlignment="1">
      <alignment horizontal="center" vertical="center"/>
    </xf>
    <xf numFmtId="213" fontId="37" fillId="29" borderId="17" xfId="30" applyNumberFormat="1" applyFont="1" applyFill="1" applyBorder="1" applyProtection="1">
      <alignment horizontal="center" vertical="center"/>
      <protection locked="0"/>
    </xf>
    <xf numFmtId="214" fontId="37" fillId="0" borderId="17" xfId="51" applyNumberFormat="1" applyFont="1" applyBorder="1" applyAlignment="1">
      <alignment horizontal="center" vertical="center"/>
    </xf>
    <xf numFmtId="214" fontId="37" fillId="29" borderId="17" xfId="51" applyNumberFormat="1" applyFont="1" applyFill="1" applyBorder="1" applyAlignment="1">
      <alignment horizontal="center" vertical="center"/>
    </xf>
    <xf numFmtId="214" fontId="37" fillId="29" borderId="17" xfId="30" applyNumberFormat="1" applyFont="1" applyFill="1" applyBorder="1" applyProtection="1">
      <alignment horizontal="center" vertical="center"/>
      <protection locked="0"/>
    </xf>
    <xf numFmtId="215" fontId="37" fillId="0" borderId="17" xfId="51" applyNumberFormat="1" applyFont="1" applyBorder="1" applyAlignment="1">
      <alignment horizontal="center" vertical="center"/>
    </xf>
    <xf numFmtId="215" fontId="37" fillId="29" borderId="17" xfId="51" applyNumberFormat="1" applyFont="1" applyFill="1" applyBorder="1" applyAlignment="1">
      <alignment horizontal="center" vertical="center"/>
    </xf>
    <xf numFmtId="215" fontId="37" fillId="29" borderId="17" xfId="30" applyNumberFormat="1" applyFont="1" applyFill="1" applyBorder="1" applyProtection="1">
      <alignment horizontal="center" vertical="center"/>
      <protection locked="0"/>
    </xf>
    <xf numFmtId="217" fontId="37" fillId="0" borderId="17" xfId="51" applyNumberFormat="1" applyFont="1" applyBorder="1" applyAlignment="1">
      <alignment horizontal="center" vertical="center"/>
    </xf>
    <xf numFmtId="217" fontId="37" fillId="29" borderId="17" xfId="51" applyNumberFormat="1" applyFont="1" applyFill="1" applyBorder="1" applyAlignment="1">
      <alignment horizontal="center" vertical="center"/>
    </xf>
    <xf numFmtId="217" fontId="37" fillId="29" borderId="17" xfId="30" applyNumberFormat="1" applyFont="1" applyFill="1" applyBorder="1" applyProtection="1">
      <alignment horizontal="center" vertical="center"/>
      <protection locked="0"/>
    </xf>
    <xf numFmtId="218" fontId="37" fillId="0" borderId="17" xfId="51" applyNumberFormat="1" applyFont="1" applyBorder="1" applyAlignment="1">
      <alignment horizontal="center" vertical="center"/>
    </xf>
    <xf numFmtId="218" fontId="37" fillId="29" borderId="17" xfId="51" applyNumberFormat="1" applyFont="1" applyFill="1" applyBorder="1" applyAlignment="1">
      <alignment horizontal="center" vertical="center"/>
    </xf>
    <xf numFmtId="218" fontId="37" fillId="29" borderId="17" xfId="30" applyNumberFormat="1" applyFont="1" applyFill="1" applyBorder="1" applyProtection="1">
      <alignment horizontal="center" vertical="center"/>
      <protection locked="0"/>
    </xf>
    <xf numFmtId="219" fontId="37" fillId="0" borderId="17" xfId="51" applyNumberFormat="1" applyFont="1" applyBorder="1" applyAlignment="1">
      <alignment horizontal="center" vertical="center"/>
    </xf>
    <xf numFmtId="219" fontId="37" fillId="29" borderId="17" xfId="51" applyNumberFormat="1" applyFont="1" applyFill="1" applyBorder="1" applyAlignment="1">
      <alignment horizontal="center" vertical="center"/>
    </xf>
    <xf numFmtId="219" fontId="37" fillId="29" borderId="17" xfId="30" applyNumberFormat="1" applyFont="1" applyFill="1" applyBorder="1" applyProtection="1">
      <alignment horizontal="center" vertical="center"/>
      <protection locked="0"/>
    </xf>
    <xf numFmtId="220" fontId="37" fillId="0" borderId="17" xfId="51" applyNumberFormat="1" applyFont="1" applyBorder="1" applyAlignment="1">
      <alignment horizontal="center" vertical="center"/>
    </xf>
    <xf numFmtId="220" fontId="37" fillId="29" borderId="17" xfId="51" applyNumberFormat="1" applyFont="1" applyFill="1" applyBorder="1" applyAlignment="1">
      <alignment horizontal="center" vertical="center"/>
    </xf>
    <xf numFmtId="220" fontId="37" fillId="29" borderId="17" xfId="30" applyNumberFormat="1" applyFont="1" applyFill="1" applyBorder="1" applyProtection="1">
      <alignment horizontal="center" vertical="center"/>
      <protection locked="0"/>
    </xf>
    <xf numFmtId="221" fontId="37" fillId="0" borderId="17" xfId="51" applyNumberFormat="1" applyFont="1" applyBorder="1" applyAlignment="1">
      <alignment horizontal="center" vertical="center"/>
    </xf>
    <xf numFmtId="221" fontId="37" fillId="29" borderId="17" xfId="51" applyNumberFormat="1" applyFont="1" applyFill="1" applyBorder="1" applyAlignment="1">
      <alignment horizontal="center" vertical="center"/>
    </xf>
    <xf numFmtId="221" fontId="37" fillId="29" borderId="17" xfId="30" applyNumberFormat="1" applyFont="1" applyFill="1" applyBorder="1" applyProtection="1">
      <alignment horizontal="center" vertical="center"/>
      <protection locked="0"/>
    </xf>
    <xf numFmtId="197" fontId="37" fillId="0" borderId="0" xfId="51" applyNumberFormat="1" applyFont="1" applyAlignment="1">
      <alignment horizontal="center" vertical="center"/>
    </xf>
    <xf numFmtId="222" fontId="37" fillId="0" borderId="0" xfId="51" applyNumberFormat="1" applyFont="1" applyAlignment="1">
      <alignment horizontal="center" vertical="center"/>
    </xf>
    <xf numFmtId="223" fontId="37" fillId="0" borderId="17" xfId="51" applyNumberFormat="1" applyFont="1" applyBorder="1" applyAlignment="1">
      <alignment horizontal="center" vertical="center"/>
    </xf>
    <xf numFmtId="223" fontId="37" fillId="29" borderId="17" xfId="51" applyNumberFormat="1" applyFont="1" applyFill="1" applyBorder="1" applyAlignment="1">
      <alignment horizontal="center" vertical="center"/>
    </xf>
    <xf numFmtId="223" fontId="37" fillId="29" borderId="17" xfId="30" applyNumberFormat="1" applyFont="1" applyFill="1" applyBorder="1" applyProtection="1">
      <alignment horizontal="center" vertical="center"/>
      <protection locked="0"/>
    </xf>
    <xf numFmtId="174" fontId="37" fillId="0" borderId="51" xfId="51" applyNumberFormat="1" applyFont="1" applyBorder="1" applyAlignment="1">
      <alignment horizontal="center" vertical="center" wrapText="1"/>
    </xf>
    <xf numFmtId="224" fontId="37" fillId="0" borderId="17" xfId="51" applyNumberFormat="1" applyFont="1" applyBorder="1" applyAlignment="1">
      <alignment horizontal="center" vertical="center"/>
    </xf>
    <xf numFmtId="224" fontId="37" fillId="29" borderId="17" xfId="51" applyNumberFormat="1" applyFont="1" applyFill="1" applyBorder="1" applyAlignment="1">
      <alignment horizontal="center" vertical="center"/>
    </xf>
    <xf numFmtId="224" fontId="37" fillId="29" borderId="17" xfId="30" applyNumberFormat="1" applyFont="1" applyFill="1" applyBorder="1" applyProtection="1">
      <alignment horizontal="center" vertical="center"/>
      <protection locked="0"/>
    </xf>
    <xf numFmtId="225" fontId="37" fillId="0" borderId="17" xfId="51" applyNumberFormat="1" applyFont="1" applyBorder="1" applyAlignment="1">
      <alignment horizontal="center" vertical="center"/>
    </xf>
    <xf numFmtId="225" fontId="37" fillId="29" borderId="17" xfId="51" applyNumberFormat="1" applyFont="1" applyFill="1" applyBorder="1" applyAlignment="1">
      <alignment horizontal="center" vertical="center"/>
    </xf>
    <xf numFmtId="225" fontId="37" fillId="29" borderId="17" xfId="30" applyNumberFormat="1" applyFont="1" applyFill="1" applyBorder="1" applyProtection="1">
      <alignment horizontal="center" vertical="center"/>
      <protection locked="0"/>
    </xf>
    <xf numFmtId="197" fontId="93" fillId="0" borderId="17" xfId="51" applyNumberFormat="1" applyFont="1" applyBorder="1" applyAlignment="1">
      <alignment horizontal="center" vertical="center"/>
    </xf>
    <xf numFmtId="226" fontId="37" fillId="0" borderId="17" xfId="51" applyNumberFormat="1" applyFont="1" applyBorder="1" applyAlignment="1">
      <alignment horizontal="center" vertical="center"/>
    </xf>
    <xf numFmtId="226" fontId="37" fillId="29" borderId="17" xfId="51" applyNumberFormat="1" applyFont="1" applyFill="1" applyBorder="1" applyAlignment="1">
      <alignment horizontal="center" vertical="center"/>
    </xf>
    <xf numFmtId="226" fontId="37" fillId="29" borderId="17" xfId="30" applyNumberFormat="1" applyFont="1" applyFill="1" applyBorder="1" applyProtection="1">
      <alignment horizontal="center" vertical="center"/>
      <protection locked="0"/>
    </xf>
    <xf numFmtId="227" fontId="37" fillId="0" borderId="17" xfId="51" applyNumberFormat="1" applyFont="1" applyBorder="1" applyAlignment="1">
      <alignment horizontal="center" vertical="center"/>
    </xf>
    <xf numFmtId="227" fontId="37" fillId="29" borderId="17" xfId="51" applyNumberFormat="1" applyFont="1" applyFill="1" applyBorder="1" applyAlignment="1">
      <alignment horizontal="center" vertical="center"/>
    </xf>
    <xf numFmtId="227" fontId="37" fillId="29" borderId="17" xfId="30" applyNumberFormat="1" applyFont="1" applyFill="1" applyBorder="1" applyProtection="1">
      <alignment horizontal="center" vertical="center"/>
      <protection locked="0"/>
    </xf>
    <xf numFmtId="228" fontId="37" fillId="0" borderId="17" xfId="51" applyNumberFormat="1" applyFont="1" applyBorder="1" applyAlignment="1">
      <alignment horizontal="center" vertical="center"/>
    </xf>
    <xf numFmtId="228" fontId="37" fillId="29" borderId="17" xfId="51" applyNumberFormat="1" applyFont="1" applyFill="1" applyBorder="1" applyAlignment="1">
      <alignment horizontal="center" vertical="center"/>
    </xf>
    <xf numFmtId="228" fontId="37" fillId="29" borderId="17" xfId="30" applyNumberFormat="1" applyFont="1" applyFill="1" applyBorder="1" applyProtection="1">
      <alignment horizontal="center" vertical="center"/>
      <protection locked="0"/>
    </xf>
    <xf numFmtId="229" fontId="37" fillId="0" borderId="17" xfId="51" applyNumberFormat="1" applyFont="1" applyBorder="1" applyAlignment="1">
      <alignment horizontal="center" vertical="center"/>
    </xf>
    <xf numFmtId="229" fontId="37" fillId="29" borderId="17" xfId="51" applyNumberFormat="1" applyFont="1" applyFill="1" applyBorder="1" applyAlignment="1">
      <alignment horizontal="center" vertical="center"/>
    </xf>
    <xf numFmtId="229" fontId="37" fillId="29" borderId="17" xfId="30" applyNumberFormat="1" applyFont="1" applyFill="1" applyBorder="1" applyProtection="1">
      <alignment horizontal="center" vertical="center"/>
      <protection locked="0"/>
    </xf>
    <xf numFmtId="230" fontId="37" fillId="0" borderId="17" xfId="51" applyNumberFormat="1" applyFont="1" applyBorder="1" applyAlignment="1">
      <alignment horizontal="center" vertical="center"/>
    </xf>
    <xf numFmtId="230" fontId="37" fillId="29" borderId="17" xfId="51" applyNumberFormat="1" applyFont="1" applyFill="1" applyBorder="1" applyAlignment="1">
      <alignment horizontal="center" vertical="center"/>
    </xf>
    <xf numFmtId="230" fontId="37" fillId="29" borderId="17" xfId="30" applyNumberFormat="1" applyFont="1" applyFill="1" applyBorder="1" applyProtection="1">
      <alignment horizontal="center" vertical="center"/>
      <protection locked="0"/>
    </xf>
    <xf numFmtId="231" fontId="37" fillId="0" borderId="17" xfId="51" applyNumberFormat="1" applyFont="1" applyBorder="1" applyAlignment="1">
      <alignment horizontal="center" vertical="center"/>
    </xf>
    <xf numFmtId="231" fontId="37" fillId="29" borderId="17" xfId="51" applyNumberFormat="1" applyFont="1" applyFill="1" applyBorder="1" applyAlignment="1">
      <alignment horizontal="center" vertical="center"/>
    </xf>
    <xf numFmtId="231" fontId="37" fillId="29" borderId="17" xfId="30" applyNumberFormat="1" applyFont="1" applyFill="1" applyBorder="1" applyProtection="1">
      <alignment horizontal="center" vertical="center"/>
      <protection locked="0"/>
    </xf>
    <xf numFmtId="232" fontId="37" fillId="0" borderId="17" xfId="51" applyNumberFormat="1" applyFont="1" applyBorder="1" applyAlignment="1">
      <alignment horizontal="center" vertical="center"/>
    </xf>
    <xf numFmtId="233" fontId="37" fillId="0" borderId="17" xfId="51" applyNumberFormat="1" applyFont="1" applyBorder="1" applyAlignment="1">
      <alignment horizontal="center" vertical="center"/>
    </xf>
    <xf numFmtId="233" fontId="37" fillId="29" borderId="17" xfId="51" applyNumberFormat="1" applyFont="1" applyFill="1" applyBorder="1" applyAlignment="1">
      <alignment horizontal="center" vertical="center"/>
    </xf>
    <xf numFmtId="233" fontId="37" fillId="29" borderId="17" xfId="30" applyNumberFormat="1" applyFont="1" applyFill="1" applyBorder="1" applyProtection="1">
      <alignment horizontal="center" vertical="center"/>
      <protection locked="0"/>
    </xf>
    <xf numFmtId="234" fontId="37" fillId="0" borderId="17" xfId="51" applyNumberFormat="1" applyFont="1" applyBorder="1" applyAlignment="1">
      <alignment horizontal="center" vertical="center"/>
    </xf>
    <xf numFmtId="222" fontId="37" fillId="0" borderId="17" xfId="51" applyNumberFormat="1" applyFont="1" applyBorder="1" applyAlignment="1">
      <alignment horizontal="center" vertical="center"/>
    </xf>
    <xf numFmtId="222" fontId="37" fillId="29" borderId="17" xfId="51" applyNumberFormat="1" applyFont="1" applyFill="1" applyBorder="1" applyAlignment="1">
      <alignment horizontal="center" vertical="center"/>
    </xf>
    <xf numFmtId="222" fontId="37" fillId="29" borderId="17" xfId="30" applyNumberFormat="1" applyFont="1" applyFill="1" applyBorder="1" applyProtection="1">
      <alignment horizontal="center" vertical="center"/>
      <protection locked="0"/>
    </xf>
    <xf numFmtId="235" fontId="37" fillId="0" borderId="17" xfId="51" applyNumberFormat="1" applyFont="1" applyBorder="1" applyAlignment="1">
      <alignment horizontal="center" vertical="center"/>
    </xf>
    <xf numFmtId="235" fontId="37" fillId="29" borderId="17" xfId="51" applyNumberFormat="1" applyFont="1" applyFill="1" applyBorder="1" applyAlignment="1">
      <alignment horizontal="center" vertical="center"/>
    </xf>
    <xf numFmtId="235" fontId="37" fillId="29" borderId="17" xfId="30" applyNumberFormat="1" applyFont="1" applyFill="1" applyBorder="1" applyProtection="1">
      <alignment horizontal="center" vertical="center"/>
      <protection locked="0"/>
    </xf>
    <xf numFmtId="234" fontId="31" fillId="0" borderId="0" xfId="51" applyNumberFormat="1" applyFont="1" applyAlignment="1">
      <alignment horizontal="left" vertical="center"/>
    </xf>
    <xf numFmtId="236" fontId="37" fillId="0" borderId="17" xfId="51" applyNumberFormat="1" applyFont="1" applyBorder="1" applyAlignment="1">
      <alignment horizontal="center" vertical="center"/>
    </xf>
    <xf numFmtId="236" fontId="37" fillId="29" borderId="17" xfId="51" applyNumberFormat="1" applyFont="1" applyFill="1" applyBorder="1" applyAlignment="1">
      <alignment horizontal="center" vertical="center"/>
    </xf>
    <xf numFmtId="236" fontId="37" fillId="29" borderId="17" xfId="30" applyNumberFormat="1" applyFont="1" applyFill="1" applyBorder="1" applyProtection="1">
      <alignment horizontal="center" vertical="center"/>
      <protection locked="0"/>
    </xf>
    <xf numFmtId="18" fontId="59" fillId="0" borderId="0" xfId="51" applyNumberFormat="1" applyFont="1" applyAlignment="1">
      <alignment horizontal="left" vertical="center"/>
    </xf>
    <xf numFmtId="237" fontId="37" fillId="0" borderId="17" xfId="51" applyNumberFormat="1" applyFont="1" applyBorder="1" applyAlignment="1">
      <alignment horizontal="center" vertical="center"/>
    </xf>
    <xf numFmtId="238" fontId="37" fillId="0" borderId="17" xfId="51" applyNumberFormat="1" applyFont="1" applyBorder="1" applyAlignment="1">
      <alignment horizontal="center" vertical="center"/>
    </xf>
    <xf numFmtId="238" fontId="37" fillId="29" borderId="17" xfId="51" applyNumberFormat="1" applyFont="1" applyFill="1" applyBorder="1" applyAlignment="1">
      <alignment horizontal="center" vertical="center"/>
    </xf>
    <xf numFmtId="238" fontId="37" fillId="29" borderId="17" xfId="30" applyNumberFormat="1" applyFont="1" applyFill="1" applyBorder="1" applyProtection="1">
      <alignment horizontal="center" vertical="center"/>
      <protection locked="0"/>
    </xf>
    <xf numFmtId="239" fontId="37" fillId="0" borderId="17" xfId="51" applyNumberFormat="1" applyFont="1" applyBorder="1" applyAlignment="1">
      <alignment horizontal="center" vertical="center"/>
    </xf>
    <xf numFmtId="240" fontId="37" fillId="0" borderId="17" xfId="51" applyNumberFormat="1" applyFont="1" applyBorder="1" applyAlignment="1">
      <alignment horizontal="center" vertical="center"/>
    </xf>
    <xf numFmtId="240" fontId="37" fillId="29" borderId="17" xfId="51" applyNumberFormat="1" applyFont="1" applyFill="1" applyBorder="1" applyAlignment="1">
      <alignment horizontal="center" vertical="center"/>
    </xf>
    <xf numFmtId="240" fontId="37" fillId="29" borderId="17" xfId="30" applyNumberFormat="1" applyFont="1" applyFill="1" applyBorder="1" applyProtection="1">
      <alignment horizontal="center" vertical="center"/>
      <protection locked="0"/>
    </xf>
    <xf numFmtId="241" fontId="37" fillId="0" borderId="17" xfId="51" applyNumberFormat="1" applyFont="1" applyBorder="1" applyAlignment="1">
      <alignment horizontal="center" vertical="center"/>
    </xf>
    <xf numFmtId="241" fontId="37" fillId="29" borderId="17" xfId="51" applyNumberFormat="1" applyFont="1" applyFill="1" applyBorder="1" applyAlignment="1">
      <alignment horizontal="center" vertical="center"/>
    </xf>
    <xf numFmtId="241" fontId="37" fillId="29" borderId="17" xfId="30" applyNumberFormat="1" applyFont="1" applyFill="1" applyBorder="1" applyProtection="1">
      <alignment horizontal="center" vertical="center"/>
      <protection locked="0"/>
    </xf>
    <xf numFmtId="197" fontId="37" fillId="0" borderId="11" xfId="51" applyNumberFormat="1" applyFont="1" applyBorder="1" applyAlignment="1">
      <alignment horizontal="center" vertical="center"/>
    </xf>
    <xf numFmtId="197" fontId="37" fillId="0" borderId="12" xfId="51" applyNumberFormat="1" applyFont="1" applyBorder="1" applyAlignment="1">
      <alignment horizontal="center" vertical="center"/>
    </xf>
    <xf numFmtId="240" fontId="37" fillId="0" borderId="20" xfId="51" applyNumberFormat="1" applyFont="1" applyBorder="1" applyAlignment="1">
      <alignment horizontal="center" vertical="center"/>
    </xf>
    <xf numFmtId="238" fontId="37" fillId="0" borderId="20" xfId="51" applyNumberFormat="1" applyFont="1" applyBorder="1" applyAlignment="1">
      <alignment horizontal="center" vertical="center"/>
    </xf>
    <xf numFmtId="236" fontId="37" fillId="0" borderId="20" xfId="51" applyNumberFormat="1" applyFont="1" applyBorder="1" applyAlignment="1">
      <alignment horizontal="center" vertical="center"/>
    </xf>
    <xf numFmtId="221" fontId="37" fillId="0" borderId="20" xfId="51" applyNumberFormat="1" applyFont="1" applyBorder="1" applyAlignment="1">
      <alignment horizontal="center" vertical="center"/>
    </xf>
    <xf numFmtId="235" fontId="37" fillId="0" borderId="20" xfId="51" applyNumberFormat="1" applyFont="1" applyBorder="1" applyAlignment="1">
      <alignment horizontal="center" vertical="center"/>
    </xf>
    <xf numFmtId="222" fontId="37" fillId="0" borderId="20" xfId="51" applyNumberFormat="1" applyFont="1" applyBorder="1" applyAlignment="1">
      <alignment horizontal="center" vertical="center"/>
    </xf>
    <xf numFmtId="241" fontId="37" fillId="0" borderId="20" xfId="51" applyNumberFormat="1" applyFont="1" applyBorder="1" applyAlignment="1">
      <alignment horizontal="center" vertical="center"/>
    </xf>
    <xf numFmtId="237" fontId="37" fillId="0" borderId="11" xfId="51" applyNumberFormat="1" applyFont="1" applyBorder="1" applyAlignment="1">
      <alignment horizontal="center" vertical="center"/>
    </xf>
    <xf numFmtId="237" fontId="37" fillId="0" borderId="12" xfId="51" applyNumberFormat="1" applyFont="1" applyBorder="1" applyAlignment="1">
      <alignment horizontal="center" vertical="center"/>
    </xf>
    <xf numFmtId="239" fontId="37" fillId="0" borderId="11" xfId="51" applyNumberFormat="1" applyFont="1" applyBorder="1" applyAlignment="1">
      <alignment horizontal="center" vertical="center"/>
    </xf>
    <xf numFmtId="239" fontId="37" fillId="0" borderId="12" xfId="51" applyNumberFormat="1" applyFont="1" applyBorder="1" applyAlignment="1">
      <alignment horizontal="center" vertical="center"/>
    </xf>
    <xf numFmtId="234" fontId="37" fillId="0" borderId="11" xfId="51" applyNumberFormat="1" applyFont="1" applyBorder="1" applyAlignment="1">
      <alignment horizontal="center" vertical="center"/>
    </xf>
    <xf numFmtId="234" fontId="37" fillId="0" borderId="12" xfId="51" applyNumberFormat="1" applyFont="1" applyBorder="1" applyAlignment="1">
      <alignment horizontal="center" vertical="center"/>
    </xf>
    <xf numFmtId="232" fontId="37" fillId="0" borderId="11" xfId="51" applyNumberFormat="1" applyFont="1" applyBorder="1" applyAlignment="1">
      <alignment horizontal="center" vertical="center"/>
    </xf>
    <xf numFmtId="232" fontId="37" fillId="0" borderId="12" xfId="51" applyNumberFormat="1" applyFont="1" applyBorder="1" applyAlignment="1">
      <alignment horizontal="center" vertical="center"/>
    </xf>
    <xf numFmtId="233" fontId="37" fillId="0" borderId="20" xfId="51" applyNumberFormat="1" applyFont="1" applyBorder="1" applyAlignment="1">
      <alignment horizontal="center" vertical="center"/>
    </xf>
    <xf numFmtId="197" fontId="93" fillId="0" borderId="11" xfId="51" applyNumberFormat="1" applyFont="1" applyBorder="1" applyAlignment="1">
      <alignment horizontal="center" vertical="center"/>
    </xf>
    <xf numFmtId="231" fontId="37" fillId="0" borderId="20" xfId="51" applyNumberFormat="1" applyFont="1" applyBorder="1" applyAlignment="1">
      <alignment horizontal="center" vertical="center"/>
    </xf>
    <xf numFmtId="189" fontId="37" fillId="0" borderId="21" xfId="51" applyNumberFormat="1" applyFont="1" applyBorder="1" applyAlignment="1">
      <alignment horizontal="center" vertical="center"/>
    </xf>
    <xf numFmtId="220" fontId="37" fillId="0" borderId="20" xfId="51" applyNumberFormat="1" applyFont="1" applyBorder="1" applyAlignment="1">
      <alignment horizontal="center" vertical="center"/>
    </xf>
    <xf numFmtId="215" fontId="37" fillId="0" borderId="20" xfId="51" applyNumberFormat="1" applyFont="1" applyBorder="1" applyAlignment="1">
      <alignment horizontal="center" vertical="center"/>
    </xf>
    <xf numFmtId="210" fontId="37" fillId="0" borderId="20" xfId="51" applyNumberFormat="1" applyFont="1" applyBorder="1" applyAlignment="1">
      <alignment horizontal="center" vertical="center"/>
    </xf>
    <xf numFmtId="204" fontId="37" fillId="0" borderId="20" xfId="51" applyNumberFormat="1" applyFont="1" applyBorder="1" applyAlignment="1">
      <alignment horizontal="center" vertical="center"/>
    </xf>
    <xf numFmtId="207" fontId="37" fillId="0" borderId="20" xfId="51" applyNumberFormat="1" applyFont="1" applyBorder="1" applyAlignment="1">
      <alignment horizontal="center" vertical="center"/>
    </xf>
    <xf numFmtId="1" fontId="37" fillId="0" borderId="11" xfId="51" applyNumberFormat="1" applyFont="1" applyBorder="1" applyAlignment="1">
      <alignment horizontal="center" vertical="center"/>
    </xf>
    <xf numFmtId="1" fontId="37" fillId="0" borderId="12" xfId="51" applyNumberFormat="1" applyFont="1" applyBorder="1" applyAlignment="1">
      <alignment horizontal="center" vertical="center"/>
    </xf>
    <xf numFmtId="203" fontId="37" fillId="0" borderId="20" xfId="51" applyNumberFormat="1" applyFont="1" applyBorder="1" applyAlignment="1">
      <alignment horizontal="center" vertical="center"/>
    </xf>
    <xf numFmtId="206" fontId="37" fillId="0" borderId="20" xfId="51" applyNumberFormat="1" applyFont="1" applyBorder="1" applyAlignment="1">
      <alignment horizontal="center" vertical="center"/>
    </xf>
    <xf numFmtId="190" fontId="37" fillId="0" borderId="11" xfId="51" applyNumberFormat="1" applyFont="1" applyBorder="1" applyAlignment="1">
      <alignment horizontal="center" vertical="center"/>
    </xf>
    <xf numFmtId="205" fontId="37" fillId="0" borderId="12" xfId="51" applyNumberFormat="1" applyFont="1" applyBorder="1" applyAlignment="1">
      <alignment horizontal="center" vertical="center"/>
    </xf>
    <xf numFmtId="201" fontId="37" fillId="0" borderId="20" xfId="51" applyNumberFormat="1" applyFont="1" applyBorder="1" applyAlignment="1">
      <alignment horizontal="center" vertical="center"/>
    </xf>
    <xf numFmtId="200" fontId="37" fillId="0" borderId="11" xfId="51" applyNumberFormat="1" applyFont="1" applyBorder="1" applyAlignment="1">
      <alignment horizontal="center" vertical="center"/>
    </xf>
    <xf numFmtId="200" fontId="37" fillId="0" borderId="12" xfId="51" applyNumberFormat="1" applyFont="1" applyBorder="1" applyAlignment="1">
      <alignment horizontal="center" vertical="center"/>
    </xf>
    <xf numFmtId="202" fontId="37" fillId="0" borderId="20" xfId="51" applyNumberFormat="1" applyFont="1" applyBorder="1" applyAlignment="1">
      <alignment horizontal="center" vertical="center"/>
    </xf>
    <xf numFmtId="198" fontId="37" fillId="0" borderId="11" xfId="51" applyNumberFormat="1" applyFont="1" applyBorder="1" applyAlignment="1">
      <alignment horizontal="center" vertical="center"/>
    </xf>
    <xf numFmtId="198" fontId="37" fillId="0" borderId="12" xfId="51" applyNumberFormat="1" applyFont="1" applyBorder="1" applyAlignment="1">
      <alignment horizontal="center" vertical="center"/>
    </xf>
    <xf numFmtId="199" fontId="37" fillId="0" borderId="20" xfId="51" applyNumberFormat="1" applyFont="1" applyBorder="1" applyAlignment="1">
      <alignment horizontal="center" vertical="center"/>
    </xf>
    <xf numFmtId="0" fontId="37" fillId="0" borderId="21" xfId="51" applyFont="1" applyBorder="1" applyAlignment="1">
      <alignment horizontal="center" vertical="center"/>
    </xf>
    <xf numFmtId="242" fontId="37" fillId="27" borderId="22" xfId="51" applyNumberFormat="1" applyFont="1" applyFill="1" applyBorder="1" applyAlignment="1">
      <alignment horizontal="center" vertical="center"/>
    </xf>
    <xf numFmtId="0" fontId="29" fillId="0" borderId="0" xfId="51" applyFont="1" applyAlignment="1">
      <alignment horizontal="center"/>
    </xf>
    <xf numFmtId="243" fontId="37" fillId="27" borderId="22" xfId="51" applyNumberFormat="1" applyFont="1" applyFill="1" applyBorder="1" applyAlignment="1">
      <alignment horizontal="center" vertical="center"/>
    </xf>
    <xf numFmtId="242" fontId="37" fillId="0" borderId="0" xfId="51" applyNumberFormat="1" applyFont="1" applyAlignment="1">
      <alignment horizontal="left" vertical="top"/>
    </xf>
    <xf numFmtId="199" fontId="37" fillId="0" borderId="74" xfId="51" applyNumberFormat="1" applyFont="1" applyBorder="1" applyAlignment="1">
      <alignment horizontal="center" vertical="center"/>
    </xf>
    <xf numFmtId="199" fontId="37" fillId="0" borderId="74" xfId="30" applyNumberFormat="1" applyFont="1" applyBorder="1" applyProtection="1">
      <alignment horizontal="center" vertical="center"/>
      <protection locked="0"/>
    </xf>
    <xf numFmtId="199" fontId="37" fillId="0" borderId="17" xfId="30" applyNumberFormat="1" applyFont="1" applyBorder="1" applyProtection="1">
      <alignment horizontal="center" vertical="center"/>
      <protection locked="0"/>
    </xf>
    <xf numFmtId="199" fontId="37" fillId="0" borderId="20" xfId="30" applyNumberFormat="1" applyFont="1" applyBorder="1" applyProtection="1">
      <alignment horizontal="center" vertical="center"/>
      <protection locked="0"/>
    </xf>
    <xf numFmtId="201" fontId="37" fillId="0" borderId="17" xfId="30" applyNumberFormat="1" applyFont="1" applyBorder="1" applyProtection="1">
      <alignment horizontal="center" vertical="center"/>
      <protection locked="0"/>
    </xf>
    <xf numFmtId="201" fontId="37" fillId="0" borderId="20" xfId="30" applyNumberFormat="1" applyFont="1" applyBorder="1" applyProtection="1">
      <alignment horizontal="center" vertical="center"/>
      <protection locked="0"/>
    </xf>
    <xf numFmtId="202" fontId="37" fillId="0" borderId="17" xfId="30" applyNumberFormat="1" applyFont="1" applyBorder="1" applyProtection="1">
      <alignment horizontal="center" vertical="center"/>
      <protection locked="0"/>
    </xf>
    <xf numFmtId="202" fontId="37" fillId="0" borderId="20" xfId="30" applyNumberFormat="1" applyFont="1" applyBorder="1" applyProtection="1">
      <alignment horizontal="center" vertical="center"/>
      <protection locked="0"/>
    </xf>
    <xf numFmtId="203" fontId="37" fillId="0" borderId="17" xfId="30" applyNumberFormat="1" applyFont="1" applyBorder="1" applyProtection="1">
      <alignment horizontal="center" vertical="center"/>
      <protection locked="0"/>
    </xf>
    <xf numFmtId="203" fontId="37" fillId="0" borderId="20" xfId="30" applyNumberFormat="1" applyFont="1" applyBorder="1" applyProtection="1">
      <alignment horizontal="center" vertical="center"/>
      <protection locked="0"/>
    </xf>
    <xf numFmtId="204" fontId="37" fillId="0" borderId="17" xfId="30" applyNumberFormat="1" applyFont="1" applyBorder="1" applyProtection="1">
      <alignment horizontal="center" vertical="center"/>
      <protection locked="0"/>
    </xf>
    <xf numFmtId="204" fontId="37" fillId="0" borderId="20" xfId="30" applyNumberFormat="1" applyFont="1" applyBorder="1" applyProtection="1">
      <alignment horizontal="center" vertical="center"/>
      <protection locked="0"/>
    </xf>
    <xf numFmtId="206" fontId="37" fillId="0" borderId="17" xfId="30" applyNumberFormat="1" applyFont="1" applyBorder="1" applyProtection="1">
      <alignment horizontal="center" vertical="center"/>
      <protection locked="0"/>
    </xf>
    <xf numFmtId="206" fontId="37" fillId="0" borderId="20" xfId="30" applyNumberFormat="1" applyFont="1" applyBorder="1" applyProtection="1">
      <alignment horizontal="center" vertical="center"/>
      <protection locked="0"/>
    </xf>
    <xf numFmtId="207" fontId="37" fillId="0" borderId="17" xfId="30" applyNumberFormat="1" applyFont="1" applyBorder="1" applyProtection="1">
      <alignment horizontal="center" vertical="center"/>
      <protection locked="0"/>
    </xf>
    <xf numFmtId="207" fontId="37" fillId="0" borderId="20" xfId="30" applyNumberFormat="1" applyFont="1" applyBorder="1" applyProtection="1">
      <alignment horizontal="center" vertical="center"/>
      <protection locked="0"/>
    </xf>
    <xf numFmtId="208" fontId="37" fillId="0" borderId="17" xfId="30" applyNumberFormat="1" applyFont="1" applyBorder="1" applyProtection="1">
      <alignment horizontal="center" vertical="center"/>
      <protection locked="0"/>
    </xf>
    <xf numFmtId="209" fontId="37" fillId="0" borderId="17" xfId="30" applyNumberFormat="1" applyFont="1" applyBorder="1" applyProtection="1">
      <alignment horizontal="center" vertical="center"/>
      <protection locked="0"/>
    </xf>
    <xf numFmtId="210" fontId="37" fillId="0" borderId="20" xfId="30" applyNumberFormat="1" applyFont="1" applyBorder="1" applyProtection="1">
      <alignment horizontal="center" vertical="center"/>
      <protection locked="0"/>
    </xf>
    <xf numFmtId="211" fontId="37" fillId="0" borderId="17" xfId="30" applyNumberFormat="1" applyFont="1" applyBorder="1" applyProtection="1">
      <alignment horizontal="center" vertical="center"/>
      <protection locked="0"/>
    </xf>
    <xf numFmtId="212" fontId="37" fillId="0" borderId="17" xfId="30" applyNumberFormat="1" applyFont="1" applyBorder="1" applyProtection="1">
      <alignment horizontal="center" vertical="center"/>
      <protection locked="0"/>
    </xf>
    <xf numFmtId="213" fontId="37" fillId="0" borderId="17" xfId="30" applyNumberFormat="1" applyFont="1" applyBorder="1" applyProtection="1">
      <alignment horizontal="center" vertical="center"/>
      <protection locked="0"/>
    </xf>
    <xf numFmtId="214" fontId="37" fillId="0" borderId="17" xfId="30" applyNumberFormat="1" applyFont="1" applyBorder="1" applyProtection="1">
      <alignment horizontal="center" vertical="center"/>
      <protection locked="0"/>
    </xf>
    <xf numFmtId="215" fontId="37" fillId="0" borderId="17" xfId="30" applyNumberFormat="1" applyFont="1" applyBorder="1" applyProtection="1">
      <alignment horizontal="center" vertical="center"/>
      <protection locked="0"/>
    </xf>
    <xf numFmtId="215" fontId="37" fillId="0" borderId="20" xfId="30" applyNumberFormat="1" applyFont="1" applyBorder="1" applyProtection="1">
      <alignment horizontal="center" vertical="center"/>
      <protection locked="0"/>
    </xf>
    <xf numFmtId="217" fontId="37" fillId="0" borderId="17" xfId="30" applyNumberFormat="1" applyFont="1" applyBorder="1" applyProtection="1">
      <alignment horizontal="center" vertical="center"/>
      <protection locked="0"/>
    </xf>
    <xf numFmtId="218" fontId="37" fillId="0" borderId="17" xfId="30" applyNumberFormat="1" applyFont="1" applyBorder="1" applyProtection="1">
      <alignment horizontal="center" vertical="center"/>
      <protection locked="0"/>
    </xf>
    <xf numFmtId="219" fontId="37" fillId="0" borderId="17" xfId="30" applyNumberFormat="1" applyFont="1" applyBorder="1" applyProtection="1">
      <alignment horizontal="center" vertical="center"/>
      <protection locked="0"/>
    </xf>
    <xf numFmtId="220" fontId="37" fillId="0" borderId="17" xfId="30" applyNumberFormat="1" applyFont="1" applyBorder="1" applyProtection="1">
      <alignment horizontal="center" vertical="center"/>
      <protection locked="0"/>
    </xf>
    <xf numFmtId="220" fontId="37" fillId="0" borderId="20" xfId="30" applyNumberFormat="1" applyFont="1" applyBorder="1" applyProtection="1">
      <alignment horizontal="center" vertical="center"/>
      <protection locked="0"/>
    </xf>
    <xf numFmtId="221" fontId="37" fillId="0" borderId="20" xfId="30" applyNumberFormat="1" applyFont="1" applyBorder="1" applyProtection="1">
      <alignment horizontal="center" vertical="center"/>
      <protection locked="0"/>
    </xf>
    <xf numFmtId="223" fontId="37" fillId="0" borderId="17" xfId="30" applyNumberFormat="1" applyFont="1" applyBorder="1" applyProtection="1">
      <alignment horizontal="center" vertical="center"/>
      <protection locked="0"/>
    </xf>
    <xf numFmtId="224" fontId="37" fillId="0" borderId="17" xfId="30" applyNumberFormat="1" applyFont="1" applyBorder="1" applyProtection="1">
      <alignment horizontal="center" vertical="center"/>
      <protection locked="0"/>
    </xf>
    <xf numFmtId="225" fontId="37" fillId="0" borderId="17" xfId="30" applyNumberFormat="1" applyFont="1" applyBorder="1" applyProtection="1">
      <alignment horizontal="center" vertical="center"/>
      <protection locked="0"/>
    </xf>
    <xf numFmtId="226" fontId="37" fillId="0" borderId="17" xfId="30" applyNumberFormat="1" applyFont="1" applyBorder="1" applyProtection="1">
      <alignment horizontal="center" vertical="center"/>
      <protection locked="0"/>
    </xf>
    <xf numFmtId="227" fontId="37" fillId="0" borderId="17" xfId="30" applyNumberFormat="1" applyFont="1" applyBorder="1" applyProtection="1">
      <alignment horizontal="center" vertical="center"/>
      <protection locked="0"/>
    </xf>
    <xf numFmtId="228" fontId="37" fillId="0" borderId="17" xfId="30" applyNumberFormat="1" applyFont="1" applyBorder="1" applyProtection="1">
      <alignment horizontal="center" vertical="center"/>
      <protection locked="0"/>
    </xf>
    <xf numFmtId="229" fontId="37" fillId="0" borderId="17" xfId="30" applyNumberFormat="1" applyFont="1" applyBorder="1" applyProtection="1">
      <alignment horizontal="center" vertical="center"/>
      <protection locked="0"/>
    </xf>
    <xf numFmtId="230" fontId="37" fillId="0" borderId="17" xfId="30" applyNumberFormat="1" applyFont="1" applyBorder="1" applyProtection="1">
      <alignment horizontal="center" vertical="center"/>
      <protection locked="0"/>
    </xf>
    <xf numFmtId="231" fontId="37" fillId="0" borderId="20" xfId="30" applyNumberFormat="1" applyFont="1" applyBorder="1" applyProtection="1">
      <alignment horizontal="center" vertical="center"/>
      <protection locked="0"/>
    </xf>
    <xf numFmtId="0" fontId="31" fillId="0" borderId="33" xfId="51" applyFont="1" applyBorder="1" applyAlignment="1">
      <alignment horizontal="left"/>
    </xf>
    <xf numFmtId="196" fontId="72" fillId="0" borderId="33" xfId="51" applyNumberFormat="1" applyFont="1" applyBorder="1" applyAlignment="1">
      <alignment horizontal="center"/>
    </xf>
    <xf numFmtId="188" fontId="72" fillId="0" borderId="33" xfId="51" applyNumberFormat="1" applyFont="1" applyBorder="1" applyAlignment="1">
      <alignment horizontal="center"/>
    </xf>
    <xf numFmtId="0" fontId="72" fillId="0" borderId="33" xfId="51" applyFont="1" applyBorder="1" applyAlignment="1">
      <alignment horizontal="center"/>
    </xf>
    <xf numFmtId="0" fontId="72" fillId="0" borderId="33" xfId="58" applyFont="1" applyBorder="1" applyAlignment="1">
      <alignment horizontal="center" vertical="center"/>
    </xf>
    <xf numFmtId="0" fontId="72" fillId="24" borderId="33" xfId="58" applyFont="1" applyFill="1" applyBorder="1" applyAlignment="1">
      <alignment horizontal="center" vertical="center"/>
    </xf>
    <xf numFmtId="233" fontId="37" fillId="0" borderId="79" xfId="51" applyNumberFormat="1" applyFont="1" applyBorder="1" applyAlignment="1">
      <alignment horizontal="center" vertical="center"/>
    </xf>
    <xf numFmtId="233" fontId="37" fillId="0" borderId="79" xfId="30" applyNumberFormat="1" applyFont="1" applyBorder="1" applyProtection="1">
      <alignment horizontal="center" vertical="center"/>
      <protection locked="0"/>
    </xf>
    <xf numFmtId="189" fontId="37" fillId="0" borderId="80" xfId="51" applyNumberFormat="1" applyFont="1" applyBorder="1" applyAlignment="1">
      <alignment horizontal="center" vertical="center"/>
    </xf>
    <xf numFmtId="222" fontId="37" fillId="0" borderId="79" xfId="51" applyNumberFormat="1" applyFont="1" applyBorder="1" applyAlignment="1">
      <alignment horizontal="center" vertical="center"/>
    </xf>
    <xf numFmtId="222" fontId="37" fillId="0" borderId="79" xfId="30" applyNumberFormat="1" applyFont="1" applyBorder="1" applyProtection="1">
      <alignment horizontal="center" vertical="center"/>
      <protection locked="0"/>
    </xf>
    <xf numFmtId="235" fontId="37" fillId="0" borderId="79" xfId="51" applyNumberFormat="1" applyFont="1" applyBorder="1" applyAlignment="1">
      <alignment horizontal="center" vertical="center"/>
    </xf>
    <xf numFmtId="235" fontId="37" fillId="0" borderId="79" xfId="30" applyNumberFormat="1" applyFont="1" applyBorder="1" applyProtection="1">
      <alignment horizontal="center" vertical="center"/>
      <protection locked="0"/>
    </xf>
    <xf numFmtId="221" fontId="37" fillId="0" borderId="79" xfId="51" applyNumberFormat="1" applyFont="1" applyBorder="1" applyAlignment="1">
      <alignment horizontal="center" vertical="center"/>
    </xf>
    <xf numFmtId="221" fontId="37" fillId="0" borderId="79" xfId="30" applyNumberFormat="1" applyFont="1" applyBorder="1" applyProtection="1">
      <alignment horizontal="center" vertical="center"/>
      <protection locked="0"/>
    </xf>
    <xf numFmtId="236" fontId="37" fillId="0" borderId="79" xfId="51" applyNumberFormat="1" applyFont="1" applyBorder="1" applyAlignment="1">
      <alignment horizontal="center" vertical="center"/>
    </xf>
    <xf numFmtId="236" fontId="37" fillId="0" borderId="79" xfId="30" applyNumberFormat="1" applyFont="1" applyBorder="1" applyProtection="1">
      <alignment horizontal="center" vertical="center"/>
      <protection locked="0"/>
    </xf>
    <xf numFmtId="238" fontId="37" fillId="0" borderId="79" xfId="51" applyNumberFormat="1" applyFont="1" applyBorder="1" applyAlignment="1">
      <alignment horizontal="center" vertical="center"/>
    </xf>
    <xf numFmtId="238" fontId="37" fillId="0" borderId="79" xfId="30" applyNumberFormat="1" applyFont="1" applyBorder="1" applyProtection="1">
      <alignment horizontal="center" vertical="center"/>
      <protection locked="0"/>
    </xf>
    <xf numFmtId="240" fontId="37" fillId="0" borderId="79" xfId="51" applyNumberFormat="1" applyFont="1" applyBorder="1" applyAlignment="1">
      <alignment horizontal="center" vertical="center"/>
    </xf>
    <xf numFmtId="240" fontId="37" fillId="0" borderId="79" xfId="30" applyNumberFormat="1" applyFont="1" applyBorder="1" applyProtection="1">
      <alignment horizontal="center" vertical="center"/>
      <protection locked="0"/>
    </xf>
    <xf numFmtId="241" fontId="37" fillId="0" borderId="79" xfId="51" applyNumberFormat="1" applyFont="1" applyBorder="1" applyAlignment="1">
      <alignment horizontal="center" vertical="center"/>
    </xf>
    <xf numFmtId="241" fontId="37" fillId="0" borderId="79" xfId="30" applyNumberFormat="1" applyFont="1" applyBorder="1" applyProtection="1">
      <alignment horizontal="center" vertical="center"/>
      <protection locked="0"/>
    </xf>
    <xf numFmtId="233" fontId="37" fillId="0" borderId="81" xfId="51" applyNumberFormat="1" applyFont="1" applyBorder="1" applyAlignment="1">
      <alignment horizontal="center" vertical="center"/>
    </xf>
    <xf numFmtId="233" fontId="37" fillId="0" borderId="81" xfId="30" applyNumberFormat="1" applyFont="1" applyBorder="1" applyProtection="1">
      <alignment horizontal="center" vertical="center"/>
      <protection locked="0"/>
    </xf>
    <xf numFmtId="189" fontId="37" fillId="0" borderId="82" xfId="51" applyNumberFormat="1" applyFont="1" applyBorder="1" applyAlignment="1">
      <alignment horizontal="center" vertical="center"/>
    </xf>
    <xf numFmtId="222" fontId="37" fillId="0" borderId="81" xfId="51" applyNumberFormat="1" applyFont="1" applyBorder="1" applyAlignment="1">
      <alignment horizontal="center" vertical="center"/>
    </xf>
    <xf numFmtId="222" fontId="37" fillId="0" borderId="81" xfId="30" applyNumberFormat="1" applyFont="1" applyBorder="1" applyProtection="1">
      <alignment horizontal="center" vertical="center"/>
      <protection locked="0"/>
    </xf>
    <xf numFmtId="235" fontId="37" fillId="0" borderId="81" xfId="51" applyNumberFormat="1" applyFont="1" applyBorder="1" applyAlignment="1">
      <alignment horizontal="center" vertical="center"/>
    </xf>
    <xf numFmtId="235" fontId="37" fillId="0" borderId="81" xfId="30" applyNumberFormat="1" applyFont="1" applyBorder="1" applyProtection="1">
      <alignment horizontal="center" vertical="center"/>
      <protection locked="0"/>
    </xf>
    <xf numFmtId="221" fontId="37" fillId="0" borderId="81" xfId="51" applyNumberFormat="1" applyFont="1" applyBorder="1" applyAlignment="1">
      <alignment horizontal="center" vertical="center"/>
    </xf>
    <xf numFmtId="221" fontId="37" fillId="0" borderId="81" xfId="30" applyNumberFormat="1" applyFont="1" applyBorder="1" applyProtection="1">
      <alignment horizontal="center" vertical="center"/>
      <protection locked="0"/>
    </xf>
    <xf numFmtId="236" fontId="37" fillId="0" borderId="81" xfId="51" applyNumberFormat="1" applyFont="1" applyBorder="1" applyAlignment="1">
      <alignment horizontal="center" vertical="center"/>
    </xf>
    <xf numFmtId="236" fontId="37" fillId="0" borderId="81" xfId="30" applyNumberFormat="1" applyFont="1" applyBorder="1" applyProtection="1">
      <alignment horizontal="center" vertical="center"/>
      <protection locked="0"/>
    </xf>
    <xf numFmtId="238" fontId="37" fillId="0" borderId="81" xfId="51" applyNumberFormat="1" applyFont="1" applyBorder="1" applyAlignment="1">
      <alignment horizontal="center" vertical="center"/>
    </xf>
    <xf numFmtId="238" fontId="37" fillId="0" borderId="81" xfId="30" applyNumberFormat="1" applyFont="1" applyBorder="1" applyProtection="1">
      <alignment horizontal="center" vertical="center"/>
      <protection locked="0"/>
    </xf>
    <xf numFmtId="240" fontId="37" fillId="0" borderId="81" xfId="51" applyNumberFormat="1" applyFont="1" applyBorder="1" applyAlignment="1">
      <alignment horizontal="center" vertical="center"/>
    </xf>
    <xf numFmtId="240" fontId="37" fillId="0" borderId="81" xfId="30" applyNumberFormat="1" applyFont="1" applyBorder="1" applyProtection="1">
      <alignment horizontal="center" vertical="center"/>
      <protection locked="0"/>
    </xf>
    <xf numFmtId="241" fontId="37" fillId="0" borderId="81" xfId="51" applyNumberFormat="1" applyFont="1" applyBorder="1" applyAlignment="1">
      <alignment horizontal="center" vertical="center"/>
    </xf>
    <xf numFmtId="241" fontId="37" fillId="0" borderId="81" xfId="30" applyNumberFormat="1" applyFont="1" applyBorder="1" applyProtection="1">
      <alignment horizontal="center" vertical="center"/>
      <protection locked="0"/>
    </xf>
    <xf numFmtId="233" fontId="37" fillId="0" borderId="17" xfId="30" applyNumberFormat="1" applyFont="1" applyBorder="1" applyProtection="1">
      <alignment horizontal="center" vertical="center"/>
      <protection locked="0"/>
    </xf>
    <xf numFmtId="222" fontId="37" fillId="0" borderId="17" xfId="30" applyNumberFormat="1" applyFont="1" applyBorder="1" applyProtection="1">
      <alignment horizontal="center" vertical="center"/>
      <protection locked="0"/>
    </xf>
    <xf numFmtId="235" fontId="37" fillId="0" borderId="17" xfId="30" applyNumberFormat="1" applyFont="1" applyBorder="1" applyProtection="1">
      <alignment horizontal="center" vertical="center"/>
      <protection locked="0"/>
    </xf>
    <xf numFmtId="221" fontId="37" fillId="0" borderId="17" xfId="30" applyNumberFormat="1" applyFont="1" applyBorder="1" applyProtection="1">
      <alignment horizontal="center" vertical="center"/>
      <protection locked="0"/>
    </xf>
    <xf numFmtId="236" fontId="37" fillId="0" borderId="17" xfId="30" applyNumberFormat="1" applyFont="1" applyBorder="1" applyProtection="1">
      <alignment horizontal="center" vertical="center"/>
      <protection locked="0"/>
    </xf>
    <xf numFmtId="238" fontId="37" fillId="0" borderId="17" xfId="30" applyNumberFormat="1" applyFont="1" applyBorder="1" applyProtection="1">
      <alignment horizontal="center" vertical="center"/>
      <protection locked="0"/>
    </xf>
    <xf numFmtId="240" fontId="37" fillId="0" borderId="17" xfId="30" applyNumberFormat="1" applyFont="1" applyBorder="1" applyProtection="1">
      <alignment horizontal="center" vertical="center"/>
      <protection locked="0"/>
    </xf>
    <xf numFmtId="241" fontId="37" fillId="0" borderId="17" xfId="30" applyNumberFormat="1" applyFont="1" applyBorder="1" applyProtection="1">
      <alignment horizontal="center" vertical="center"/>
      <protection locked="0"/>
    </xf>
    <xf numFmtId="240" fontId="37" fillId="0" borderId="84" xfId="51" applyNumberFormat="1" applyFont="1" applyBorder="1" applyAlignment="1">
      <alignment horizontal="center" vertical="center"/>
    </xf>
    <xf numFmtId="240" fontId="37" fillId="0" borderId="84" xfId="30" applyNumberFormat="1" applyFont="1" applyBorder="1" applyProtection="1">
      <alignment horizontal="center" vertical="center"/>
      <protection locked="0"/>
    </xf>
    <xf numFmtId="189" fontId="37" fillId="0" borderId="85" xfId="51" applyNumberFormat="1" applyFont="1" applyBorder="1" applyAlignment="1">
      <alignment horizontal="center" vertical="center"/>
    </xf>
    <xf numFmtId="240" fontId="37" fillId="0" borderId="86" xfId="51" applyNumberFormat="1" applyFont="1" applyBorder="1" applyAlignment="1">
      <alignment horizontal="center" vertical="center"/>
    </xf>
    <xf numFmtId="240" fontId="37" fillId="0" borderId="86" xfId="30" applyNumberFormat="1" applyFont="1" applyBorder="1" applyProtection="1">
      <alignment horizontal="center" vertical="center"/>
      <protection locked="0"/>
    </xf>
    <xf numFmtId="189" fontId="37" fillId="0" borderId="83" xfId="51" applyNumberFormat="1" applyFont="1" applyBorder="1" applyAlignment="1">
      <alignment horizontal="center" vertical="center"/>
    </xf>
    <xf numFmtId="244" fontId="37" fillId="27" borderId="22" xfId="51" applyNumberFormat="1" applyFont="1" applyFill="1" applyBorder="1" applyAlignment="1">
      <alignment horizontal="center" vertical="center"/>
    </xf>
    <xf numFmtId="181" fontId="29" fillId="0" borderId="29" xfId="57" quotePrefix="1" applyNumberFormat="1" applyFont="1" applyBorder="1" applyAlignment="1" applyProtection="1">
      <alignment horizontal="center" vertical="center"/>
      <protection locked="0"/>
    </xf>
    <xf numFmtId="0" fontId="29" fillId="0" borderId="29" xfId="57" applyFont="1" applyBorder="1" applyAlignment="1" applyProtection="1">
      <alignment horizontal="center" vertical="center"/>
      <protection locked="0"/>
    </xf>
    <xf numFmtId="0" fontId="29" fillId="0" borderId="29" xfId="57" quotePrefix="1" applyFont="1" applyBorder="1" applyAlignment="1" applyProtection="1">
      <alignment horizontal="center" vertical="center"/>
      <protection locked="0"/>
    </xf>
    <xf numFmtId="180" fontId="29" fillId="0" borderId="29" xfId="57" quotePrefix="1" applyNumberFormat="1" applyFont="1" applyBorder="1" applyAlignment="1" applyProtection="1">
      <alignment horizontal="center" vertical="center"/>
      <protection locked="0"/>
    </xf>
    <xf numFmtId="0" fontId="36" fillId="0" borderId="29" xfId="51" applyFont="1" applyBorder="1" applyAlignment="1">
      <alignment horizontal="center"/>
    </xf>
    <xf numFmtId="0" fontId="23" fillId="0" borderId="29" xfId="38" applyBorder="1" applyAlignment="1" applyProtection="1">
      <alignment horizontal="left"/>
    </xf>
    <xf numFmtId="0" fontId="53" fillId="0" borderId="29" xfId="51" applyFont="1" applyBorder="1" applyAlignment="1">
      <alignment horizontal="left"/>
    </xf>
    <xf numFmtId="197" fontId="37" fillId="0" borderId="28" xfId="51" applyNumberFormat="1" applyFont="1" applyBorder="1" applyAlignment="1">
      <alignment horizontal="center" vertical="center"/>
    </xf>
    <xf numFmtId="197" fontId="37" fillId="0" borderId="22" xfId="51" applyNumberFormat="1" applyFont="1" applyBorder="1" applyAlignment="1">
      <alignment horizontal="center" vertical="center"/>
    </xf>
    <xf numFmtId="0" fontId="34" fillId="0" borderId="17" xfId="51" applyFont="1" applyBorder="1" applyAlignment="1">
      <alignment horizontal="center" vertical="center"/>
    </xf>
    <xf numFmtId="0" fontId="34" fillId="0" borderId="30" xfId="51" applyFont="1" applyBorder="1" applyAlignment="1">
      <alignment horizontal="center" vertical="center"/>
    </xf>
    <xf numFmtId="0" fontId="34" fillId="0" borderId="17" xfId="51" applyFont="1" applyBorder="1" applyAlignment="1">
      <alignment horizontal="center" vertical="center" wrapText="1"/>
    </xf>
    <xf numFmtId="0" fontId="34" fillId="0" borderId="30" xfId="51" applyFont="1" applyBorder="1" applyAlignment="1">
      <alignment horizontal="center" vertical="center" wrapText="1"/>
    </xf>
    <xf numFmtId="185" fontId="29" fillId="0" borderId="29" xfId="57" quotePrefix="1" applyNumberFormat="1" applyFont="1" applyBorder="1" applyAlignment="1" applyProtection="1">
      <alignment horizontal="center" vertical="center"/>
      <protection locked="0"/>
    </xf>
    <xf numFmtId="1" fontId="29" fillId="0" borderId="29" xfId="57" quotePrefix="1" applyNumberFormat="1" applyFont="1" applyBorder="1" applyAlignment="1" applyProtection="1">
      <alignment horizontal="center" vertical="center"/>
      <protection locked="0"/>
    </xf>
    <xf numFmtId="179" fontId="29" fillId="0" borderId="29" xfId="57" applyNumberFormat="1" applyFont="1" applyBorder="1" applyAlignment="1" applyProtection="1">
      <alignment horizontal="center" vertical="center"/>
      <protection locked="0"/>
    </xf>
    <xf numFmtId="179" fontId="29" fillId="0" borderId="29" xfId="57" quotePrefix="1" applyNumberFormat="1" applyFont="1" applyBorder="1" applyAlignment="1" applyProtection="1">
      <alignment horizontal="center" vertical="center"/>
      <protection locked="0"/>
    </xf>
    <xf numFmtId="0" fontId="34" fillId="0" borderId="15" xfId="57" applyFont="1" applyBorder="1" applyAlignment="1">
      <alignment horizontal="center" vertical="center" wrapText="1"/>
    </xf>
    <xf numFmtId="0" fontId="34" fillId="0" borderId="16" xfId="57" applyFont="1" applyBorder="1" applyAlignment="1">
      <alignment horizontal="center" vertical="center" wrapText="1"/>
    </xf>
    <xf numFmtId="0" fontId="34" fillId="0" borderId="18" xfId="57" applyFont="1" applyBorder="1" applyAlignment="1">
      <alignment horizontal="center" vertical="center" wrapText="1"/>
    </xf>
    <xf numFmtId="0" fontId="88" fillId="0" borderId="30" xfId="0" applyFont="1" applyBorder="1" applyAlignment="1">
      <alignment wrapText="1"/>
    </xf>
    <xf numFmtId="181" fontId="29" fillId="0" borderId="29" xfId="57" applyNumberFormat="1" applyFont="1" applyBorder="1" applyAlignment="1" applyProtection="1">
      <alignment horizontal="center" vertical="center"/>
      <protection locked="0"/>
    </xf>
    <xf numFmtId="0" fontId="34" fillId="0" borderId="17" xfId="57" applyFont="1" applyBorder="1" applyAlignment="1">
      <alignment horizontal="center" vertical="center"/>
    </xf>
    <xf numFmtId="0" fontId="34" fillId="0" borderId="30" xfId="57" applyFont="1" applyBorder="1" applyAlignment="1">
      <alignment horizontal="center" vertical="center"/>
    </xf>
    <xf numFmtId="0" fontId="88" fillId="0" borderId="30" xfId="0" applyFont="1" applyBorder="1"/>
    <xf numFmtId="200" fontId="34" fillId="0" borderId="17" xfId="51" applyNumberFormat="1" applyFont="1" applyBorder="1" applyAlignment="1">
      <alignment horizontal="center" vertical="center"/>
    </xf>
    <xf numFmtId="200" fontId="34" fillId="0" borderId="30" xfId="51" applyNumberFormat="1" applyFont="1" applyBorder="1" applyAlignment="1">
      <alignment horizontal="center" vertical="center"/>
    </xf>
    <xf numFmtId="190" fontId="37" fillId="0" borderId="74" xfId="51" applyNumberFormat="1" applyFont="1" applyBorder="1" applyAlignment="1">
      <alignment horizontal="center" vertical="center"/>
    </xf>
    <xf numFmtId="190" fontId="37" fillId="0" borderId="22" xfId="51" applyNumberFormat="1" applyFont="1" applyBorder="1" applyAlignment="1">
      <alignment horizontal="center" vertical="center"/>
    </xf>
    <xf numFmtId="197" fontId="37" fillId="0" borderId="74" xfId="51" applyNumberFormat="1" applyFont="1" applyBorder="1" applyAlignment="1">
      <alignment horizontal="center" vertical="center"/>
    </xf>
    <xf numFmtId="216" fontId="37" fillId="0" borderId="74" xfId="51" applyNumberFormat="1" applyFont="1" applyBorder="1" applyAlignment="1">
      <alignment horizontal="center" vertical="center"/>
    </xf>
    <xf numFmtId="216" fontId="37" fillId="0" borderId="22" xfId="51" applyNumberFormat="1" applyFont="1" applyBorder="1" applyAlignment="1">
      <alignment horizontal="center" vertical="center"/>
    </xf>
    <xf numFmtId="0" fontId="34" fillId="28" borderId="0" xfId="51" applyFont="1" applyFill="1" applyAlignment="1">
      <alignment horizontal="center"/>
    </xf>
    <xf numFmtId="0" fontId="91" fillId="0" borderId="17" xfId="51" applyFont="1" applyBorder="1" applyAlignment="1">
      <alignment horizontal="center" vertical="center" wrapText="1"/>
    </xf>
    <xf numFmtId="0" fontId="91" fillId="0" borderId="17" xfId="51" applyFont="1" applyBorder="1" applyAlignment="1">
      <alignment horizontal="center"/>
    </xf>
    <xf numFmtId="0" fontId="91" fillId="0" borderId="15" xfId="51" applyFont="1" applyBorder="1" applyAlignment="1">
      <alignment horizontal="center" vertical="center" wrapText="1"/>
    </xf>
    <xf numFmtId="0" fontId="91" fillId="0" borderId="16" xfId="51" applyFont="1" applyBorder="1" applyAlignment="1">
      <alignment horizontal="center" vertical="center" wrapText="1"/>
    </xf>
    <xf numFmtId="0" fontId="91" fillId="0" borderId="18" xfId="51" applyFont="1" applyBorder="1" applyAlignment="1">
      <alignment horizontal="center" vertical="center" wrapText="1"/>
    </xf>
    <xf numFmtId="0" fontId="28" fillId="24" borderId="0" xfId="58" applyFont="1" applyFill="1" applyAlignment="1">
      <alignment horizontal="left" vertical="center"/>
    </xf>
    <xf numFmtId="0" fontId="34" fillId="0" borderId="53" xfId="51" applyFont="1" applyBorder="1" applyAlignment="1">
      <alignment horizontal="center" vertical="center" wrapText="1"/>
    </xf>
    <xf numFmtId="0" fontId="34" fillId="0" borderId="54" xfId="51" applyFont="1" applyBorder="1" applyAlignment="1">
      <alignment horizontal="center" vertical="center" wrapText="1"/>
    </xf>
    <xf numFmtId="0" fontId="34" fillId="0" borderId="23" xfId="51" applyFont="1" applyBorder="1" applyAlignment="1">
      <alignment horizontal="center" vertical="center"/>
    </xf>
    <xf numFmtId="0" fontId="34" fillId="0" borderId="39" xfId="51" applyFont="1" applyBorder="1" applyAlignment="1">
      <alignment horizontal="center" vertical="center"/>
    </xf>
    <xf numFmtId="0" fontId="34" fillId="0" borderId="23" xfId="51" applyFont="1" applyBorder="1" applyAlignment="1">
      <alignment horizontal="center" vertical="center" wrapText="1"/>
    </xf>
    <xf numFmtId="0" fontId="34" fillId="0" borderId="39" xfId="51" applyFont="1" applyBorder="1" applyAlignment="1">
      <alignment horizontal="center" vertical="center" wrapText="1"/>
    </xf>
    <xf numFmtId="0" fontId="26" fillId="0" borderId="0" xfId="51" applyFont="1" applyAlignment="1">
      <alignment vertical="center"/>
    </xf>
    <xf numFmtId="0" fontId="86" fillId="24" borderId="0" xfId="58" applyFont="1" applyFill="1" applyAlignment="1">
      <alignment horizontal="center" vertical="center"/>
    </xf>
    <xf numFmtId="0" fontId="91" fillId="0" borderId="30" xfId="51" applyFont="1" applyBorder="1" applyAlignment="1">
      <alignment horizontal="center" vertical="center" wrapText="1"/>
    </xf>
    <xf numFmtId="0" fontId="34" fillId="0" borderId="23" xfId="57" applyFont="1" applyBorder="1" applyAlignment="1">
      <alignment horizontal="center" vertical="center"/>
    </xf>
    <xf numFmtId="0" fontId="34" fillId="0" borderId="39" xfId="57" applyFont="1" applyBorder="1" applyAlignment="1">
      <alignment horizontal="center" vertical="center"/>
    </xf>
    <xf numFmtId="0" fontId="50" fillId="0" borderId="0" xfId="51" quotePrefix="1" applyFont="1" applyAlignment="1">
      <alignment horizontal="center"/>
    </xf>
    <xf numFmtId="0" fontId="50" fillId="0" borderId="0" xfId="51" applyFont="1" applyAlignment="1">
      <alignment horizontal="center"/>
    </xf>
    <xf numFmtId="0" fontId="27" fillId="0" borderId="0" xfId="51" applyFont="1" applyAlignment="1" applyProtection="1">
      <alignment vertical="center" wrapText="1"/>
      <protection locked="0"/>
    </xf>
    <xf numFmtId="0" fontId="34" fillId="0" borderId="28" xfId="51" applyFont="1" applyBorder="1" applyAlignment="1">
      <alignment horizontal="center" vertical="center" wrapText="1"/>
    </xf>
    <xf numFmtId="0" fontId="34" fillId="0" borderId="23" xfId="57" applyFont="1" applyBorder="1" applyAlignment="1">
      <alignment horizontal="center" vertical="center" wrapText="1"/>
    </xf>
    <xf numFmtId="0" fontId="34" fillId="0" borderId="39" xfId="57" applyFont="1" applyBorder="1" applyAlignment="1">
      <alignment horizontal="center" vertical="center" wrapText="1"/>
    </xf>
    <xf numFmtId="0" fontId="34" fillId="0" borderId="24" xfId="57" applyFont="1" applyBorder="1" applyAlignment="1">
      <alignment horizontal="center" vertical="center" wrapText="1"/>
    </xf>
    <xf numFmtId="0" fontId="34" fillId="0" borderId="70" xfId="57" applyFont="1" applyBorder="1" applyAlignment="1">
      <alignment horizontal="center" vertical="center" wrapText="1"/>
    </xf>
    <xf numFmtId="190" fontId="37" fillId="0" borderId="75" xfId="51" applyNumberFormat="1" applyFont="1" applyBorder="1" applyAlignment="1">
      <alignment horizontal="center" vertical="center"/>
    </xf>
    <xf numFmtId="190" fontId="37" fillId="0" borderId="10" xfId="51" applyNumberFormat="1" applyFont="1" applyBorder="1" applyAlignment="1">
      <alignment horizontal="center" vertical="center"/>
    </xf>
    <xf numFmtId="197" fontId="37" fillId="0" borderId="73" xfId="51" applyNumberFormat="1" applyFont="1" applyBorder="1" applyAlignment="1">
      <alignment horizontal="center" vertical="center"/>
    </xf>
    <xf numFmtId="197" fontId="37" fillId="0" borderId="78" xfId="51" applyNumberFormat="1" applyFont="1" applyBorder="1" applyAlignment="1">
      <alignment horizontal="center" vertical="center"/>
    </xf>
    <xf numFmtId="216" fontId="37" fillId="0" borderId="75" xfId="51" applyNumberFormat="1" applyFont="1" applyBorder="1" applyAlignment="1">
      <alignment horizontal="center" vertical="center"/>
    </xf>
    <xf numFmtId="216" fontId="37" fillId="0" borderId="10" xfId="51" applyNumberFormat="1" applyFont="1" applyBorder="1" applyAlignment="1">
      <alignment horizontal="center" vertical="center"/>
    </xf>
    <xf numFmtId="197" fontId="37" fillId="0" borderId="10" xfId="51" applyNumberFormat="1" applyFont="1" applyBorder="1" applyAlignment="1">
      <alignment horizontal="center" vertical="center"/>
    </xf>
    <xf numFmtId="197" fontId="37" fillId="0" borderId="75" xfId="51" applyNumberFormat="1" applyFont="1" applyBorder="1" applyAlignment="1">
      <alignment horizontal="center" vertical="center"/>
    </xf>
    <xf numFmtId="0" fontId="50" fillId="0" borderId="53" xfId="56" applyFont="1" applyBorder="1" applyAlignment="1">
      <alignment horizontal="center" vertical="center" wrapText="1"/>
    </xf>
    <xf numFmtId="0" fontId="50" fillId="0" borderId="60" xfId="56" applyFont="1" applyBorder="1" applyAlignment="1">
      <alignment horizontal="center" vertical="center" wrapText="1"/>
    </xf>
    <xf numFmtId="0" fontId="54" fillId="36" borderId="27" xfId="56" applyFont="1" applyFill="1" applyBorder="1" applyAlignment="1">
      <alignment horizontal="center" vertical="center" wrapText="1"/>
    </xf>
    <xf numFmtId="0" fontId="54" fillId="36" borderId="19" xfId="56" applyFont="1" applyFill="1" applyBorder="1" applyAlignment="1">
      <alignment horizontal="center" vertical="center" wrapText="1"/>
    </xf>
    <xf numFmtId="0" fontId="54" fillId="36" borderId="68" xfId="56" applyFont="1" applyFill="1" applyBorder="1" applyAlignment="1">
      <alignment horizontal="center" vertical="center" wrapText="1"/>
    </xf>
    <xf numFmtId="0" fontId="54" fillId="31" borderId="26" xfId="56" applyFont="1" applyFill="1" applyBorder="1" applyAlignment="1">
      <alignment horizontal="center" vertical="center" wrapText="1"/>
    </xf>
    <xf numFmtId="0" fontId="54" fillId="30" borderId="26" xfId="56" applyFont="1" applyFill="1" applyBorder="1" applyAlignment="1">
      <alignment horizontal="center" vertical="center" wrapText="1"/>
    </xf>
    <xf numFmtId="0" fontId="54" fillId="32" borderId="13" xfId="56" applyFont="1" applyFill="1" applyBorder="1" applyAlignment="1">
      <alignment horizontal="center" vertical="center" wrapText="1"/>
    </xf>
    <xf numFmtId="0" fontId="54" fillId="32" borderId="14" xfId="56" applyFont="1" applyFill="1" applyBorder="1" applyAlignment="1">
      <alignment horizontal="center" vertical="center" wrapText="1"/>
    </xf>
    <xf numFmtId="0" fontId="54" fillId="32" borderId="52" xfId="56" applyFont="1" applyFill="1" applyBorder="1" applyAlignment="1">
      <alignment horizontal="center" vertical="center" wrapText="1"/>
    </xf>
    <xf numFmtId="0" fontId="54" fillId="33" borderId="26" xfId="56" applyFont="1" applyFill="1" applyBorder="1" applyAlignment="1">
      <alignment horizontal="center" vertical="center" wrapText="1"/>
    </xf>
    <xf numFmtId="0" fontId="54" fillId="36" borderId="26" xfId="56" applyFont="1" applyFill="1" applyBorder="1" applyAlignment="1">
      <alignment horizontal="center" vertical="center" wrapText="1"/>
    </xf>
    <xf numFmtId="0" fontId="54" fillId="36" borderId="17" xfId="56" applyFont="1" applyFill="1" applyBorder="1" applyAlignment="1">
      <alignment horizontal="center" vertical="center" wrapText="1"/>
    </xf>
    <xf numFmtId="0" fontId="54" fillId="36" borderId="28" xfId="56" applyFont="1" applyFill="1" applyBorder="1" applyAlignment="1">
      <alignment horizontal="center" vertical="center" wrapText="1"/>
    </xf>
    <xf numFmtId="0" fontId="54" fillId="36" borderId="26" xfId="52" applyFont="1" applyFill="1" applyBorder="1" applyAlignment="1">
      <alignment horizontal="center" vertical="center" wrapText="1"/>
    </xf>
    <xf numFmtId="0" fontId="54" fillId="36" borderId="17" xfId="52" applyFont="1" applyFill="1" applyBorder="1" applyAlignment="1">
      <alignment horizontal="center" vertical="center" wrapText="1"/>
    </xf>
    <xf numFmtId="0" fontId="54" fillId="36" borderId="28" xfId="52" applyFont="1" applyFill="1" applyBorder="1" applyAlignment="1">
      <alignment horizontal="center" vertical="center" wrapText="1"/>
    </xf>
    <xf numFmtId="0" fontId="72" fillId="0" borderId="0" xfId="48" applyFont="1" applyAlignment="1">
      <alignment horizontal="right" vertical="center" indent="1"/>
    </xf>
    <xf numFmtId="0" fontId="72" fillId="0" borderId="57" xfId="48" applyFont="1" applyBorder="1" applyAlignment="1">
      <alignment horizontal="right" vertical="center" indent="1"/>
    </xf>
    <xf numFmtId="0" fontId="29" fillId="0" borderId="58" xfId="67" applyFont="1" applyBorder="1" applyAlignment="1">
      <alignment horizontal="center" vertical="center"/>
    </xf>
    <xf numFmtId="0" fontId="29" fillId="0" borderId="59" xfId="67" applyFont="1" applyBorder="1" applyAlignment="1">
      <alignment horizontal="center" vertical="center"/>
    </xf>
    <xf numFmtId="0" fontId="68" fillId="0" borderId="40" xfId="48" applyFont="1" applyBorder="1" applyAlignment="1">
      <alignment horizontal="right" vertical="center"/>
    </xf>
    <xf numFmtId="0" fontId="62" fillId="0" borderId="0" xfId="48" applyFont="1" applyAlignment="1">
      <alignment horizontal="left"/>
    </xf>
    <xf numFmtId="0" fontId="70" fillId="0" borderId="0" xfId="48" applyFont="1" applyAlignment="1">
      <alignment horizontal="left" vertical="center"/>
    </xf>
    <xf numFmtId="0" fontId="71" fillId="0" borderId="0" xfId="48" applyFont="1" applyAlignment="1">
      <alignment horizontal="left" vertical="top"/>
    </xf>
    <xf numFmtId="0" fontId="83" fillId="0" borderId="29" xfId="57" applyFont="1" applyBorder="1" applyAlignment="1">
      <alignment horizontal="center" vertical="center"/>
    </xf>
    <xf numFmtId="179" fontId="83" fillId="0" borderId="29" xfId="57" applyNumberFormat="1" applyFont="1" applyBorder="1" applyAlignment="1">
      <alignment horizontal="center" vertical="center"/>
    </xf>
    <xf numFmtId="0" fontId="27" fillId="0" borderId="20" xfId="47" applyFont="1" applyBorder="1" applyAlignment="1">
      <alignment vertical="center" wrapText="1"/>
    </xf>
    <xf numFmtId="0" fontId="27" fillId="0" borderId="20" xfId="47" applyFont="1" applyBorder="1" applyAlignment="1">
      <alignment horizontal="center" vertical="center"/>
    </xf>
    <xf numFmtId="0" fontId="27" fillId="0" borderId="21" xfId="47" applyFont="1" applyBorder="1" applyAlignment="1">
      <alignment horizontal="center" vertical="center"/>
    </xf>
    <xf numFmtId="0" fontId="27" fillId="0" borderId="17" xfId="47" applyFont="1" applyBorder="1" applyAlignment="1">
      <alignment vertical="center" wrapText="1"/>
    </xf>
    <xf numFmtId="0" fontId="27" fillId="0" borderId="46" xfId="47" applyFont="1" applyBorder="1" applyAlignment="1">
      <alignment horizontal="center" vertical="center"/>
    </xf>
    <xf numFmtId="0" fontId="27" fillId="0" borderId="71" xfId="47" applyFont="1" applyBorder="1" applyAlignment="1">
      <alignment horizontal="center" vertical="center"/>
    </xf>
    <xf numFmtId="0" fontId="27" fillId="0" borderId="32" xfId="47" applyFont="1" applyBorder="1" applyAlignment="1">
      <alignment horizontal="center" vertical="center"/>
    </xf>
    <xf numFmtId="0" fontId="27" fillId="0" borderId="72" xfId="47" applyFont="1" applyBorder="1" applyAlignment="1">
      <alignment horizontal="center" vertical="center"/>
    </xf>
    <xf numFmtId="0" fontId="27" fillId="0" borderId="47" xfId="47" applyFont="1" applyBorder="1" applyAlignment="1">
      <alignment horizontal="center" vertical="center"/>
    </xf>
    <xf numFmtId="0" fontId="27" fillId="0" borderId="38" xfId="47" applyFont="1" applyBorder="1" applyAlignment="1">
      <alignment horizontal="center" vertical="center"/>
    </xf>
    <xf numFmtId="0" fontId="44" fillId="0" borderId="17" xfId="0" applyFont="1" applyBorder="1" applyAlignment="1">
      <alignment horizontal="center" vertical="center" wrapText="1"/>
    </xf>
    <xf numFmtId="0" fontId="43" fillId="0" borderId="17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7" xfId="0" applyFont="1" applyBorder="1" applyAlignment="1">
      <alignment horizontal="center" vertical="center"/>
    </xf>
    <xf numFmtId="0" fontId="43" fillId="0" borderId="32" xfId="0" applyFont="1" applyBorder="1" applyAlignment="1">
      <alignment horizontal="center" vertical="center"/>
    </xf>
    <xf numFmtId="0" fontId="43" fillId="0" borderId="29" xfId="0" applyFont="1" applyBorder="1" applyAlignment="1">
      <alignment horizontal="center" vertical="center"/>
    </xf>
    <xf numFmtId="0" fontId="43" fillId="0" borderId="38" xfId="0" applyFont="1" applyBorder="1" applyAlignment="1">
      <alignment horizontal="center" vertical="center"/>
    </xf>
    <xf numFmtId="0" fontId="42" fillId="0" borderId="17" xfId="0" applyFont="1" applyBorder="1"/>
    <xf numFmtId="0" fontId="45" fillId="0" borderId="46" xfId="0" applyFont="1" applyBorder="1" applyAlignment="1">
      <alignment vertical="center"/>
    </xf>
    <xf numFmtId="0" fontId="45" fillId="0" borderId="32" xfId="0" applyFont="1" applyBorder="1" applyAlignment="1">
      <alignment vertical="center"/>
    </xf>
    <xf numFmtId="0" fontId="45" fillId="0" borderId="45" xfId="0" applyFont="1" applyBorder="1" applyAlignment="1">
      <alignment vertical="center"/>
    </xf>
    <xf numFmtId="0" fontId="45" fillId="0" borderId="47" xfId="0" applyFont="1" applyBorder="1" applyAlignment="1">
      <alignment vertical="center"/>
    </xf>
    <xf numFmtId="0" fontId="45" fillId="0" borderId="29" xfId="0" applyFont="1" applyBorder="1" applyAlignment="1">
      <alignment vertical="center"/>
    </xf>
    <xf numFmtId="0" fontId="45" fillId="0" borderId="38" xfId="0" applyFont="1" applyBorder="1" applyAlignment="1">
      <alignment vertical="center"/>
    </xf>
    <xf numFmtId="0" fontId="31" fillId="0" borderId="0" xfId="47" applyFont="1" applyAlignment="1">
      <alignment vertical="center"/>
    </xf>
    <xf numFmtId="0" fontId="32" fillId="0" borderId="49" xfId="47" applyFont="1" applyBorder="1" applyAlignment="1">
      <alignment horizontal="center" vertical="center"/>
    </xf>
    <xf numFmtId="0" fontId="45" fillId="0" borderId="46" xfId="0" applyFont="1" applyBorder="1" applyAlignment="1">
      <alignment horizontal="right" vertical="center"/>
    </xf>
    <xf numFmtId="0" fontId="45" fillId="0" borderId="45" xfId="0" applyFont="1" applyBorder="1" applyAlignment="1">
      <alignment horizontal="right" vertical="center"/>
    </xf>
    <xf numFmtId="0" fontId="45" fillId="0" borderId="32" xfId="0" applyFont="1" applyBorder="1" applyAlignment="1">
      <alignment horizontal="right" vertical="center"/>
    </xf>
    <xf numFmtId="0" fontId="45" fillId="0" borderId="29" xfId="0" applyFont="1" applyBorder="1" applyAlignment="1">
      <alignment horizontal="right" vertical="center"/>
    </xf>
    <xf numFmtId="184" fontId="45" fillId="0" borderId="47" xfId="0" applyNumberFormat="1" applyFont="1" applyBorder="1" applyAlignment="1">
      <alignment horizontal="left" vertical="center"/>
    </xf>
    <xf numFmtId="0" fontId="45" fillId="0" borderId="38" xfId="0" applyFont="1" applyBorder="1" applyAlignment="1">
      <alignment horizontal="left" vertical="center"/>
    </xf>
    <xf numFmtId="0" fontId="32" fillId="0" borderId="50" xfId="47" applyFont="1" applyBorder="1" applyAlignment="1">
      <alignment horizontal="center" vertical="center"/>
    </xf>
    <xf numFmtId="0" fontId="30" fillId="0" borderId="0" xfId="47" applyFont="1" applyAlignment="1">
      <alignment horizontal="center"/>
    </xf>
    <xf numFmtId="0" fontId="27" fillId="0" borderId="22" xfId="47" applyFont="1" applyBorder="1" applyAlignment="1">
      <alignment vertical="center" wrapText="1"/>
    </xf>
    <xf numFmtId="0" fontId="27" fillId="0" borderId="17" xfId="47" applyFont="1" applyBorder="1" applyAlignment="1">
      <alignment horizontal="center" vertical="center"/>
    </xf>
    <xf numFmtId="0" fontId="27" fillId="0" borderId="19" xfId="47" applyFont="1" applyBorder="1" applyAlignment="1">
      <alignment horizontal="center" vertical="center"/>
    </xf>
    <xf numFmtId="0" fontId="27" fillId="0" borderId="22" xfId="47" applyFont="1" applyBorder="1" applyAlignment="1">
      <alignment horizontal="center" vertical="center"/>
    </xf>
    <xf numFmtId="0" fontId="27" fillId="0" borderId="44" xfId="47" applyFont="1" applyBorder="1" applyAlignment="1">
      <alignment horizontal="center" vertical="center"/>
    </xf>
    <xf numFmtId="187" fontId="27" fillId="0" borderId="28" xfId="47" applyNumberFormat="1" applyFont="1" applyBorder="1" applyAlignment="1">
      <alignment horizontal="center" vertical="center"/>
    </xf>
    <xf numFmtId="187" fontId="27" fillId="0" borderId="22" xfId="47" applyNumberFormat="1" applyFont="1" applyBorder="1" applyAlignment="1">
      <alignment horizontal="center" vertical="center"/>
    </xf>
    <xf numFmtId="184" fontId="27" fillId="0" borderId="73" xfId="47" quotePrefix="1" applyNumberFormat="1" applyFont="1" applyBorder="1" applyAlignment="1">
      <alignment horizontal="center" vertical="center"/>
    </xf>
    <xf numFmtId="184" fontId="27" fillId="0" borderId="10" xfId="47" quotePrefix="1" applyNumberFormat="1" applyFont="1" applyBorder="1" applyAlignment="1">
      <alignment horizontal="center" vertical="center"/>
    </xf>
  </cellXfs>
  <cellStyles count="7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Degrees" xfId="28" xr:uid="{00000000-0005-0000-0000-00001B000000}"/>
    <cellStyle name="Degrees C" xfId="29" xr:uid="{00000000-0005-0000-0000-00001C000000}"/>
    <cellStyle name="Degrees F" xfId="30" xr:uid="{00000000-0005-0000-0000-00001D000000}"/>
    <cellStyle name="Div" xfId="31" xr:uid="{00000000-0005-0000-0000-00001E000000}"/>
    <cellStyle name="Explanatory Text" xfId="32" builtinId="53" customBuiltin="1"/>
    <cellStyle name="Good" xfId="33" builtinId="26" customBuiltin="1"/>
    <cellStyle name="Heading 1" xfId="34" builtinId="16" customBuiltin="1"/>
    <cellStyle name="Heading 2" xfId="35" builtinId="17" customBuiltin="1"/>
    <cellStyle name="Heading 3" xfId="36" builtinId="18" customBuiltin="1"/>
    <cellStyle name="Heading 4" xfId="37" builtinId="19" customBuiltin="1"/>
    <cellStyle name="Hyperlink" xfId="38" builtinId="8"/>
    <cellStyle name="Hyperlink 2" xfId="39" xr:uid="{00000000-0005-0000-0000-000026000000}"/>
    <cellStyle name="Hyperlink 3" xfId="40" xr:uid="{00000000-0005-0000-0000-000027000000}"/>
    <cellStyle name="Input" xfId="41" builtinId="20" customBuiltin="1"/>
    <cellStyle name="KV" xfId="42" xr:uid="{00000000-0005-0000-0000-000029000000}"/>
    <cellStyle name="Linked Cell" xfId="43" builtinId="24" customBuiltin="1"/>
    <cellStyle name="mS" xfId="44" xr:uid="{00000000-0005-0000-0000-00002B000000}"/>
    <cellStyle name="mV" xfId="45" xr:uid="{00000000-0005-0000-0000-00002C000000}"/>
    <cellStyle name="Neutral" xfId="46" builtinId="28" customBuiltin="1"/>
    <cellStyle name="Normal" xfId="0" builtinId="0"/>
    <cellStyle name="Normal 2" xfId="47" xr:uid="{00000000-0005-0000-0000-00002F000000}"/>
    <cellStyle name="Normal 2 2" xfId="48" xr:uid="{00000000-0005-0000-0000-000030000000}"/>
    <cellStyle name="Normal 3" xfId="49" xr:uid="{00000000-0005-0000-0000-000031000000}"/>
    <cellStyle name="Normal 3 2" xfId="50" xr:uid="{00000000-0005-0000-0000-000032000000}"/>
    <cellStyle name="Normal 3 3" xfId="51" xr:uid="{00000000-0005-0000-0000-000033000000}"/>
    <cellStyle name="Normal 3 4" xfId="52" xr:uid="{00000000-0005-0000-0000-000034000000}"/>
    <cellStyle name="Normal 4" xfId="53" xr:uid="{00000000-0005-0000-0000-000035000000}"/>
    <cellStyle name="Normal 5" xfId="54" xr:uid="{00000000-0005-0000-0000-000036000000}"/>
    <cellStyle name="Normal 6" xfId="55" xr:uid="{00000000-0005-0000-0000-000037000000}"/>
    <cellStyle name="Normal 6 2" xfId="68" xr:uid="{00000000-0005-0000-0000-000038000000}"/>
    <cellStyle name="Normal 6 2 2" xfId="70" xr:uid="{00000000-0005-0000-0000-000039000000}"/>
    <cellStyle name="Normal 6 2 2 2" xfId="75" xr:uid="{00000000-0005-0000-0000-00003A000000}"/>
    <cellStyle name="Normal 6 2 3" xfId="73" xr:uid="{00000000-0005-0000-0000-00003B000000}"/>
    <cellStyle name="Normal 6 3" xfId="69" xr:uid="{00000000-0005-0000-0000-00003C000000}"/>
    <cellStyle name="Normal 6 3 2" xfId="74" xr:uid="{00000000-0005-0000-0000-00003D000000}"/>
    <cellStyle name="Normal 6 4" xfId="72" xr:uid="{00000000-0005-0000-0000-00003E000000}"/>
    <cellStyle name="Normal 7" xfId="56" xr:uid="{00000000-0005-0000-0000-00003F000000}"/>
    <cellStyle name="Normal_MODEL" xfId="57" xr:uid="{00000000-0005-0000-0000-000040000000}"/>
    <cellStyle name="Normal_Sheet1" xfId="58" xr:uid="{00000000-0005-0000-0000-000041000000}"/>
    <cellStyle name="Normal_Uncertainty-Digital Thermometer (STD-SN-D93S4707)" xfId="67" xr:uid="{00000000-0005-0000-0000-000042000000}"/>
    <cellStyle name="Note" xfId="59" builtinId="10" customBuiltin="1"/>
    <cellStyle name="nS" xfId="60" xr:uid="{00000000-0005-0000-0000-000044000000}"/>
    <cellStyle name="Output" xfId="61" builtinId="21" customBuiltin="1"/>
    <cellStyle name="Percent" xfId="71" builtinId="5"/>
    <cellStyle name="Title" xfId="62" builtinId="15" customBuiltin="1"/>
    <cellStyle name="Total" xfId="63" builtinId="25" customBuiltin="1"/>
    <cellStyle name="uS" xfId="64" xr:uid="{00000000-0005-0000-0000-000049000000}"/>
    <cellStyle name="V" xfId="65" xr:uid="{00000000-0005-0000-0000-00004A000000}"/>
    <cellStyle name="Warning Text" xfId="66" builtinId="11" customBuiltin="1"/>
  </cellStyles>
  <dxfs count="139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C00000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66FF99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0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FEFE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800000"/>
      <color rgb="FFFFC7CE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image" Target="../media/image7.emf"/><Relationship Id="rId7" Type="http://schemas.openxmlformats.org/officeDocument/2006/relationships/image" Target="../media/image11.emf"/><Relationship Id="rId2" Type="http://schemas.openxmlformats.org/officeDocument/2006/relationships/image" Target="../media/image6.emf"/><Relationship Id="rId1" Type="http://schemas.openxmlformats.org/officeDocument/2006/relationships/image" Target="../media/image1.png"/><Relationship Id="rId6" Type="http://schemas.openxmlformats.org/officeDocument/2006/relationships/image" Target="../media/image10.emf"/><Relationship Id="rId11" Type="http://schemas.openxmlformats.org/officeDocument/2006/relationships/image" Target="../media/image15.emf"/><Relationship Id="rId5" Type="http://schemas.openxmlformats.org/officeDocument/2006/relationships/image" Target="../media/image9.emf"/><Relationship Id="rId10" Type="http://schemas.openxmlformats.org/officeDocument/2006/relationships/image" Target="../media/image14.emf"/><Relationship Id="rId4" Type="http://schemas.openxmlformats.org/officeDocument/2006/relationships/image" Target="../media/image8.emf"/><Relationship Id="rId9" Type="http://schemas.openxmlformats.org/officeDocument/2006/relationships/image" Target="../media/image1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7.emf"/><Relationship Id="rId5" Type="http://schemas.openxmlformats.org/officeDocument/2006/relationships/image" Target="../media/image1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72737</xdr:colOff>
      <xdr:row>1</xdr:row>
      <xdr:rowOff>1490</xdr:rowOff>
    </xdr:from>
    <xdr:to>
      <xdr:col>12</xdr:col>
      <xdr:colOff>173483</xdr:colOff>
      <xdr:row>7</xdr:row>
      <xdr:rowOff>5024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737" y="73775"/>
          <a:ext cx="3078871" cy="95769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7</xdr:row>
          <xdr:rowOff>57150</xdr:rowOff>
        </xdr:from>
        <xdr:to>
          <xdr:col>12</xdr:col>
          <xdr:colOff>0</xdr:colOff>
          <xdr:row>11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1600" b="0" i="0" u="none" strike="noStrike" baseline="0">
                  <a:solidFill>
                    <a:srgbClr val="000000"/>
                  </a:solidFill>
                  <a:latin typeface="Arial Narrow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52859</xdr:colOff>
      <xdr:row>0</xdr:row>
      <xdr:rowOff>66229</xdr:rowOff>
    </xdr:from>
    <xdr:to>
      <xdr:col>2</xdr:col>
      <xdr:colOff>154652</xdr:colOff>
      <xdr:row>4</xdr:row>
      <xdr:rowOff>110396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859" y="66229"/>
          <a:ext cx="3092053" cy="962542"/>
        </a:xfrm>
        <a:prstGeom prst="rect">
          <a:avLst/>
        </a:prstGeom>
      </xdr:spPr>
    </xdr:pic>
    <xdr:clientData/>
  </xdr:twoCellAnchor>
  <xdr:twoCellAnchor>
    <xdr:from>
      <xdr:col>0</xdr:col>
      <xdr:colOff>12821</xdr:colOff>
      <xdr:row>7</xdr:row>
      <xdr:rowOff>34587</xdr:rowOff>
    </xdr:from>
    <xdr:to>
      <xdr:col>9</xdr:col>
      <xdr:colOff>11358</xdr:colOff>
      <xdr:row>11</xdr:row>
      <xdr:rowOff>173484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2821" y="1499898"/>
          <a:ext cx="13390806" cy="1013542"/>
        </a:xfrm>
        <a:prstGeom prst="rect">
          <a:avLst/>
        </a:prstGeom>
        <a:noFill/>
        <a:ln w="25400" cap="flat" cmpd="sng" algn="ctr">
          <a:solidFill>
            <a:sysClr val="windowText" lastClr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66</xdr:col>
      <xdr:colOff>357808</xdr:colOff>
      <xdr:row>352</xdr:row>
      <xdr:rowOff>21942</xdr:rowOff>
    </xdr:from>
    <xdr:to>
      <xdr:col>86</xdr:col>
      <xdr:colOff>31423</xdr:colOff>
      <xdr:row>354</xdr:row>
      <xdr:rowOff>182839</xdr:rowOff>
    </xdr:to>
    <xdr:pic>
      <xdr:nvPicPr>
        <xdr:cNvPr id="20" name="ROV" hidden="1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1797"/>
        <a:stretch/>
      </xdr:blipFill>
      <xdr:spPr bwMode="auto">
        <a:xfrm>
          <a:off x="31904608" y="16182967"/>
          <a:ext cx="12793266" cy="7970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14459</xdr:colOff>
      <xdr:row>6</xdr:row>
      <xdr:rowOff>375873</xdr:rowOff>
    </xdr:from>
    <xdr:to>
      <xdr:col>39</xdr:col>
      <xdr:colOff>76968</xdr:colOff>
      <xdr:row>12</xdr:row>
      <xdr:rowOff>11873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21222755" y="1937220"/>
          <a:ext cx="3850393" cy="1139520"/>
        </a:xfrm>
        <a:prstGeom prst="rect">
          <a:avLst/>
        </a:prstGeom>
        <a:solidFill>
          <a:schemeClr val="bg1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PH" sz="1100" b="1">
              <a:solidFill>
                <a:sysClr val="windowText" lastClr="000000"/>
              </a:solidFill>
              <a:latin typeface="Arial Narrow" panose="020B0606020202030204" pitchFamily="34" charset="0"/>
            </a:rPr>
            <a:t>NOTE</a:t>
          </a:r>
          <a:r>
            <a:rPr lang="en-PH" sz="1100">
              <a:solidFill>
                <a:sysClr val="windowText" lastClr="000000"/>
              </a:solidFill>
              <a:latin typeface="Arial Narrow" panose="020B0606020202030204" pitchFamily="34" charset="0"/>
            </a:rPr>
            <a:t>: THIS DOCUMENT AND INFORMATION HEREIN IS THE PROPERTY OF MICROPRECISION INC.</a:t>
          </a:r>
          <a:r>
            <a:rPr lang="en-PH" sz="110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</a:t>
          </a:r>
          <a:r>
            <a:rPr lang="en-PH" sz="1100">
              <a:solidFill>
                <a:sysClr val="windowText" lastClr="000000"/>
              </a:solidFill>
              <a:latin typeface="Arial Narrow" panose="020B0606020202030204" pitchFamily="34" charset="0"/>
            </a:rPr>
            <a:t>AND IS CONFIDENTIAL. THIS DOCUMENT SHALL NOT BE REPRODUCED, COPIED OR GIVEN TO ANY THIRD PARTY WITHOUT EXPRESSED WRITTEN PERMISSION FROM AN AUTHORIZED MANAGEMENT SIGNATORY OF MICROPRECISION</a:t>
          </a:r>
          <a:r>
            <a:rPr lang="en-PH" sz="1100" baseline="0">
              <a:solidFill>
                <a:sysClr val="windowText" lastClr="000000"/>
              </a:solidFill>
              <a:latin typeface="Arial Narrow" panose="020B0606020202030204" pitchFamily="34" charset="0"/>
            </a:rPr>
            <a:t> INC.</a:t>
          </a:r>
          <a:endParaRPr lang="en-PH" sz="1100">
            <a:solidFill>
              <a:sysClr val="windowText" lastClr="000000"/>
            </a:solidFill>
            <a:latin typeface="Arial Narrow" panose="020B0606020202030204" pitchFamily="34" charset="0"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69850</xdr:colOff>
          <xdr:row>9</xdr:row>
          <xdr:rowOff>69850</xdr:rowOff>
        </xdr:from>
        <xdr:to>
          <xdr:col>17</xdr:col>
          <xdr:colOff>222250</xdr:colOff>
          <xdr:row>11</xdr:row>
          <xdr:rowOff>69850</xdr:rowOff>
        </xdr:to>
        <xdr:sp macro="" textlink="">
          <xdr:nvSpPr>
            <xdr:cNvPr id="3081" name="cboReportResul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5</xdr:row>
          <xdr:rowOff>19050</xdr:rowOff>
        </xdr:from>
        <xdr:to>
          <xdr:col>16</xdr:col>
          <xdr:colOff>450850</xdr:colOff>
          <xdr:row>6</xdr:row>
          <xdr:rowOff>69850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66</xdr:col>
      <xdr:colOff>442185</xdr:colOff>
      <xdr:row>330</xdr:row>
      <xdr:rowOff>200612</xdr:rowOff>
    </xdr:from>
    <xdr:to>
      <xdr:col>85</xdr:col>
      <xdr:colOff>553422</xdr:colOff>
      <xdr:row>350</xdr:row>
      <xdr:rowOff>178209</xdr:rowOff>
    </xdr:to>
    <xdr:pic>
      <xdr:nvPicPr>
        <xdr:cNvPr id="16" name="Meth 5" hidden="1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88985" y="8688630"/>
          <a:ext cx="12574907" cy="70145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469900</xdr:colOff>
          <xdr:row>5</xdr:row>
          <xdr:rowOff>19050</xdr:rowOff>
        </xdr:from>
        <xdr:to>
          <xdr:col>17</xdr:col>
          <xdr:colOff>742950</xdr:colOff>
          <xdr:row>6</xdr:row>
          <xdr:rowOff>69850</xdr:rowOff>
        </xdr:to>
        <xdr:sp macro="" textlink="">
          <xdr:nvSpPr>
            <xdr:cNvPr id="3084" name="CheckBox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5</xdr:row>
          <xdr:rowOff>12700</xdr:rowOff>
        </xdr:from>
        <xdr:to>
          <xdr:col>13</xdr:col>
          <xdr:colOff>95250</xdr:colOff>
          <xdr:row>6</xdr:row>
          <xdr:rowOff>31750</xdr:rowOff>
        </xdr:to>
        <xdr:sp macro="" textlink="">
          <xdr:nvSpPr>
            <xdr:cNvPr id="3086" name="showTUR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62165</xdr:colOff>
          <xdr:row>8</xdr:row>
          <xdr:rowOff>10224</xdr:rowOff>
        </xdr:from>
        <xdr:to>
          <xdr:col>3</xdr:col>
          <xdr:colOff>19773</xdr:colOff>
          <xdr:row>11</xdr:row>
          <xdr:rowOff>32530</xdr:rowOff>
        </xdr:to>
        <xdr:pic>
          <xdr:nvPicPr>
            <xdr:cNvPr id="17" name="MPCCntrl_Asset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OL!$A$5:$C$7" spid="_x0000_s3996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62165" y="1658313"/>
              <a:ext cx="4437702" cy="70177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1182032</xdr:colOff>
          <xdr:row>8</xdr:row>
          <xdr:rowOff>9467</xdr:rowOff>
        </xdr:from>
        <xdr:to>
          <xdr:col>8</xdr:col>
          <xdr:colOff>1144027</xdr:colOff>
          <xdr:row>11</xdr:row>
          <xdr:rowOff>11534</xdr:rowOff>
        </xdr:to>
        <xdr:pic>
          <xdr:nvPicPr>
            <xdr:cNvPr id="18" name="Serial_Date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OL!$E$5:$G$7" spid="_x0000_s399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622181" y="2122243"/>
              <a:ext cx="4426085" cy="6949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0</xdr:col>
      <xdr:colOff>18708</xdr:colOff>
      <xdr:row>323</xdr:row>
      <xdr:rowOff>64058</xdr:rowOff>
    </xdr:from>
    <xdr:to>
      <xdr:col>8</xdr:col>
      <xdr:colOff>1380260</xdr:colOff>
      <xdr:row>336</xdr:row>
      <xdr:rowOff>96713</xdr:rowOff>
    </xdr:to>
    <xdr:pic>
      <xdr:nvPicPr>
        <xdr:cNvPr id="35" name="DATA NO UNC" hidden="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08" y="6631113"/>
          <a:ext cx="12801600" cy="45492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9354</xdr:colOff>
      <xdr:row>324</xdr:row>
      <xdr:rowOff>216853</xdr:rowOff>
    </xdr:from>
    <xdr:to>
      <xdr:col>9</xdr:col>
      <xdr:colOff>4159</xdr:colOff>
      <xdr:row>327</xdr:row>
      <xdr:rowOff>88928</xdr:rowOff>
    </xdr:to>
    <xdr:pic>
      <xdr:nvPicPr>
        <xdr:cNvPr id="36" name="ROV WITH UNC" hidden="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196"/>
        <a:stretch/>
      </xdr:blipFill>
      <xdr:spPr bwMode="auto">
        <a:xfrm>
          <a:off x="9354" y="192545653"/>
          <a:ext cx="12764655" cy="938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9354</xdr:colOff>
      <xdr:row>324</xdr:row>
      <xdr:rowOff>101198</xdr:rowOff>
    </xdr:from>
    <xdr:to>
      <xdr:col>9</xdr:col>
      <xdr:colOff>4159</xdr:colOff>
      <xdr:row>325</xdr:row>
      <xdr:rowOff>210565</xdr:rowOff>
    </xdr:to>
    <xdr:pic>
      <xdr:nvPicPr>
        <xdr:cNvPr id="37" name="ROV NO UNC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5758"/>
        <a:stretch/>
      </xdr:blipFill>
      <xdr:spPr bwMode="auto">
        <a:xfrm>
          <a:off x="9354" y="7028471"/>
          <a:ext cx="12801600" cy="4557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34636</xdr:rowOff>
    </xdr:from>
    <xdr:to>
      <xdr:col>8</xdr:col>
      <xdr:colOff>1350819</xdr:colOff>
      <xdr:row>343</xdr:row>
      <xdr:rowOff>205352</xdr:rowOff>
    </xdr:to>
    <xdr:pic>
      <xdr:nvPicPr>
        <xdr:cNvPr id="24" name="ACC CAL WITH GB - Method 6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26091"/>
          <a:ext cx="12434455" cy="71153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51954</xdr:rowOff>
    </xdr:from>
    <xdr:to>
      <xdr:col>8</xdr:col>
      <xdr:colOff>1350819</xdr:colOff>
      <xdr:row>342</xdr:row>
      <xdr:rowOff>154189</xdr:rowOff>
    </xdr:to>
    <xdr:pic>
      <xdr:nvPicPr>
        <xdr:cNvPr id="25" name="ACC CAL WITH GB - Method 5" hidden="1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43409"/>
          <a:ext cx="12434455" cy="67004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323</xdr:row>
      <xdr:rowOff>51954</xdr:rowOff>
    </xdr:from>
    <xdr:to>
      <xdr:col>8</xdr:col>
      <xdr:colOff>1350819</xdr:colOff>
      <xdr:row>343</xdr:row>
      <xdr:rowOff>221553</xdr:rowOff>
    </xdr:to>
    <xdr:pic>
      <xdr:nvPicPr>
        <xdr:cNvPr id="26" name="ACC CAL WITHOUT GB" hidden="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7543409"/>
          <a:ext cx="12434455" cy="7114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41566</xdr:colOff>
      <xdr:row>0</xdr:row>
      <xdr:rowOff>41562</xdr:rowOff>
    </xdr:from>
    <xdr:to>
      <xdr:col>2</xdr:col>
      <xdr:colOff>476250</xdr:colOff>
      <xdr:row>0</xdr:row>
      <xdr:rowOff>1108363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566" y="41562"/>
          <a:ext cx="3368384" cy="10668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20</xdr:row>
      <xdr:rowOff>97155</xdr:rowOff>
    </xdr:from>
    <xdr:to>
      <xdr:col>3</xdr:col>
      <xdr:colOff>1146644</xdr:colOff>
      <xdr:row>27</xdr:row>
      <xdr:rowOff>156331</xdr:rowOff>
    </xdr:to>
    <xdr:pic>
      <xdr:nvPicPr>
        <xdr:cNvPr id="92272" name="Picture 2">
          <a:extLst>
            <a:ext uri="{FF2B5EF4-FFF2-40B4-BE49-F238E27FC236}">
              <a16:creationId xmlns:a16="http://schemas.microsoft.com/office/drawing/2014/main" id="{00000000-0008-0000-0400-0000706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79345" y="4036695"/>
          <a:ext cx="1072515" cy="13393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487680</xdr:colOff>
      <xdr:row>0</xdr:row>
      <xdr:rowOff>30480</xdr:rowOff>
    </xdr:from>
    <xdr:to>
      <xdr:col>3</xdr:col>
      <xdr:colOff>477980</xdr:colOff>
      <xdr:row>3</xdr:row>
      <xdr:rowOff>152877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7680" y="30480"/>
          <a:ext cx="2268680" cy="69389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110\technical_files\1.%20Bh3vz_%20MPC\12_Data%20Sheets\edit%20Conductivity%20mete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110\technical_files\1.%20Bh3vz_%20MPC\12_Data%20Sheets\New%20Folder%20(2)\DOne\Lufthansa\Test%20Weight\BW2KG-1_(2000g)_ok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obby%20A\Desktop\MPC\Electrical\VIZ%20WC412A%20Resistance-Capaitance%20Circuit%20Box%20un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69D4D61\edit%20Conductivity%20met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0"/>
      <sheetName val="1 5 0"/>
      <sheetName val="300"/>
      <sheetName val="0 - 300"/>
      <sheetName val="dummy_sheet"/>
      <sheetName val="1_5_0"/>
      <sheetName val="0_-_300"/>
      <sheetName val="AUX TABLES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unc"/>
      <sheetName val="dummy_sheet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dence Level 95%"/>
      <sheetName val="UNC_CALCULATION"/>
      <sheetName val="DATA"/>
      <sheetName val="raw sheet"/>
      <sheetName val="Sheet2"/>
      <sheetName val="Resistance Acc (HI)_unc"/>
      <sheetName val="RESISTANCE ACC (LO)"/>
      <sheetName val="CAPACITANCE ACC_UNC"/>
      <sheetName val="Confidence Level 95% (2)"/>
      <sheetName val="Confidence_Level_95%"/>
      <sheetName val="raw_sheet"/>
      <sheetName val="Resistance_Acc_(HI)_unc"/>
      <sheetName val="RESISTANCE_ACC_(LO)"/>
      <sheetName val="CAPACITANCE_ACC_UNC"/>
      <sheetName val="Confidence_Level_95%_(2)"/>
      <sheetName val="#REF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dummy sheet"/>
      <sheetName val="0"/>
      <sheetName val="1 5 0"/>
      <sheetName val="300"/>
      <sheetName val="0 - 300"/>
      <sheetName val="dummy_sheet"/>
      <sheetName val="1_5_0"/>
      <sheetName val="0_-_3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FF3399"/>
    <pageSetUpPr autoPageBreaks="0"/>
  </sheetPr>
  <dimension ref="A1:AT376"/>
  <sheetViews>
    <sheetView showGridLines="0" tabSelected="1" topLeftCell="A78" zoomScale="60" zoomScaleNormal="60" workbookViewId="0">
      <selection activeCell="C33" sqref="C1:L1048576"/>
    </sheetView>
  </sheetViews>
  <sheetFormatPr defaultRowHeight="17.5" outlineLevelCol="1"/>
  <cols>
    <col min="1" max="2" width="20.7265625" style="20" customWidth="1"/>
    <col min="3" max="3" width="20.7265625" style="20" hidden="1" customWidth="1"/>
    <col min="4" max="5" width="20.7265625" style="20" hidden="1" customWidth="1" outlineLevel="1"/>
    <col min="6" max="6" width="20.7265625" style="20" hidden="1" customWidth="1" collapsed="1"/>
    <col min="7" max="8" width="20.7265625" style="19" hidden="1" customWidth="1"/>
    <col min="9" max="9" width="3.81640625" style="28" hidden="1" customWidth="1"/>
    <col min="10" max="10" width="3.81640625" style="19" hidden="1" customWidth="1"/>
    <col min="11" max="11" width="21.26953125" style="163" hidden="1" customWidth="1"/>
    <col min="12" max="12" width="21.26953125" style="164" hidden="1" customWidth="1"/>
    <col min="13" max="14" width="4.26953125" style="164" customWidth="1"/>
    <col min="15" max="15" width="21.26953125" style="164" customWidth="1"/>
    <col min="16" max="16" width="21.26953125" style="164" hidden="1" customWidth="1"/>
    <col min="17" max="17" width="21.26953125" style="164" customWidth="1"/>
    <col min="18" max="18" width="21.26953125" style="164" hidden="1" customWidth="1"/>
    <col min="19" max="19" width="21.26953125" style="164" customWidth="1"/>
    <col min="20" max="24" width="21.26953125" style="164" hidden="1" customWidth="1" outlineLevel="1"/>
    <col min="25" max="25" width="7.54296875" style="164" customWidth="1" collapsed="1"/>
    <col min="26" max="29" width="21.26953125" style="265" customWidth="1"/>
    <col min="30" max="36" width="21.26953125" style="261" customWidth="1"/>
    <col min="37" max="37" width="21.26953125" style="19" customWidth="1"/>
    <col min="38" max="244" width="9.1796875" style="19"/>
    <col min="245" max="245" width="17.7265625" style="19" customWidth="1"/>
    <col min="246" max="250" width="13.7265625" style="19" customWidth="1"/>
    <col min="251" max="251" width="7.7265625" style="19" customWidth="1"/>
    <col min="252" max="252" width="13.7265625" style="19" customWidth="1"/>
    <col min="253" max="253" width="9.7265625" style="19" bestFit="1" customWidth="1"/>
    <col min="254" max="254" width="12.453125" style="19" bestFit="1" customWidth="1"/>
    <col min="255" max="255" width="10.54296875" style="19" customWidth="1"/>
    <col min="256" max="256" width="19.453125" style="19" bestFit="1" customWidth="1"/>
    <col min="257" max="257" width="13.453125" style="19" bestFit="1" customWidth="1"/>
    <col min="258" max="260" width="9.1796875" style="19"/>
    <col min="261" max="261" width="22.81640625" style="19" bestFit="1" customWidth="1"/>
    <col min="262" max="262" width="21.26953125" style="19" bestFit="1" customWidth="1"/>
    <col min="263" max="263" width="23.81640625" style="19" bestFit="1" customWidth="1"/>
    <col min="264" max="500" width="9.1796875" style="19"/>
    <col min="501" max="501" width="17.7265625" style="19" customWidth="1"/>
    <col min="502" max="506" width="13.7265625" style="19" customWidth="1"/>
    <col min="507" max="507" width="7.7265625" style="19" customWidth="1"/>
    <col min="508" max="508" width="13.7265625" style="19" customWidth="1"/>
    <col min="509" max="509" width="9.7265625" style="19" bestFit="1" customWidth="1"/>
    <col min="510" max="510" width="12.453125" style="19" bestFit="1" customWidth="1"/>
    <col min="511" max="511" width="10.54296875" style="19" customWidth="1"/>
    <col min="512" max="512" width="19.453125" style="19" bestFit="1" customWidth="1"/>
    <col min="513" max="513" width="13.453125" style="19" bestFit="1" customWidth="1"/>
    <col min="514" max="516" width="9.1796875" style="19"/>
    <col min="517" max="517" width="22.81640625" style="19" bestFit="1" customWidth="1"/>
    <col min="518" max="518" width="21.26953125" style="19" bestFit="1" customWidth="1"/>
    <col min="519" max="519" width="23.81640625" style="19" bestFit="1" customWidth="1"/>
    <col min="520" max="756" width="9.1796875" style="19"/>
    <col min="757" max="757" width="17.7265625" style="19" customWidth="1"/>
    <col min="758" max="762" width="13.7265625" style="19" customWidth="1"/>
    <col min="763" max="763" width="7.7265625" style="19" customWidth="1"/>
    <col min="764" max="764" width="13.7265625" style="19" customWidth="1"/>
    <col min="765" max="765" width="9.7265625" style="19" bestFit="1" customWidth="1"/>
    <col min="766" max="766" width="12.453125" style="19" bestFit="1" customWidth="1"/>
    <col min="767" max="767" width="10.54296875" style="19" customWidth="1"/>
    <col min="768" max="768" width="19.453125" style="19" bestFit="1" customWidth="1"/>
    <col min="769" max="769" width="13.453125" style="19" bestFit="1" customWidth="1"/>
    <col min="770" max="772" width="9.1796875" style="19"/>
    <col min="773" max="773" width="22.81640625" style="19" bestFit="1" customWidth="1"/>
    <col min="774" max="774" width="21.26953125" style="19" bestFit="1" customWidth="1"/>
    <col min="775" max="775" width="23.81640625" style="19" bestFit="1" customWidth="1"/>
    <col min="776" max="1012" width="9.1796875" style="19"/>
    <col min="1013" max="1013" width="17.7265625" style="19" customWidth="1"/>
    <col min="1014" max="1018" width="13.7265625" style="19" customWidth="1"/>
    <col min="1019" max="1019" width="7.7265625" style="19" customWidth="1"/>
    <col min="1020" max="1020" width="13.7265625" style="19" customWidth="1"/>
    <col min="1021" max="1021" width="9.7265625" style="19" bestFit="1" customWidth="1"/>
    <col min="1022" max="1022" width="12.453125" style="19" bestFit="1" customWidth="1"/>
    <col min="1023" max="1023" width="10.54296875" style="19" customWidth="1"/>
    <col min="1024" max="1024" width="19.453125" style="19" bestFit="1" customWidth="1"/>
    <col min="1025" max="1025" width="13.453125" style="19" bestFit="1" customWidth="1"/>
    <col min="1026" max="1028" width="9.1796875" style="19"/>
    <col min="1029" max="1029" width="22.81640625" style="19" bestFit="1" customWidth="1"/>
    <col min="1030" max="1030" width="21.26953125" style="19" bestFit="1" customWidth="1"/>
    <col min="1031" max="1031" width="23.81640625" style="19" bestFit="1" customWidth="1"/>
    <col min="1032" max="1268" width="9.1796875" style="19"/>
    <col min="1269" max="1269" width="17.7265625" style="19" customWidth="1"/>
    <col min="1270" max="1274" width="13.7265625" style="19" customWidth="1"/>
    <col min="1275" max="1275" width="7.7265625" style="19" customWidth="1"/>
    <col min="1276" max="1276" width="13.7265625" style="19" customWidth="1"/>
    <col min="1277" max="1277" width="9.7265625" style="19" bestFit="1" customWidth="1"/>
    <col min="1278" max="1278" width="12.453125" style="19" bestFit="1" customWidth="1"/>
    <col min="1279" max="1279" width="10.54296875" style="19" customWidth="1"/>
    <col min="1280" max="1280" width="19.453125" style="19" bestFit="1" customWidth="1"/>
    <col min="1281" max="1281" width="13.453125" style="19" bestFit="1" customWidth="1"/>
    <col min="1282" max="1284" width="9.1796875" style="19"/>
    <col min="1285" max="1285" width="22.81640625" style="19" bestFit="1" customWidth="1"/>
    <col min="1286" max="1286" width="21.26953125" style="19" bestFit="1" customWidth="1"/>
    <col min="1287" max="1287" width="23.81640625" style="19" bestFit="1" customWidth="1"/>
    <col min="1288" max="1524" width="9.1796875" style="19"/>
    <col min="1525" max="1525" width="17.7265625" style="19" customWidth="1"/>
    <col min="1526" max="1530" width="13.7265625" style="19" customWidth="1"/>
    <col min="1531" max="1531" width="7.7265625" style="19" customWidth="1"/>
    <col min="1532" max="1532" width="13.7265625" style="19" customWidth="1"/>
    <col min="1533" max="1533" width="9.7265625" style="19" bestFit="1" customWidth="1"/>
    <col min="1534" max="1534" width="12.453125" style="19" bestFit="1" customWidth="1"/>
    <col min="1535" max="1535" width="10.54296875" style="19" customWidth="1"/>
    <col min="1536" max="1536" width="19.453125" style="19" bestFit="1" customWidth="1"/>
    <col min="1537" max="1537" width="13.453125" style="19" bestFit="1" customWidth="1"/>
    <col min="1538" max="1540" width="9.1796875" style="19"/>
    <col min="1541" max="1541" width="22.81640625" style="19" bestFit="1" customWidth="1"/>
    <col min="1542" max="1542" width="21.26953125" style="19" bestFit="1" customWidth="1"/>
    <col min="1543" max="1543" width="23.81640625" style="19" bestFit="1" customWidth="1"/>
    <col min="1544" max="1780" width="9.1796875" style="19"/>
    <col min="1781" max="1781" width="17.7265625" style="19" customWidth="1"/>
    <col min="1782" max="1786" width="13.7265625" style="19" customWidth="1"/>
    <col min="1787" max="1787" width="7.7265625" style="19" customWidth="1"/>
    <col min="1788" max="1788" width="13.7265625" style="19" customWidth="1"/>
    <col min="1789" max="1789" width="9.7265625" style="19" bestFit="1" customWidth="1"/>
    <col min="1790" max="1790" width="12.453125" style="19" bestFit="1" customWidth="1"/>
    <col min="1791" max="1791" width="10.54296875" style="19" customWidth="1"/>
    <col min="1792" max="1792" width="19.453125" style="19" bestFit="1" customWidth="1"/>
    <col min="1793" max="1793" width="13.453125" style="19" bestFit="1" customWidth="1"/>
    <col min="1794" max="1796" width="9.1796875" style="19"/>
    <col min="1797" max="1797" width="22.81640625" style="19" bestFit="1" customWidth="1"/>
    <col min="1798" max="1798" width="21.26953125" style="19" bestFit="1" customWidth="1"/>
    <col min="1799" max="1799" width="23.81640625" style="19" bestFit="1" customWidth="1"/>
    <col min="1800" max="2036" width="9.1796875" style="19"/>
    <col min="2037" max="2037" width="17.7265625" style="19" customWidth="1"/>
    <col min="2038" max="2042" width="13.7265625" style="19" customWidth="1"/>
    <col min="2043" max="2043" width="7.7265625" style="19" customWidth="1"/>
    <col min="2044" max="2044" width="13.7265625" style="19" customWidth="1"/>
    <col min="2045" max="2045" width="9.7265625" style="19" bestFit="1" customWidth="1"/>
    <col min="2046" max="2046" width="12.453125" style="19" bestFit="1" customWidth="1"/>
    <col min="2047" max="2047" width="10.54296875" style="19" customWidth="1"/>
    <col min="2048" max="2048" width="19.453125" style="19" bestFit="1" customWidth="1"/>
    <col min="2049" max="2049" width="13.453125" style="19" bestFit="1" customWidth="1"/>
    <col min="2050" max="2052" width="9.1796875" style="19"/>
    <col min="2053" max="2053" width="22.81640625" style="19" bestFit="1" customWidth="1"/>
    <col min="2054" max="2054" width="21.26953125" style="19" bestFit="1" customWidth="1"/>
    <col min="2055" max="2055" width="23.81640625" style="19" bestFit="1" customWidth="1"/>
    <col min="2056" max="2292" width="9.1796875" style="19"/>
    <col min="2293" max="2293" width="17.7265625" style="19" customWidth="1"/>
    <col min="2294" max="2298" width="13.7265625" style="19" customWidth="1"/>
    <col min="2299" max="2299" width="7.7265625" style="19" customWidth="1"/>
    <col min="2300" max="2300" width="13.7265625" style="19" customWidth="1"/>
    <col min="2301" max="2301" width="9.7265625" style="19" bestFit="1" customWidth="1"/>
    <col min="2302" max="2302" width="12.453125" style="19" bestFit="1" customWidth="1"/>
    <col min="2303" max="2303" width="10.54296875" style="19" customWidth="1"/>
    <col min="2304" max="2304" width="19.453125" style="19" bestFit="1" customWidth="1"/>
    <col min="2305" max="2305" width="13.453125" style="19" bestFit="1" customWidth="1"/>
    <col min="2306" max="2308" width="9.1796875" style="19"/>
    <col min="2309" max="2309" width="22.81640625" style="19" bestFit="1" customWidth="1"/>
    <col min="2310" max="2310" width="21.26953125" style="19" bestFit="1" customWidth="1"/>
    <col min="2311" max="2311" width="23.81640625" style="19" bestFit="1" customWidth="1"/>
    <col min="2312" max="2548" width="9.1796875" style="19"/>
    <col min="2549" max="2549" width="17.7265625" style="19" customWidth="1"/>
    <col min="2550" max="2554" width="13.7265625" style="19" customWidth="1"/>
    <col min="2555" max="2555" width="7.7265625" style="19" customWidth="1"/>
    <col min="2556" max="2556" width="13.7265625" style="19" customWidth="1"/>
    <col min="2557" max="2557" width="9.7265625" style="19" bestFit="1" customWidth="1"/>
    <col min="2558" max="2558" width="12.453125" style="19" bestFit="1" customWidth="1"/>
    <col min="2559" max="2559" width="10.54296875" style="19" customWidth="1"/>
    <col min="2560" max="2560" width="19.453125" style="19" bestFit="1" customWidth="1"/>
    <col min="2561" max="2561" width="13.453125" style="19" bestFit="1" customWidth="1"/>
    <col min="2562" max="2564" width="9.1796875" style="19"/>
    <col min="2565" max="2565" width="22.81640625" style="19" bestFit="1" customWidth="1"/>
    <col min="2566" max="2566" width="21.26953125" style="19" bestFit="1" customWidth="1"/>
    <col min="2567" max="2567" width="23.81640625" style="19" bestFit="1" customWidth="1"/>
    <col min="2568" max="2804" width="9.1796875" style="19"/>
    <col min="2805" max="2805" width="17.7265625" style="19" customWidth="1"/>
    <col min="2806" max="2810" width="13.7265625" style="19" customWidth="1"/>
    <col min="2811" max="2811" width="7.7265625" style="19" customWidth="1"/>
    <col min="2812" max="2812" width="13.7265625" style="19" customWidth="1"/>
    <col min="2813" max="2813" width="9.7265625" style="19" bestFit="1" customWidth="1"/>
    <col min="2814" max="2814" width="12.453125" style="19" bestFit="1" customWidth="1"/>
    <col min="2815" max="2815" width="10.54296875" style="19" customWidth="1"/>
    <col min="2816" max="2816" width="19.453125" style="19" bestFit="1" customWidth="1"/>
    <col min="2817" max="2817" width="13.453125" style="19" bestFit="1" customWidth="1"/>
    <col min="2818" max="2820" width="9.1796875" style="19"/>
    <col min="2821" max="2821" width="22.81640625" style="19" bestFit="1" customWidth="1"/>
    <col min="2822" max="2822" width="21.26953125" style="19" bestFit="1" customWidth="1"/>
    <col min="2823" max="2823" width="23.81640625" style="19" bestFit="1" customWidth="1"/>
    <col min="2824" max="3060" width="9.1796875" style="19"/>
    <col min="3061" max="3061" width="17.7265625" style="19" customWidth="1"/>
    <col min="3062" max="3066" width="13.7265625" style="19" customWidth="1"/>
    <col min="3067" max="3067" width="7.7265625" style="19" customWidth="1"/>
    <col min="3068" max="3068" width="13.7265625" style="19" customWidth="1"/>
    <col min="3069" max="3069" width="9.7265625" style="19" bestFit="1" customWidth="1"/>
    <col min="3070" max="3070" width="12.453125" style="19" bestFit="1" customWidth="1"/>
    <col min="3071" max="3071" width="10.54296875" style="19" customWidth="1"/>
    <col min="3072" max="3072" width="19.453125" style="19" bestFit="1" customWidth="1"/>
    <col min="3073" max="3073" width="13.453125" style="19" bestFit="1" customWidth="1"/>
    <col min="3074" max="3076" width="9.1796875" style="19"/>
    <col min="3077" max="3077" width="22.81640625" style="19" bestFit="1" customWidth="1"/>
    <col min="3078" max="3078" width="21.26953125" style="19" bestFit="1" customWidth="1"/>
    <col min="3079" max="3079" width="23.81640625" style="19" bestFit="1" customWidth="1"/>
    <col min="3080" max="3316" width="9.1796875" style="19"/>
    <col min="3317" max="3317" width="17.7265625" style="19" customWidth="1"/>
    <col min="3318" max="3322" width="13.7265625" style="19" customWidth="1"/>
    <col min="3323" max="3323" width="7.7265625" style="19" customWidth="1"/>
    <col min="3324" max="3324" width="13.7265625" style="19" customWidth="1"/>
    <col min="3325" max="3325" width="9.7265625" style="19" bestFit="1" customWidth="1"/>
    <col min="3326" max="3326" width="12.453125" style="19" bestFit="1" customWidth="1"/>
    <col min="3327" max="3327" width="10.54296875" style="19" customWidth="1"/>
    <col min="3328" max="3328" width="19.453125" style="19" bestFit="1" customWidth="1"/>
    <col min="3329" max="3329" width="13.453125" style="19" bestFit="1" customWidth="1"/>
    <col min="3330" max="3332" width="9.1796875" style="19"/>
    <col min="3333" max="3333" width="22.81640625" style="19" bestFit="1" customWidth="1"/>
    <col min="3334" max="3334" width="21.26953125" style="19" bestFit="1" customWidth="1"/>
    <col min="3335" max="3335" width="23.81640625" style="19" bestFit="1" customWidth="1"/>
    <col min="3336" max="3572" width="9.1796875" style="19"/>
    <col min="3573" max="3573" width="17.7265625" style="19" customWidth="1"/>
    <col min="3574" max="3578" width="13.7265625" style="19" customWidth="1"/>
    <col min="3579" max="3579" width="7.7265625" style="19" customWidth="1"/>
    <col min="3580" max="3580" width="13.7265625" style="19" customWidth="1"/>
    <col min="3581" max="3581" width="9.7265625" style="19" bestFit="1" customWidth="1"/>
    <col min="3582" max="3582" width="12.453125" style="19" bestFit="1" customWidth="1"/>
    <col min="3583" max="3583" width="10.54296875" style="19" customWidth="1"/>
    <col min="3584" max="3584" width="19.453125" style="19" bestFit="1" customWidth="1"/>
    <col min="3585" max="3585" width="13.453125" style="19" bestFit="1" customWidth="1"/>
    <col min="3586" max="3588" width="9.1796875" style="19"/>
    <col min="3589" max="3589" width="22.81640625" style="19" bestFit="1" customWidth="1"/>
    <col min="3590" max="3590" width="21.26953125" style="19" bestFit="1" customWidth="1"/>
    <col min="3591" max="3591" width="23.81640625" style="19" bestFit="1" customWidth="1"/>
    <col min="3592" max="3828" width="9.1796875" style="19"/>
    <col min="3829" max="3829" width="17.7265625" style="19" customWidth="1"/>
    <col min="3830" max="3834" width="13.7265625" style="19" customWidth="1"/>
    <col min="3835" max="3835" width="7.7265625" style="19" customWidth="1"/>
    <col min="3836" max="3836" width="13.7265625" style="19" customWidth="1"/>
    <col min="3837" max="3837" width="9.7265625" style="19" bestFit="1" customWidth="1"/>
    <col min="3838" max="3838" width="12.453125" style="19" bestFit="1" customWidth="1"/>
    <col min="3839" max="3839" width="10.54296875" style="19" customWidth="1"/>
    <col min="3840" max="3840" width="19.453125" style="19" bestFit="1" customWidth="1"/>
    <col min="3841" max="3841" width="13.453125" style="19" bestFit="1" customWidth="1"/>
    <col min="3842" max="3844" width="9.1796875" style="19"/>
    <col min="3845" max="3845" width="22.81640625" style="19" bestFit="1" customWidth="1"/>
    <col min="3846" max="3846" width="21.26953125" style="19" bestFit="1" customWidth="1"/>
    <col min="3847" max="3847" width="23.81640625" style="19" bestFit="1" customWidth="1"/>
    <col min="3848" max="4084" width="9.1796875" style="19"/>
    <col min="4085" max="4085" width="17.7265625" style="19" customWidth="1"/>
    <col min="4086" max="4090" width="13.7265625" style="19" customWidth="1"/>
    <col min="4091" max="4091" width="7.7265625" style="19" customWidth="1"/>
    <col min="4092" max="4092" width="13.7265625" style="19" customWidth="1"/>
    <col min="4093" max="4093" width="9.7265625" style="19" bestFit="1" customWidth="1"/>
    <col min="4094" max="4094" width="12.453125" style="19" bestFit="1" customWidth="1"/>
    <col min="4095" max="4095" width="10.54296875" style="19" customWidth="1"/>
    <col min="4096" max="4096" width="19.453125" style="19" bestFit="1" customWidth="1"/>
    <col min="4097" max="4097" width="13.453125" style="19" bestFit="1" customWidth="1"/>
    <col min="4098" max="4100" width="9.1796875" style="19"/>
    <col min="4101" max="4101" width="22.81640625" style="19" bestFit="1" customWidth="1"/>
    <col min="4102" max="4102" width="21.26953125" style="19" bestFit="1" customWidth="1"/>
    <col min="4103" max="4103" width="23.81640625" style="19" bestFit="1" customWidth="1"/>
    <col min="4104" max="4340" width="9.1796875" style="19"/>
    <col min="4341" max="4341" width="17.7265625" style="19" customWidth="1"/>
    <col min="4342" max="4346" width="13.7265625" style="19" customWidth="1"/>
    <col min="4347" max="4347" width="7.7265625" style="19" customWidth="1"/>
    <col min="4348" max="4348" width="13.7265625" style="19" customWidth="1"/>
    <col min="4349" max="4349" width="9.7265625" style="19" bestFit="1" customWidth="1"/>
    <col min="4350" max="4350" width="12.453125" style="19" bestFit="1" customWidth="1"/>
    <col min="4351" max="4351" width="10.54296875" style="19" customWidth="1"/>
    <col min="4352" max="4352" width="19.453125" style="19" bestFit="1" customWidth="1"/>
    <col min="4353" max="4353" width="13.453125" style="19" bestFit="1" customWidth="1"/>
    <col min="4354" max="4356" width="9.1796875" style="19"/>
    <col min="4357" max="4357" width="22.81640625" style="19" bestFit="1" customWidth="1"/>
    <col min="4358" max="4358" width="21.26953125" style="19" bestFit="1" customWidth="1"/>
    <col min="4359" max="4359" width="23.81640625" style="19" bestFit="1" customWidth="1"/>
    <col min="4360" max="4596" width="9.1796875" style="19"/>
    <col min="4597" max="4597" width="17.7265625" style="19" customWidth="1"/>
    <col min="4598" max="4602" width="13.7265625" style="19" customWidth="1"/>
    <col min="4603" max="4603" width="7.7265625" style="19" customWidth="1"/>
    <col min="4604" max="4604" width="13.7265625" style="19" customWidth="1"/>
    <col min="4605" max="4605" width="9.7265625" style="19" bestFit="1" customWidth="1"/>
    <col min="4606" max="4606" width="12.453125" style="19" bestFit="1" customWidth="1"/>
    <col min="4607" max="4607" width="10.54296875" style="19" customWidth="1"/>
    <col min="4608" max="4608" width="19.453125" style="19" bestFit="1" customWidth="1"/>
    <col min="4609" max="4609" width="13.453125" style="19" bestFit="1" customWidth="1"/>
    <col min="4610" max="4612" width="9.1796875" style="19"/>
    <col min="4613" max="4613" width="22.81640625" style="19" bestFit="1" customWidth="1"/>
    <col min="4614" max="4614" width="21.26953125" style="19" bestFit="1" customWidth="1"/>
    <col min="4615" max="4615" width="23.81640625" style="19" bestFit="1" customWidth="1"/>
    <col min="4616" max="4852" width="9.1796875" style="19"/>
    <col min="4853" max="4853" width="17.7265625" style="19" customWidth="1"/>
    <col min="4854" max="4858" width="13.7265625" style="19" customWidth="1"/>
    <col min="4859" max="4859" width="7.7265625" style="19" customWidth="1"/>
    <col min="4860" max="4860" width="13.7265625" style="19" customWidth="1"/>
    <col min="4861" max="4861" width="9.7265625" style="19" bestFit="1" customWidth="1"/>
    <col min="4862" max="4862" width="12.453125" style="19" bestFit="1" customWidth="1"/>
    <col min="4863" max="4863" width="10.54296875" style="19" customWidth="1"/>
    <col min="4864" max="4864" width="19.453125" style="19" bestFit="1" customWidth="1"/>
    <col min="4865" max="4865" width="13.453125" style="19" bestFit="1" customWidth="1"/>
    <col min="4866" max="4868" width="9.1796875" style="19"/>
    <col min="4869" max="4869" width="22.81640625" style="19" bestFit="1" customWidth="1"/>
    <col min="4870" max="4870" width="21.26953125" style="19" bestFit="1" customWidth="1"/>
    <col min="4871" max="4871" width="23.81640625" style="19" bestFit="1" customWidth="1"/>
    <col min="4872" max="5108" width="9.1796875" style="19"/>
    <col min="5109" max="5109" width="17.7265625" style="19" customWidth="1"/>
    <col min="5110" max="5114" width="13.7265625" style="19" customWidth="1"/>
    <col min="5115" max="5115" width="7.7265625" style="19" customWidth="1"/>
    <col min="5116" max="5116" width="13.7265625" style="19" customWidth="1"/>
    <col min="5117" max="5117" width="9.7265625" style="19" bestFit="1" customWidth="1"/>
    <col min="5118" max="5118" width="12.453125" style="19" bestFit="1" customWidth="1"/>
    <col min="5119" max="5119" width="10.54296875" style="19" customWidth="1"/>
    <col min="5120" max="5120" width="19.453125" style="19" bestFit="1" customWidth="1"/>
    <col min="5121" max="5121" width="13.453125" style="19" bestFit="1" customWidth="1"/>
    <col min="5122" max="5124" width="9.1796875" style="19"/>
    <col min="5125" max="5125" width="22.81640625" style="19" bestFit="1" customWidth="1"/>
    <col min="5126" max="5126" width="21.26953125" style="19" bestFit="1" customWidth="1"/>
    <col min="5127" max="5127" width="23.81640625" style="19" bestFit="1" customWidth="1"/>
    <col min="5128" max="5364" width="9.1796875" style="19"/>
    <col min="5365" max="5365" width="17.7265625" style="19" customWidth="1"/>
    <col min="5366" max="5370" width="13.7265625" style="19" customWidth="1"/>
    <col min="5371" max="5371" width="7.7265625" style="19" customWidth="1"/>
    <col min="5372" max="5372" width="13.7265625" style="19" customWidth="1"/>
    <col min="5373" max="5373" width="9.7265625" style="19" bestFit="1" customWidth="1"/>
    <col min="5374" max="5374" width="12.453125" style="19" bestFit="1" customWidth="1"/>
    <col min="5375" max="5375" width="10.54296875" style="19" customWidth="1"/>
    <col min="5376" max="5376" width="19.453125" style="19" bestFit="1" customWidth="1"/>
    <col min="5377" max="5377" width="13.453125" style="19" bestFit="1" customWidth="1"/>
    <col min="5378" max="5380" width="9.1796875" style="19"/>
    <col min="5381" max="5381" width="22.81640625" style="19" bestFit="1" customWidth="1"/>
    <col min="5382" max="5382" width="21.26953125" style="19" bestFit="1" customWidth="1"/>
    <col min="5383" max="5383" width="23.81640625" style="19" bestFit="1" customWidth="1"/>
    <col min="5384" max="5620" width="9.1796875" style="19"/>
    <col min="5621" max="5621" width="17.7265625" style="19" customWidth="1"/>
    <col min="5622" max="5626" width="13.7265625" style="19" customWidth="1"/>
    <col min="5627" max="5627" width="7.7265625" style="19" customWidth="1"/>
    <col min="5628" max="5628" width="13.7265625" style="19" customWidth="1"/>
    <col min="5629" max="5629" width="9.7265625" style="19" bestFit="1" customWidth="1"/>
    <col min="5630" max="5630" width="12.453125" style="19" bestFit="1" customWidth="1"/>
    <col min="5631" max="5631" width="10.54296875" style="19" customWidth="1"/>
    <col min="5632" max="5632" width="19.453125" style="19" bestFit="1" customWidth="1"/>
    <col min="5633" max="5633" width="13.453125" style="19" bestFit="1" customWidth="1"/>
    <col min="5634" max="5636" width="9.1796875" style="19"/>
    <col min="5637" max="5637" width="22.81640625" style="19" bestFit="1" customWidth="1"/>
    <col min="5638" max="5638" width="21.26953125" style="19" bestFit="1" customWidth="1"/>
    <col min="5639" max="5639" width="23.81640625" style="19" bestFit="1" customWidth="1"/>
    <col min="5640" max="5876" width="9.1796875" style="19"/>
    <col min="5877" max="5877" width="17.7265625" style="19" customWidth="1"/>
    <col min="5878" max="5882" width="13.7265625" style="19" customWidth="1"/>
    <col min="5883" max="5883" width="7.7265625" style="19" customWidth="1"/>
    <col min="5884" max="5884" width="13.7265625" style="19" customWidth="1"/>
    <col min="5885" max="5885" width="9.7265625" style="19" bestFit="1" customWidth="1"/>
    <col min="5886" max="5886" width="12.453125" style="19" bestFit="1" customWidth="1"/>
    <col min="5887" max="5887" width="10.54296875" style="19" customWidth="1"/>
    <col min="5888" max="5888" width="19.453125" style="19" bestFit="1" customWidth="1"/>
    <col min="5889" max="5889" width="13.453125" style="19" bestFit="1" customWidth="1"/>
    <col min="5890" max="5892" width="9.1796875" style="19"/>
    <col min="5893" max="5893" width="22.81640625" style="19" bestFit="1" customWidth="1"/>
    <col min="5894" max="5894" width="21.26953125" style="19" bestFit="1" customWidth="1"/>
    <col min="5895" max="5895" width="23.81640625" style="19" bestFit="1" customWidth="1"/>
    <col min="5896" max="6132" width="9.1796875" style="19"/>
    <col min="6133" max="6133" width="17.7265625" style="19" customWidth="1"/>
    <col min="6134" max="6138" width="13.7265625" style="19" customWidth="1"/>
    <col min="6139" max="6139" width="7.7265625" style="19" customWidth="1"/>
    <col min="6140" max="6140" width="13.7265625" style="19" customWidth="1"/>
    <col min="6141" max="6141" width="9.7265625" style="19" bestFit="1" customWidth="1"/>
    <col min="6142" max="6142" width="12.453125" style="19" bestFit="1" customWidth="1"/>
    <col min="6143" max="6143" width="10.54296875" style="19" customWidth="1"/>
    <col min="6144" max="6144" width="19.453125" style="19" bestFit="1" customWidth="1"/>
    <col min="6145" max="6145" width="13.453125" style="19" bestFit="1" customWidth="1"/>
    <col min="6146" max="6148" width="9.1796875" style="19"/>
    <col min="6149" max="6149" width="22.81640625" style="19" bestFit="1" customWidth="1"/>
    <col min="6150" max="6150" width="21.26953125" style="19" bestFit="1" customWidth="1"/>
    <col min="6151" max="6151" width="23.81640625" style="19" bestFit="1" customWidth="1"/>
    <col min="6152" max="6388" width="9.1796875" style="19"/>
    <col min="6389" max="6389" width="17.7265625" style="19" customWidth="1"/>
    <col min="6390" max="6394" width="13.7265625" style="19" customWidth="1"/>
    <col min="6395" max="6395" width="7.7265625" style="19" customWidth="1"/>
    <col min="6396" max="6396" width="13.7265625" style="19" customWidth="1"/>
    <col min="6397" max="6397" width="9.7265625" style="19" bestFit="1" customWidth="1"/>
    <col min="6398" max="6398" width="12.453125" style="19" bestFit="1" customWidth="1"/>
    <col min="6399" max="6399" width="10.54296875" style="19" customWidth="1"/>
    <col min="6400" max="6400" width="19.453125" style="19" bestFit="1" customWidth="1"/>
    <col min="6401" max="6401" width="13.453125" style="19" bestFit="1" customWidth="1"/>
    <col min="6402" max="6404" width="9.1796875" style="19"/>
    <col min="6405" max="6405" width="22.81640625" style="19" bestFit="1" customWidth="1"/>
    <col min="6406" max="6406" width="21.26953125" style="19" bestFit="1" customWidth="1"/>
    <col min="6407" max="6407" width="23.81640625" style="19" bestFit="1" customWidth="1"/>
    <col min="6408" max="6644" width="9.1796875" style="19"/>
    <col min="6645" max="6645" width="17.7265625" style="19" customWidth="1"/>
    <col min="6646" max="6650" width="13.7265625" style="19" customWidth="1"/>
    <col min="6651" max="6651" width="7.7265625" style="19" customWidth="1"/>
    <col min="6652" max="6652" width="13.7265625" style="19" customWidth="1"/>
    <col min="6653" max="6653" width="9.7265625" style="19" bestFit="1" customWidth="1"/>
    <col min="6654" max="6654" width="12.453125" style="19" bestFit="1" customWidth="1"/>
    <col min="6655" max="6655" width="10.54296875" style="19" customWidth="1"/>
    <col min="6656" max="6656" width="19.453125" style="19" bestFit="1" customWidth="1"/>
    <col min="6657" max="6657" width="13.453125" style="19" bestFit="1" customWidth="1"/>
    <col min="6658" max="6660" width="9.1796875" style="19"/>
    <col min="6661" max="6661" width="22.81640625" style="19" bestFit="1" customWidth="1"/>
    <col min="6662" max="6662" width="21.26953125" style="19" bestFit="1" customWidth="1"/>
    <col min="6663" max="6663" width="23.81640625" style="19" bestFit="1" customWidth="1"/>
    <col min="6664" max="6900" width="9.1796875" style="19"/>
    <col min="6901" max="6901" width="17.7265625" style="19" customWidth="1"/>
    <col min="6902" max="6906" width="13.7265625" style="19" customWidth="1"/>
    <col min="6907" max="6907" width="7.7265625" style="19" customWidth="1"/>
    <col min="6908" max="6908" width="13.7265625" style="19" customWidth="1"/>
    <col min="6909" max="6909" width="9.7265625" style="19" bestFit="1" customWidth="1"/>
    <col min="6910" max="6910" width="12.453125" style="19" bestFit="1" customWidth="1"/>
    <col min="6911" max="6911" width="10.54296875" style="19" customWidth="1"/>
    <col min="6912" max="6912" width="19.453125" style="19" bestFit="1" customWidth="1"/>
    <col min="6913" max="6913" width="13.453125" style="19" bestFit="1" customWidth="1"/>
    <col min="6914" max="6916" width="9.1796875" style="19"/>
    <col min="6917" max="6917" width="22.81640625" style="19" bestFit="1" customWidth="1"/>
    <col min="6918" max="6918" width="21.26953125" style="19" bestFit="1" customWidth="1"/>
    <col min="6919" max="6919" width="23.81640625" style="19" bestFit="1" customWidth="1"/>
    <col min="6920" max="7156" width="9.1796875" style="19"/>
    <col min="7157" max="7157" width="17.7265625" style="19" customWidth="1"/>
    <col min="7158" max="7162" width="13.7265625" style="19" customWidth="1"/>
    <col min="7163" max="7163" width="7.7265625" style="19" customWidth="1"/>
    <col min="7164" max="7164" width="13.7265625" style="19" customWidth="1"/>
    <col min="7165" max="7165" width="9.7265625" style="19" bestFit="1" customWidth="1"/>
    <col min="7166" max="7166" width="12.453125" style="19" bestFit="1" customWidth="1"/>
    <col min="7167" max="7167" width="10.54296875" style="19" customWidth="1"/>
    <col min="7168" max="7168" width="19.453125" style="19" bestFit="1" customWidth="1"/>
    <col min="7169" max="7169" width="13.453125" style="19" bestFit="1" customWidth="1"/>
    <col min="7170" max="7172" width="9.1796875" style="19"/>
    <col min="7173" max="7173" width="22.81640625" style="19" bestFit="1" customWidth="1"/>
    <col min="7174" max="7174" width="21.26953125" style="19" bestFit="1" customWidth="1"/>
    <col min="7175" max="7175" width="23.81640625" style="19" bestFit="1" customWidth="1"/>
    <col min="7176" max="7412" width="9.1796875" style="19"/>
    <col min="7413" max="7413" width="17.7265625" style="19" customWidth="1"/>
    <col min="7414" max="7418" width="13.7265625" style="19" customWidth="1"/>
    <col min="7419" max="7419" width="7.7265625" style="19" customWidth="1"/>
    <col min="7420" max="7420" width="13.7265625" style="19" customWidth="1"/>
    <col min="7421" max="7421" width="9.7265625" style="19" bestFit="1" customWidth="1"/>
    <col min="7422" max="7422" width="12.453125" style="19" bestFit="1" customWidth="1"/>
    <col min="7423" max="7423" width="10.54296875" style="19" customWidth="1"/>
    <col min="7424" max="7424" width="19.453125" style="19" bestFit="1" customWidth="1"/>
    <col min="7425" max="7425" width="13.453125" style="19" bestFit="1" customWidth="1"/>
    <col min="7426" max="7428" width="9.1796875" style="19"/>
    <col min="7429" max="7429" width="22.81640625" style="19" bestFit="1" customWidth="1"/>
    <col min="7430" max="7430" width="21.26953125" style="19" bestFit="1" customWidth="1"/>
    <col min="7431" max="7431" width="23.81640625" style="19" bestFit="1" customWidth="1"/>
    <col min="7432" max="7668" width="9.1796875" style="19"/>
    <col min="7669" max="7669" width="17.7265625" style="19" customWidth="1"/>
    <col min="7670" max="7674" width="13.7265625" style="19" customWidth="1"/>
    <col min="7675" max="7675" width="7.7265625" style="19" customWidth="1"/>
    <col min="7676" max="7676" width="13.7265625" style="19" customWidth="1"/>
    <col min="7677" max="7677" width="9.7265625" style="19" bestFit="1" customWidth="1"/>
    <col min="7678" max="7678" width="12.453125" style="19" bestFit="1" customWidth="1"/>
    <col min="7679" max="7679" width="10.54296875" style="19" customWidth="1"/>
    <col min="7680" max="7680" width="19.453125" style="19" bestFit="1" customWidth="1"/>
    <col min="7681" max="7681" width="13.453125" style="19" bestFit="1" customWidth="1"/>
    <col min="7682" max="7684" width="9.1796875" style="19"/>
    <col min="7685" max="7685" width="22.81640625" style="19" bestFit="1" customWidth="1"/>
    <col min="7686" max="7686" width="21.26953125" style="19" bestFit="1" customWidth="1"/>
    <col min="7687" max="7687" width="23.81640625" style="19" bestFit="1" customWidth="1"/>
    <col min="7688" max="7924" width="9.1796875" style="19"/>
    <col min="7925" max="7925" width="17.7265625" style="19" customWidth="1"/>
    <col min="7926" max="7930" width="13.7265625" style="19" customWidth="1"/>
    <col min="7931" max="7931" width="7.7265625" style="19" customWidth="1"/>
    <col min="7932" max="7932" width="13.7265625" style="19" customWidth="1"/>
    <col min="7933" max="7933" width="9.7265625" style="19" bestFit="1" customWidth="1"/>
    <col min="7934" max="7934" width="12.453125" style="19" bestFit="1" customWidth="1"/>
    <col min="7935" max="7935" width="10.54296875" style="19" customWidth="1"/>
    <col min="7936" max="7936" width="19.453125" style="19" bestFit="1" customWidth="1"/>
    <col min="7937" max="7937" width="13.453125" style="19" bestFit="1" customWidth="1"/>
    <col min="7938" max="7940" width="9.1796875" style="19"/>
    <col min="7941" max="7941" width="22.81640625" style="19" bestFit="1" customWidth="1"/>
    <col min="7942" max="7942" width="21.26953125" style="19" bestFit="1" customWidth="1"/>
    <col min="7943" max="7943" width="23.81640625" style="19" bestFit="1" customWidth="1"/>
    <col min="7944" max="8180" width="9.1796875" style="19"/>
    <col min="8181" max="8181" width="17.7265625" style="19" customWidth="1"/>
    <col min="8182" max="8186" width="13.7265625" style="19" customWidth="1"/>
    <col min="8187" max="8187" width="7.7265625" style="19" customWidth="1"/>
    <col min="8188" max="8188" width="13.7265625" style="19" customWidth="1"/>
    <col min="8189" max="8189" width="9.7265625" style="19" bestFit="1" customWidth="1"/>
    <col min="8190" max="8190" width="12.453125" style="19" bestFit="1" customWidth="1"/>
    <col min="8191" max="8191" width="10.54296875" style="19" customWidth="1"/>
    <col min="8192" max="8192" width="19.453125" style="19" bestFit="1" customWidth="1"/>
    <col min="8193" max="8193" width="13.453125" style="19" bestFit="1" customWidth="1"/>
    <col min="8194" max="8196" width="9.1796875" style="19"/>
    <col min="8197" max="8197" width="22.81640625" style="19" bestFit="1" customWidth="1"/>
    <col min="8198" max="8198" width="21.26953125" style="19" bestFit="1" customWidth="1"/>
    <col min="8199" max="8199" width="23.81640625" style="19" bestFit="1" customWidth="1"/>
    <col min="8200" max="8436" width="9.1796875" style="19"/>
    <col min="8437" max="8437" width="17.7265625" style="19" customWidth="1"/>
    <col min="8438" max="8442" width="13.7265625" style="19" customWidth="1"/>
    <col min="8443" max="8443" width="7.7265625" style="19" customWidth="1"/>
    <col min="8444" max="8444" width="13.7265625" style="19" customWidth="1"/>
    <col min="8445" max="8445" width="9.7265625" style="19" bestFit="1" customWidth="1"/>
    <col min="8446" max="8446" width="12.453125" style="19" bestFit="1" customWidth="1"/>
    <col min="8447" max="8447" width="10.54296875" style="19" customWidth="1"/>
    <col min="8448" max="8448" width="19.453125" style="19" bestFit="1" customWidth="1"/>
    <col min="8449" max="8449" width="13.453125" style="19" bestFit="1" customWidth="1"/>
    <col min="8450" max="8452" width="9.1796875" style="19"/>
    <col min="8453" max="8453" width="22.81640625" style="19" bestFit="1" customWidth="1"/>
    <col min="8454" max="8454" width="21.26953125" style="19" bestFit="1" customWidth="1"/>
    <col min="8455" max="8455" width="23.81640625" style="19" bestFit="1" customWidth="1"/>
    <col min="8456" max="8692" width="9.1796875" style="19"/>
    <col min="8693" max="8693" width="17.7265625" style="19" customWidth="1"/>
    <col min="8694" max="8698" width="13.7265625" style="19" customWidth="1"/>
    <col min="8699" max="8699" width="7.7265625" style="19" customWidth="1"/>
    <col min="8700" max="8700" width="13.7265625" style="19" customWidth="1"/>
    <col min="8701" max="8701" width="9.7265625" style="19" bestFit="1" customWidth="1"/>
    <col min="8702" max="8702" width="12.453125" style="19" bestFit="1" customWidth="1"/>
    <col min="8703" max="8703" width="10.54296875" style="19" customWidth="1"/>
    <col min="8704" max="8704" width="19.453125" style="19" bestFit="1" customWidth="1"/>
    <col min="8705" max="8705" width="13.453125" style="19" bestFit="1" customWidth="1"/>
    <col min="8706" max="8708" width="9.1796875" style="19"/>
    <col min="8709" max="8709" width="22.81640625" style="19" bestFit="1" customWidth="1"/>
    <col min="8710" max="8710" width="21.26953125" style="19" bestFit="1" customWidth="1"/>
    <col min="8711" max="8711" width="23.81640625" style="19" bestFit="1" customWidth="1"/>
    <col min="8712" max="8948" width="9.1796875" style="19"/>
    <col min="8949" max="8949" width="17.7265625" style="19" customWidth="1"/>
    <col min="8950" max="8954" width="13.7265625" style="19" customWidth="1"/>
    <col min="8955" max="8955" width="7.7265625" style="19" customWidth="1"/>
    <col min="8956" max="8956" width="13.7265625" style="19" customWidth="1"/>
    <col min="8957" max="8957" width="9.7265625" style="19" bestFit="1" customWidth="1"/>
    <col min="8958" max="8958" width="12.453125" style="19" bestFit="1" customWidth="1"/>
    <col min="8959" max="8959" width="10.54296875" style="19" customWidth="1"/>
    <col min="8960" max="8960" width="19.453125" style="19" bestFit="1" customWidth="1"/>
    <col min="8961" max="8961" width="13.453125" style="19" bestFit="1" customWidth="1"/>
    <col min="8962" max="8964" width="9.1796875" style="19"/>
    <col min="8965" max="8965" width="22.81640625" style="19" bestFit="1" customWidth="1"/>
    <col min="8966" max="8966" width="21.26953125" style="19" bestFit="1" customWidth="1"/>
    <col min="8967" max="8967" width="23.81640625" style="19" bestFit="1" customWidth="1"/>
    <col min="8968" max="9204" width="9.1796875" style="19"/>
    <col min="9205" max="9205" width="17.7265625" style="19" customWidth="1"/>
    <col min="9206" max="9210" width="13.7265625" style="19" customWidth="1"/>
    <col min="9211" max="9211" width="7.7265625" style="19" customWidth="1"/>
    <col min="9212" max="9212" width="13.7265625" style="19" customWidth="1"/>
    <col min="9213" max="9213" width="9.7265625" style="19" bestFit="1" customWidth="1"/>
    <col min="9214" max="9214" width="12.453125" style="19" bestFit="1" customWidth="1"/>
    <col min="9215" max="9215" width="10.54296875" style="19" customWidth="1"/>
    <col min="9216" max="9216" width="19.453125" style="19" bestFit="1" customWidth="1"/>
    <col min="9217" max="9217" width="13.453125" style="19" bestFit="1" customWidth="1"/>
    <col min="9218" max="9220" width="9.1796875" style="19"/>
    <col min="9221" max="9221" width="22.81640625" style="19" bestFit="1" customWidth="1"/>
    <col min="9222" max="9222" width="21.26953125" style="19" bestFit="1" customWidth="1"/>
    <col min="9223" max="9223" width="23.81640625" style="19" bestFit="1" customWidth="1"/>
    <col min="9224" max="9460" width="9.1796875" style="19"/>
    <col min="9461" max="9461" width="17.7265625" style="19" customWidth="1"/>
    <col min="9462" max="9466" width="13.7265625" style="19" customWidth="1"/>
    <col min="9467" max="9467" width="7.7265625" style="19" customWidth="1"/>
    <col min="9468" max="9468" width="13.7265625" style="19" customWidth="1"/>
    <col min="9469" max="9469" width="9.7265625" style="19" bestFit="1" customWidth="1"/>
    <col min="9470" max="9470" width="12.453125" style="19" bestFit="1" customWidth="1"/>
    <col min="9471" max="9471" width="10.54296875" style="19" customWidth="1"/>
    <col min="9472" max="9472" width="19.453125" style="19" bestFit="1" customWidth="1"/>
    <col min="9473" max="9473" width="13.453125" style="19" bestFit="1" customWidth="1"/>
    <col min="9474" max="9476" width="9.1796875" style="19"/>
    <col min="9477" max="9477" width="22.81640625" style="19" bestFit="1" customWidth="1"/>
    <col min="9478" max="9478" width="21.26953125" style="19" bestFit="1" customWidth="1"/>
    <col min="9479" max="9479" width="23.81640625" style="19" bestFit="1" customWidth="1"/>
    <col min="9480" max="9716" width="9.1796875" style="19"/>
    <col min="9717" max="9717" width="17.7265625" style="19" customWidth="1"/>
    <col min="9718" max="9722" width="13.7265625" style="19" customWidth="1"/>
    <col min="9723" max="9723" width="7.7265625" style="19" customWidth="1"/>
    <col min="9724" max="9724" width="13.7265625" style="19" customWidth="1"/>
    <col min="9725" max="9725" width="9.7265625" style="19" bestFit="1" customWidth="1"/>
    <col min="9726" max="9726" width="12.453125" style="19" bestFit="1" customWidth="1"/>
    <col min="9727" max="9727" width="10.54296875" style="19" customWidth="1"/>
    <col min="9728" max="9728" width="19.453125" style="19" bestFit="1" customWidth="1"/>
    <col min="9729" max="9729" width="13.453125" style="19" bestFit="1" customWidth="1"/>
    <col min="9730" max="9732" width="9.1796875" style="19"/>
    <col min="9733" max="9733" width="22.81640625" style="19" bestFit="1" customWidth="1"/>
    <col min="9734" max="9734" width="21.26953125" style="19" bestFit="1" customWidth="1"/>
    <col min="9735" max="9735" width="23.81640625" style="19" bestFit="1" customWidth="1"/>
    <col min="9736" max="9972" width="9.1796875" style="19"/>
    <col min="9973" max="9973" width="17.7265625" style="19" customWidth="1"/>
    <col min="9974" max="9978" width="13.7265625" style="19" customWidth="1"/>
    <col min="9979" max="9979" width="7.7265625" style="19" customWidth="1"/>
    <col min="9980" max="9980" width="13.7265625" style="19" customWidth="1"/>
    <col min="9981" max="9981" width="9.7265625" style="19" bestFit="1" customWidth="1"/>
    <col min="9982" max="9982" width="12.453125" style="19" bestFit="1" customWidth="1"/>
    <col min="9983" max="9983" width="10.54296875" style="19" customWidth="1"/>
    <col min="9984" max="9984" width="19.453125" style="19" bestFit="1" customWidth="1"/>
    <col min="9985" max="9985" width="13.453125" style="19" bestFit="1" customWidth="1"/>
    <col min="9986" max="9988" width="9.1796875" style="19"/>
    <col min="9989" max="9989" width="22.81640625" style="19" bestFit="1" customWidth="1"/>
    <col min="9990" max="9990" width="21.26953125" style="19" bestFit="1" customWidth="1"/>
    <col min="9991" max="9991" width="23.81640625" style="19" bestFit="1" customWidth="1"/>
    <col min="9992" max="10228" width="9.1796875" style="19"/>
    <col min="10229" max="10229" width="17.7265625" style="19" customWidth="1"/>
    <col min="10230" max="10234" width="13.7265625" style="19" customWidth="1"/>
    <col min="10235" max="10235" width="7.7265625" style="19" customWidth="1"/>
    <col min="10236" max="10236" width="13.7265625" style="19" customWidth="1"/>
    <col min="10237" max="10237" width="9.7265625" style="19" bestFit="1" customWidth="1"/>
    <col min="10238" max="10238" width="12.453125" style="19" bestFit="1" customWidth="1"/>
    <col min="10239" max="10239" width="10.54296875" style="19" customWidth="1"/>
    <col min="10240" max="10240" width="19.453125" style="19" bestFit="1" customWidth="1"/>
    <col min="10241" max="10241" width="13.453125" style="19" bestFit="1" customWidth="1"/>
    <col min="10242" max="10244" width="9.1796875" style="19"/>
    <col min="10245" max="10245" width="22.81640625" style="19" bestFit="1" customWidth="1"/>
    <col min="10246" max="10246" width="21.26953125" style="19" bestFit="1" customWidth="1"/>
    <col min="10247" max="10247" width="23.81640625" style="19" bestFit="1" customWidth="1"/>
    <col min="10248" max="10484" width="9.1796875" style="19"/>
    <col min="10485" max="10485" width="17.7265625" style="19" customWidth="1"/>
    <col min="10486" max="10490" width="13.7265625" style="19" customWidth="1"/>
    <col min="10491" max="10491" width="7.7265625" style="19" customWidth="1"/>
    <col min="10492" max="10492" width="13.7265625" style="19" customWidth="1"/>
    <col min="10493" max="10493" width="9.7265625" style="19" bestFit="1" customWidth="1"/>
    <col min="10494" max="10494" width="12.453125" style="19" bestFit="1" customWidth="1"/>
    <col min="10495" max="10495" width="10.54296875" style="19" customWidth="1"/>
    <col min="10496" max="10496" width="19.453125" style="19" bestFit="1" customWidth="1"/>
    <col min="10497" max="10497" width="13.453125" style="19" bestFit="1" customWidth="1"/>
    <col min="10498" max="10500" width="9.1796875" style="19"/>
    <col min="10501" max="10501" width="22.81640625" style="19" bestFit="1" customWidth="1"/>
    <col min="10502" max="10502" width="21.26953125" style="19" bestFit="1" customWidth="1"/>
    <col min="10503" max="10503" width="23.81640625" style="19" bestFit="1" customWidth="1"/>
    <col min="10504" max="10740" width="9.1796875" style="19"/>
    <col min="10741" max="10741" width="17.7265625" style="19" customWidth="1"/>
    <col min="10742" max="10746" width="13.7265625" style="19" customWidth="1"/>
    <col min="10747" max="10747" width="7.7265625" style="19" customWidth="1"/>
    <col min="10748" max="10748" width="13.7265625" style="19" customWidth="1"/>
    <col min="10749" max="10749" width="9.7265625" style="19" bestFit="1" customWidth="1"/>
    <col min="10750" max="10750" width="12.453125" style="19" bestFit="1" customWidth="1"/>
    <col min="10751" max="10751" width="10.54296875" style="19" customWidth="1"/>
    <col min="10752" max="10752" width="19.453125" style="19" bestFit="1" customWidth="1"/>
    <col min="10753" max="10753" width="13.453125" style="19" bestFit="1" customWidth="1"/>
    <col min="10754" max="10756" width="9.1796875" style="19"/>
    <col min="10757" max="10757" width="22.81640625" style="19" bestFit="1" customWidth="1"/>
    <col min="10758" max="10758" width="21.26953125" style="19" bestFit="1" customWidth="1"/>
    <col min="10759" max="10759" width="23.81640625" style="19" bestFit="1" customWidth="1"/>
    <col min="10760" max="10996" width="9.1796875" style="19"/>
    <col min="10997" max="10997" width="17.7265625" style="19" customWidth="1"/>
    <col min="10998" max="11002" width="13.7265625" style="19" customWidth="1"/>
    <col min="11003" max="11003" width="7.7265625" style="19" customWidth="1"/>
    <col min="11004" max="11004" width="13.7265625" style="19" customWidth="1"/>
    <col min="11005" max="11005" width="9.7265625" style="19" bestFit="1" customWidth="1"/>
    <col min="11006" max="11006" width="12.453125" style="19" bestFit="1" customWidth="1"/>
    <col min="11007" max="11007" width="10.54296875" style="19" customWidth="1"/>
    <col min="11008" max="11008" width="19.453125" style="19" bestFit="1" customWidth="1"/>
    <col min="11009" max="11009" width="13.453125" style="19" bestFit="1" customWidth="1"/>
    <col min="11010" max="11012" width="9.1796875" style="19"/>
    <col min="11013" max="11013" width="22.81640625" style="19" bestFit="1" customWidth="1"/>
    <col min="11014" max="11014" width="21.26953125" style="19" bestFit="1" customWidth="1"/>
    <col min="11015" max="11015" width="23.81640625" style="19" bestFit="1" customWidth="1"/>
    <col min="11016" max="11252" width="9.1796875" style="19"/>
    <col min="11253" max="11253" width="17.7265625" style="19" customWidth="1"/>
    <col min="11254" max="11258" width="13.7265625" style="19" customWidth="1"/>
    <col min="11259" max="11259" width="7.7265625" style="19" customWidth="1"/>
    <col min="11260" max="11260" width="13.7265625" style="19" customWidth="1"/>
    <col min="11261" max="11261" width="9.7265625" style="19" bestFit="1" customWidth="1"/>
    <col min="11262" max="11262" width="12.453125" style="19" bestFit="1" customWidth="1"/>
    <col min="11263" max="11263" width="10.54296875" style="19" customWidth="1"/>
    <col min="11264" max="11264" width="19.453125" style="19" bestFit="1" customWidth="1"/>
    <col min="11265" max="11265" width="13.453125" style="19" bestFit="1" customWidth="1"/>
    <col min="11266" max="11268" width="9.1796875" style="19"/>
    <col min="11269" max="11269" width="22.81640625" style="19" bestFit="1" customWidth="1"/>
    <col min="11270" max="11270" width="21.26953125" style="19" bestFit="1" customWidth="1"/>
    <col min="11271" max="11271" width="23.81640625" style="19" bestFit="1" customWidth="1"/>
    <col min="11272" max="11508" width="9.1796875" style="19"/>
    <col min="11509" max="11509" width="17.7265625" style="19" customWidth="1"/>
    <col min="11510" max="11514" width="13.7265625" style="19" customWidth="1"/>
    <col min="11515" max="11515" width="7.7265625" style="19" customWidth="1"/>
    <col min="11516" max="11516" width="13.7265625" style="19" customWidth="1"/>
    <col min="11517" max="11517" width="9.7265625" style="19" bestFit="1" customWidth="1"/>
    <col min="11518" max="11518" width="12.453125" style="19" bestFit="1" customWidth="1"/>
    <col min="11519" max="11519" width="10.54296875" style="19" customWidth="1"/>
    <col min="11520" max="11520" width="19.453125" style="19" bestFit="1" customWidth="1"/>
    <col min="11521" max="11521" width="13.453125" style="19" bestFit="1" customWidth="1"/>
    <col min="11522" max="11524" width="9.1796875" style="19"/>
    <col min="11525" max="11525" width="22.81640625" style="19" bestFit="1" customWidth="1"/>
    <col min="11526" max="11526" width="21.26953125" style="19" bestFit="1" customWidth="1"/>
    <col min="11527" max="11527" width="23.81640625" style="19" bestFit="1" customWidth="1"/>
    <col min="11528" max="11764" width="9.1796875" style="19"/>
    <col min="11765" max="11765" width="17.7265625" style="19" customWidth="1"/>
    <col min="11766" max="11770" width="13.7265625" style="19" customWidth="1"/>
    <col min="11771" max="11771" width="7.7265625" style="19" customWidth="1"/>
    <col min="11772" max="11772" width="13.7265625" style="19" customWidth="1"/>
    <col min="11773" max="11773" width="9.7265625" style="19" bestFit="1" customWidth="1"/>
    <col min="11774" max="11774" width="12.453125" style="19" bestFit="1" customWidth="1"/>
    <col min="11775" max="11775" width="10.54296875" style="19" customWidth="1"/>
    <col min="11776" max="11776" width="19.453125" style="19" bestFit="1" customWidth="1"/>
    <col min="11777" max="11777" width="13.453125" style="19" bestFit="1" customWidth="1"/>
    <col min="11778" max="11780" width="9.1796875" style="19"/>
    <col min="11781" max="11781" width="22.81640625" style="19" bestFit="1" customWidth="1"/>
    <col min="11782" max="11782" width="21.26953125" style="19" bestFit="1" customWidth="1"/>
    <col min="11783" max="11783" width="23.81640625" style="19" bestFit="1" customWidth="1"/>
    <col min="11784" max="12020" width="9.1796875" style="19"/>
    <col min="12021" max="12021" width="17.7265625" style="19" customWidth="1"/>
    <col min="12022" max="12026" width="13.7265625" style="19" customWidth="1"/>
    <col min="12027" max="12027" width="7.7265625" style="19" customWidth="1"/>
    <col min="12028" max="12028" width="13.7265625" style="19" customWidth="1"/>
    <col min="12029" max="12029" width="9.7265625" style="19" bestFit="1" customWidth="1"/>
    <col min="12030" max="12030" width="12.453125" style="19" bestFit="1" customWidth="1"/>
    <col min="12031" max="12031" width="10.54296875" style="19" customWidth="1"/>
    <col min="12032" max="12032" width="19.453125" style="19" bestFit="1" customWidth="1"/>
    <col min="12033" max="12033" width="13.453125" style="19" bestFit="1" customWidth="1"/>
    <col min="12034" max="12036" width="9.1796875" style="19"/>
    <col min="12037" max="12037" width="22.81640625" style="19" bestFit="1" customWidth="1"/>
    <col min="12038" max="12038" width="21.26953125" style="19" bestFit="1" customWidth="1"/>
    <col min="12039" max="12039" width="23.81640625" style="19" bestFit="1" customWidth="1"/>
    <col min="12040" max="12276" width="9.1796875" style="19"/>
    <col min="12277" max="12277" width="17.7265625" style="19" customWidth="1"/>
    <col min="12278" max="12282" width="13.7265625" style="19" customWidth="1"/>
    <col min="12283" max="12283" width="7.7265625" style="19" customWidth="1"/>
    <col min="12284" max="12284" width="13.7265625" style="19" customWidth="1"/>
    <col min="12285" max="12285" width="9.7265625" style="19" bestFit="1" customWidth="1"/>
    <col min="12286" max="12286" width="12.453125" style="19" bestFit="1" customWidth="1"/>
    <col min="12287" max="12287" width="10.54296875" style="19" customWidth="1"/>
    <col min="12288" max="12288" width="19.453125" style="19" bestFit="1" customWidth="1"/>
    <col min="12289" max="12289" width="13.453125" style="19" bestFit="1" customWidth="1"/>
    <col min="12290" max="12292" width="9.1796875" style="19"/>
    <col min="12293" max="12293" width="22.81640625" style="19" bestFit="1" customWidth="1"/>
    <col min="12294" max="12294" width="21.26953125" style="19" bestFit="1" customWidth="1"/>
    <col min="12295" max="12295" width="23.81640625" style="19" bestFit="1" customWidth="1"/>
    <col min="12296" max="12532" width="9.1796875" style="19"/>
    <col min="12533" max="12533" width="17.7265625" style="19" customWidth="1"/>
    <col min="12534" max="12538" width="13.7265625" style="19" customWidth="1"/>
    <col min="12539" max="12539" width="7.7265625" style="19" customWidth="1"/>
    <col min="12540" max="12540" width="13.7265625" style="19" customWidth="1"/>
    <col min="12541" max="12541" width="9.7265625" style="19" bestFit="1" customWidth="1"/>
    <col min="12542" max="12542" width="12.453125" style="19" bestFit="1" customWidth="1"/>
    <col min="12543" max="12543" width="10.54296875" style="19" customWidth="1"/>
    <col min="12544" max="12544" width="19.453125" style="19" bestFit="1" customWidth="1"/>
    <col min="12545" max="12545" width="13.453125" style="19" bestFit="1" customWidth="1"/>
    <col min="12546" max="12548" width="9.1796875" style="19"/>
    <col min="12549" max="12549" width="22.81640625" style="19" bestFit="1" customWidth="1"/>
    <col min="12550" max="12550" width="21.26953125" style="19" bestFit="1" customWidth="1"/>
    <col min="12551" max="12551" width="23.81640625" style="19" bestFit="1" customWidth="1"/>
    <col min="12552" max="12788" width="9.1796875" style="19"/>
    <col min="12789" max="12789" width="17.7265625" style="19" customWidth="1"/>
    <col min="12790" max="12794" width="13.7265625" style="19" customWidth="1"/>
    <col min="12795" max="12795" width="7.7265625" style="19" customWidth="1"/>
    <col min="12796" max="12796" width="13.7265625" style="19" customWidth="1"/>
    <col min="12797" max="12797" width="9.7265625" style="19" bestFit="1" customWidth="1"/>
    <col min="12798" max="12798" width="12.453125" style="19" bestFit="1" customWidth="1"/>
    <col min="12799" max="12799" width="10.54296875" style="19" customWidth="1"/>
    <col min="12800" max="12800" width="19.453125" style="19" bestFit="1" customWidth="1"/>
    <col min="12801" max="12801" width="13.453125" style="19" bestFit="1" customWidth="1"/>
    <col min="12802" max="12804" width="9.1796875" style="19"/>
    <col min="12805" max="12805" width="22.81640625" style="19" bestFit="1" customWidth="1"/>
    <col min="12806" max="12806" width="21.26953125" style="19" bestFit="1" customWidth="1"/>
    <col min="12807" max="12807" width="23.81640625" style="19" bestFit="1" customWidth="1"/>
    <col min="12808" max="13044" width="9.1796875" style="19"/>
    <col min="13045" max="13045" width="17.7265625" style="19" customWidth="1"/>
    <col min="13046" max="13050" width="13.7265625" style="19" customWidth="1"/>
    <col min="13051" max="13051" width="7.7265625" style="19" customWidth="1"/>
    <col min="13052" max="13052" width="13.7265625" style="19" customWidth="1"/>
    <col min="13053" max="13053" width="9.7265625" style="19" bestFit="1" customWidth="1"/>
    <col min="13054" max="13054" width="12.453125" style="19" bestFit="1" customWidth="1"/>
    <col min="13055" max="13055" width="10.54296875" style="19" customWidth="1"/>
    <col min="13056" max="13056" width="19.453125" style="19" bestFit="1" customWidth="1"/>
    <col min="13057" max="13057" width="13.453125" style="19" bestFit="1" customWidth="1"/>
    <col min="13058" max="13060" width="9.1796875" style="19"/>
    <col min="13061" max="13061" width="22.81640625" style="19" bestFit="1" customWidth="1"/>
    <col min="13062" max="13062" width="21.26953125" style="19" bestFit="1" customWidth="1"/>
    <col min="13063" max="13063" width="23.81640625" style="19" bestFit="1" customWidth="1"/>
    <col min="13064" max="13300" width="9.1796875" style="19"/>
    <col min="13301" max="13301" width="17.7265625" style="19" customWidth="1"/>
    <col min="13302" max="13306" width="13.7265625" style="19" customWidth="1"/>
    <col min="13307" max="13307" width="7.7265625" style="19" customWidth="1"/>
    <col min="13308" max="13308" width="13.7265625" style="19" customWidth="1"/>
    <col min="13309" max="13309" width="9.7265625" style="19" bestFit="1" customWidth="1"/>
    <col min="13310" max="13310" width="12.453125" style="19" bestFit="1" customWidth="1"/>
    <col min="13311" max="13311" width="10.54296875" style="19" customWidth="1"/>
    <col min="13312" max="13312" width="19.453125" style="19" bestFit="1" customWidth="1"/>
    <col min="13313" max="13313" width="13.453125" style="19" bestFit="1" customWidth="1"/>
    <col min="13314" max="13316" width="9.1796875" style="19"/>
    <col min="13317" max="13317" width="22.81640625" style="19" bestFit="1" customWidth="1"/>
    <col min="13318" max="13318" width="21.26953125" style="19" bestFit="1" customWidth="1"/>
    <col min="13319" max="13319" width="23.81640625" style="19" bestFit="1" customWidth="1"/>
    <col min="13320" max="13556" width="9.1796875" style="19"/>
    <col min="13557" max="13557" width="17.7265625" style="19" customWidth="1"/>
    <col min="13558" max="13562" width="13.7265625" style="19" customWidth="1"/>
    <col min="13563" max="13563" width="7.7265625" style="19" customWidth="1"/>
    <col min="13564" max="13564" width="13.7265625" style="19" customWidth="1"/>
    <col min="13565" max="13565" width="9.7265625" style="19" bestFit="1" customWidth="1"/>
    <col min="13566" max="13566" width="12.453125" style="19" bestFit="1" customWidth="1"/>
    <col min="13567" max="13567" width="10.54296875" style="19" customWidth="1"/>
    <col min="13568" max="13568" width="19.453125" style="19" bestFit="1" customWidth="1"/>
    <col min="13569" max="13569" width="13.453125" style="19" bestFit="1" customWidth="1"/>
    <col min="13570" max="13572" width="9.1796875" style="19"/>
    <col min="13573" max="13573" width="22.81640625" style="19" bestFit="1" customWidth="1"/>
    <col min="13574" max="13574" width="21.26953125" style="19" bestFit="1" customWidth="1"/>
    <col min="13575" max="13575" width="23.81640625" style="19" bestFit="1" customWidth="1"/>
    <col min="13576" max="13812" width="9.1796875" style="19"/>
    <col min="13813" max="13813" width="17.7265625" style="19" customWidth="1"/>
    <col min="13814" max="13818" width="13.7265625" style="19" customWidth="1"/>
    <col min="13819" max="13819" width="7.7265625" style="19" customWidth="1"/>
    <col min="13820" max="13820" width="13.7265625" style="19" customWidth="1"/>
    <col min="13821" max="13821" width="9.7265625" style="19" bestFit="1" customWidth="1"/>
    <col min="13822" max="13822" width="12.453125" style="19" bestFit="1" customWidth="1"/>
    <col min="13823" max="13823" width="10.54296875" style="19" customWidth="1"/>
    <col min="13824" max="13824" width="19.453125" style="19" bestFit="1" customWidth="1"/>
    <col min="13825" max="13825" width="13.453125" style="19" bestFit="1" customWidth="1"/>
    <col min="13826" max="13828" width="9.1796875" style="19"/>
    <col min="13829" max="13829" width="22.81640625" style="19" bestFit="1" customWidth="1"/>
    <col min="13830" max="13830" width="21.26953125" style="19" bestFit="1" customWidth="1"/>
    <col min="13831" max="13831" width="23.81640625" style="19" bestFit="1" customWidth="1"/>
    <col min="13832" max="14068" width="9.1796875" style="19"/>
    <col min="14069" max="14069" width="17.7265625" style="19" customWidth="1"/>
    <col min="14070" max="14074" width="13.7265625" style="19" customWidth="1"/>
    <col min="14075" max="14075" width="7.7265625" style="19" customWidth="1"/>
    <col min="14076" max="14076" width="13.7265625" style="19" customWidth="1"/>
    <col min="14077" max="14077" width="9.7265625" style="19" bestFit="1" customWidth="1"/>
    <col min="14078" max="14078" width="12.453125" style="19" bestFit="1" customWidth="1"/>
    <col min="14079" max="14079" width="10.54296875" style="19" customWidth="1"/>
    <col min="14080" max="14080" width="19.453125" style="19" bestFit="1" customWidth="1"/>
    <col min="14081" max="14081" width="13.453125" style="19" bestFit="1" customWidth="1"/>
    <col min="14082" max="14084" width="9.1796875" style="19"/>
    <col min="14085" max="14085" width="22.81640625" style="19" bestFit="1" customWidth="1"/>
    <col min="14086" max="14086" width="21.26953125" style="19" bestFit="1" customWidth="1"/>
    <col min="14087" max="14087" width="23.81640625" style="19" bestFit="1" customWidth="1"/>
    <col min="14088" max="14324" width="9.1796875" style="19"/>
    <col min="14325" max="14325" width="17.7265625" style="19" customWidth="1"/>
    <col min="14326" max="14330" width="13.7265625" style="19" customWidth="1"/>
    <col min="14331" max="14331" width="7.7265625" style="19" customWidth="1"/>
    <col min="14332" max="14332" width="13.7265625" style="19" customWidth="1"/>
    <col min="14333" max="14333" width="9.7265625" style="19" bestFit="1" customWidth="1"/>
    <col min="14334" max="14334" width="12.453125" style="19" bestFit="1" customWidth="1"/>
    <col min="14335" max="14335" width="10.54296875" style="19" customWidth="1"/>
    <col min="14336" max="14336" width="19.453125" style="19" bestFit="1" customWidth="1"/>
    <col min="14337" max="14337" width="13.453125" style="19" bestFit="1" customWidth="1"/>
    <col min="14338" max="14340" width="9.1796875" style="19"/>
    <col min="14341" max="14341" width="22.81640625" style="19" bestFit="1" customWidth="1"/>
    <col min="14342" max="14342" width="21.26953125" style="19" bestFit="1" customWidth="1"/>
    <col min="14343" max="14343" width="23.81640625" style="19" bestFit="1" customWidth="1"/>
    <col min="14344" max="14580" width="9.1796875" style="19"/>
    <col min="14581" max="14581" width="17.7265625" style="19" customWidth="1"/>
    <col min="14582" max="14586" width="13.7265625" style="19" customWidth="1"/>
    <col min="14587" max="14587" width="7.7265625" style="19" customWidth="1"/>
    <col min="14588" max="14588" width="13.7265625" style="19" customWidth="1"/>
    <col min="14589" max="14589" width="9.7265625" style="19" bestFit="1" customWidth="1"/>
    <col min="14590" max="14590" width="12.453125" style="19" bestFit="1" customWidth="1"/>
    <col min="14591" max="14591" width="10.54296875" style="19" customWidth="1"/>
    <col min="14592" max="14592" width="19.453125" style="19" bestFit="1" customWidth="1"/>
    <col min="14593" max="14593" width="13.453125" style="19" bestFit="1" customWidth="1"/>
    <col min="14594" max="14596" width="9.1796875" style="19"/>
    <col min="14597" max="14597" width="22.81640625" style="19" bestFit="1" customWidth="1"/>
    <col min="14598" max="14598" width="21.26953125" style="19" bestFit="1" customWidth="1"/>
    <col min="14599" max="14599" width="23.81640625" style="19" bestFit="1" customWidth="1"/>
    <col min="14600" max="14836" width="9.1796875" style="19"/>
    <col min="14837" max="14837" width="17.7265625" style="19" customWidth="1"/>
    <col min="14838" max="14842" width="13.7265625" style="19" customWidth="1"/>
    <col min="14843" max="14843" width="7.7265625" style="19" customWidth="1"/>
    <col min="14844" max="14844" width="13.7265625" style="19" customWidth="1"/>
    <col min="14845" max="14845" width="9.7265625" style="19" bestFit="1" customWidth="1"/>
    <col min="14846" max="14846" width="12.453125" style="19" bestFit="1" customWidth="1"/>
    <col min="14847" max="14847" width="10.54296875" style="19" customWidth="1"/>
    <col min="14848" max="14848" width="19.453125" style="19" bestFit="1" customWidth="1"/>
    <col min="14849" max="14849" width="13.453125" style="19" bestFit="1" customWidth="1"/>
    <col min="14850" max="14852" width="9.1796875" style="19"/>
    <col min="14853" max="14853" width="22.81640625" style="19" bestFit="1" customWidth="1"/>
    <col min="14854" max="14854" width="21.26953125" style="19" bestFit="1" customWidth="1"/>
    <col min="14855" max="14855" width="23.81640625" style="19" bestFit="1" customWidth="1"/>
    <col min="14856" max="15092" width="9.1796875" style="19"/>
    <col min="15093" max="15093" width="17.7265625" style="19" customWidth="1"/>
    <col min="15094" max="15098" width="13.7265625" style="19" customWidth="1"/>
    <col min="15099" max="15099" width="7.7265625" style="19" customWidth="1"/>
    <col min="15100" max="15100" width="13.7265625" style="19" customWidth="1"/>
    <col min="15101" max="15101" width="9.7265625" style="19" bestFit="1" customWidth="1"/>
    <col min="15102" max="15102" width="12.453125" style="19" bestFit="1" customWidth="1"/>
    <col min="15103" max="15103" width="10.54296875" style="19" customWidth="1"/>
    <col min="15104" max="15104" width="19.453125" style="19" bestFit="1" customWidth="1"/>
    <col min="15105" max="15105" width="13.453125" style="19" bestFit="1" customWidth="1"/>
    <col min="15106" max="15108" width="9.1796875" style="19"/>
    <col min="15109" max="15109" width="22.81640625" style="19" bestFit="1" customWidth="1"/>
    <col min="15110" max="15110" width="21.26953125" style="19" bestFit="1" customWidth="1"/>
    <col min="15111" max="15111" width="23.81640625" style="19" bestFit="1" customWidth="1"/>
    <col min="15112" max="15348" width="9.1796875" style="19"/>
    <col min="15349" max="15349" width="17.7265625" style="19" customWidth="1"/>
    <col min="15350" max="15354" width="13.7265625" style="19" customWidth="1"/>
    <col min="15355" max="15355" width="7.7265625" style="19" customWidth="1"/>
    <col min="15356" max="15356" width="13.7265625" style="19" customWidth="1"/>
    <col min="15357" max="15357" width="9.7265625" style="19" bestFit="1" customWidth="1"/>
    <col min="15358" max="15358" width="12.453125" style="19" bestFit="1" customWidth="1"/>
    <col min="15359" max="15359" width="10.54296875" style="19" customWidth="1"/>
    <col min="15360" max="15360" width="19.453125" style="19" bestFit="1" customWidth="1"/>
    <col min="15361" max="15361" width="13.453125" style="19" bestFit="1" customWidth="1"/>
    <col min="15362" max="15364" width="9.1796875" style="19"/>
    <col min="15365" max="15365" width="22.81640625" style="19" bestFit="1" customWidth="1"/>
    <col min="15366" max="15366" width="21.26953125" style="19" bestFit="1" customWidth="1"/>
    <col min="15367" max="15367" width="23.81640625" style="19" bestFit="1" customWidth="1"/>
    <col min="15368" max="15604" width="9.1796875" style="19"/>
    <col min="15605" max="15605" width="17.7265625" style="19" customWidth="1"/>
    <col min="15606" max="15610" width="13.7265625" style="19" customWidth="1"/>
    <col min="15611" max="15611" width="7.7265625" style="19" customWidth="1"/>
    <col min="15612" max="15612" width="13.7265625" style="19" customWidth="1"/>
    <col min="15613" max="15613" width="9.7265625" style="19" bestFit="1" customWidth="1"/>
    <col min="15614" max="15614" width="12.453125" style="19" bestFit="1" customWidth="1"/>
    <col min="15615" max="15615" width="10.54296875" style="19" customWidth="1"/>
    <col min="15616" max="15616" width="19.453125" style="19" bestFit="1" customWidth="1"/>
    <col min="15617" max="15617" width="13.453125" style="19" bestFit="1" customWidth="1"/>
    <col min="15618" max="15620" width="9.1796875" style="19"/>
    <col min="15621" max="15621" width="22.81640625" style="19" bestFit="1" customWidth="1"/>
    <col min="15622" max="15622" width="21.26953125" style="19" bestFit="1" customWidth="1"/>
    <col min="15623" max="15623" width="23.81640625" style="19" bestFit="1" customWidth="1"/>
    <col min="15624" max="15860" width="9.1796875" style="19"/>
    <col min="15861" max="15861" width="17.7265625" style="19" customWidth="1"/>
    <col min="15862" max="15866" width="13.7265625" style="19" customWidth="1"/>
    <col min="15867" max="15867" width="7.7265625" style="19" customWidth="1"/>
    <col min="15868" max="15868" width="13.7265625" style="19" customWidth="1"/>
    <col min="15869" max="15869" width="9.7265625" style="19" bestFit="1" customWidth="1"/>
    <col min="15870" max="15870" width="12.453125" style="19" bestFit="1" customWidth="1"/>
    <col min="15871" max="15871" width="10.54296875" style="19" customWidth="1"/>
    <col min="15872" max="15872" width="19.453125" style="19" bestFit="1" customWidth="1"/>
    <col min="15873" max="15873" width="13.453125" style="19" bestFit="1" customWidth="1"/>
    <col min="15874" max="15876" width="9.1796875" style="19"/>
    <col min="15877" max="15877" width="22.81640625" style="19" bestFit="1" customWidth="1"/>
    <col min="15878" max="15878" width="21.26953125" style="19" bestFit="1" customWidth="1"/>
    <col min="15879" max="15879" width="23.81640625" style="19" bestFit="1" customWidth="1"/>
    <col min="15880" max="16116" width="9.1796875" style="19"/>
    <col min="16117" max="16117" width="17.7265625" style="19" customWidth="1"/>
    <col min="16118" max="16122" width="13.7265625" style="19" customWidth="1"/>
    <col min="16123" max="16123" width="7.7265625" style="19" customWidth="1"/>
    <col min="16124" max="16124" width="13.7265625" style="19" customWidth="1"/>
    <col min="16125" max="16125" width="9.7265625" style="19" bestFit="1" customWidth="1"/>
    <col min="16126" max="16126" width="12.453125" style="19" bestFit="1" customWidth="1"/>
    <col min="16127" max="16127" width="10.54296875" style="19" customWidth="1"/>
    <col min="16128" max="16128" width="19.453125" style="19" bestFit="1" customWidth="1"/>
    <col min="16129" max="16129" width="13.453125" style="19" bestFit="1" customWidth="1"/>
    <col min="16130" max="16132" width="9.1796875" style="19"/>
    <col min="16133" max="16133" width="22.81640625" style="19" bestFit="1" customWidth="1"/>
    <col min="16134" max="16134" width="21.26953125" style="19" bestFit="1" customWidth="1"/>
    <col min="16135" max="16135" width="23.81640625" style="19" bestFit="1" customWidth="1"/>
    <col min="16136" max="16376" width="9.1796875" style="19"/>
    <col min="16377" max="16384" width="9.1796875" style="19" customWidth="1"/>
  </cols>
  <sheetData>
    <row r="1" spans="1:36" s="1" customFormat="1" ht="6" customHeight="1">
      <c r="F1" s="21"/>
      <c r="K1" s="157"/>
      <c r="L1" s="158"/>
      <c r="M1" s="158"/>
      <c r="N1" s="158"/>
      <c r="O1" s="158"/>
      <c r="P1" s="158"/>
      <c r="Q1" s="158"/>
      <c r="R1" s="158"/>
      <c r="S1" s="158"/>
      <c r="T1" s="158"/>
      <c r="U1" s="158"/>
      <c r="V1" s="158"/>
      <c r="W1" s="158"/>
      <c r="X1" s="158"/>
      <c r="Y1" s="158"/>
      <c r="Z1" s="265"/>
      <c r="AA1" s="265"/>
      <c r="AB1" s="265"/>
      <c r="AC1" s="265"/>
      <c r="AD1" s="261"/>
      <c r="AE1" s="261"/>
      <c r="AF1" s="261"/>
      <c r="AG1" s="261"/>
      <c r="AH1" s="261"/>
      <c r="AI1" s="261"/>
      <c r="AJ1" s="261"/>
    </row>
    <row r="2" spans="1:36" s="1" customFormat="1" ht="18">
      <c r="F2" s="21"/>
      <c r="K2" s="157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265"/>
      <c r="AA2" s="265"/>
      <c r="AB2" s="265"/>
      <c r="AC2" s="265"/>
      <c r="AD2" s="261"/>
      <c r="AE2" s="261"/>
      <c r="AF2" s="261"/>
      <c r="AG2" s="261"/>
      <c r="AH2" s="261"/>
      <c r="AI2" s="261"/>
      <c r="AJ2" s="261"/>
    </row>
    <row r="3" spans="1:36" s="1" customFormat="1" ht="9.25" customHeight="1">
      <c r="F3" s="21"/>
      <c r="K3" s="157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58"/>
      <c r="Y3" s="158"/>
      <c r="Z3" s="265"/>
      <c r="AA3" s="265"/>
      <c r="AB3" s="265"/>
      <c r="AC3" s="265"/>
      <c r="AD3" s="261"/>
      <c r="AE3" s="261"/>
      <c r="AF3" s="261"/>
      <c r="AG3" s="261"/>
      <c r="AH3" s="261"/>
      <c r="AI3" s="261"/>
      <c r="AJ3" s="261"/>
    </row>
    <row r="4" spans="1:36" s="1" customFormat="1" ht="18">
      <c r="F4" s="21"/>
      <c r="K4" s="157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265"/>
      <c r="AA4" s="265"/>
      <c r="AB4" s="265"/>
      <c r="AC4" s="265"/>
      <c r="AD4" s="261"/>
      <c r="AE4" s="261"/>
      <c r="AF4" s="261"/>
      <c r="AG4" s="261"/>
      <c r="AH4" s="261"/>
      <c r="AI4" s="261"/>
      <c r="AJ4" s="261"/>
    </row>
    <row r="5" spans="1:36" s="1" customFormat="1" ht="9.75" customHeight="1">
      <c r="F5" s="21"/>
      <c r="K5" s="157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265"/>
      <c r="AA5" s="265"/>
      <c r="AB5" s="265"/>
      <c r="AC5" s="265"/>
      <c r="AD5" s="261"/>
      <c r="AE5" s="261"/>
      <c r="AF5" s="261"/>
      <c r="AG5" s="261"/>
      <c r="AH5" s="261"/>
      <c r="AI5" s="261"/>
      <c r="AJ5" s="261"/>
    </row>
    <row r="6" spans="1:36" s="1" customFormat="1" ht="6.75" customHeight="1">
      <c r="F6" s="21"/>
      <c r="K6" s="157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  <c r="X6" s="158"/>
      <c r="Y6" s="158"/>
      <c r="Z6" s="265"/>
      <c r="AA6" s="265"/>
      <c r="AB6" s="265"/>
      <c r="AC6" s="265"/>
      <c r="AD6" s="261"/>
      <c r="AE6" s="261"/>
      <c r="AF6" s="261"/>
      <c r="AG6" s="261"/>
      <c r="AH6" s="261"/>
      <c r="AI6" s="261"/>
      <c r="AJ6" s="261"/>
    </row>
    <row r="7" spans="1:36" s="1" customFormat="1" ht="16.399999999999999" customHeight="1">
      <c r="F7" s="21"/>
      <c r="K7" s="157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  <c r="X7" s="158"/>
      <c r="Y7" s="158"/>
      <c r="Z7" s="265"/>
      <c r="AA7" s="265"/>
      <c r="AB7" s="265"/>
      <c r="AC7" s="265"/>
      <c r="AD7" s="261"/>
      <c r="AE7" s="261"/>
      <c r="AF7" s="261"/>
      <c r="AG7" s="261"/>
      <c r="AH7" s="261"/>
      <c r="AI7" s="261"/>
      <c r="AJ7" s="261"/>
    </row>
    <row r="8" spans="1:36" s="1" customFormat="1" ht="16.5" customHeight="1">
      <c r="B8" s="2"/>
      <c r="C8" s="2"/>
      <c r="F8" s="22"/>
      <c r="K8" s="157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  <c r="Y8" s="158"/>
      <c r="Z8" s="265"/>
      <c r="AA8" s="265"/>
      <c r="AB8" s="265"/>
      <c r="AC8" s="265"/>
      <c r="AD8" s="261"/>
      <c r="AE8" s="261"/>
      <c r="AF8" s="261"/>
      <c r="AG8" s="261"/>
      <c r="AH8" s="261"/>
      <c r="AI8" s="261"/>
      <c r="AJ8" s="261"/>
    </row>
    <row r="9" spans="1:36" s="1" customFormat="1" ht="12" customHeight="1">
      <c r="B9" s="3"/>
      <c r="C9" s="2"/>
      <c r="F9" s="22"/>
      <c r="K9" s="157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  <c r="Y9" s="158"/>
      <c r="Z9" s="265"/>
      <c r="AA9" s="265"/>
      <c r="AB9" s="265"/>
      <c r="AC9" s="265"/>
      <c r="AD9" s="261"/>
      <c r="AE9" s="261"/>
      <c r="AF9" s="261"/>
      <c r="AG9" s="261"/>
      <c r="AH9" s="261"/>
      <c r="AI9" s="261"/>
      <c r="AJ9" s="261"/>
    </row>
    <row r="10" spans="1:36" s="5" customFormat="1" ht="18" customHeight="1">
      <c r="A10" s="4" t="s">
        <v>53</v>
      </c>
      <c r="B10" s="606"/>
      <c r="C10" s="606"/>
      <c r="D10" s="1"/>
      <c r="E10" s="1"/>
      <c r="F10" s="4" t="s">
        <v>1</v>
      </c>
      <c r="G10" s="620"/>
      <c r="H10" s="620"/>
      <c r="K10" s="159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0"/>
      <c r="W10" s="160"/>
      <c r="X10" s="160"/>
      <c r="Y10" s="160"/>
      <c r="Z10" s="291"/>
      <c r="AA10" s="291"/>
      <c r="AB10" s="291"/>
      <c r="AC10" s="291"/>
      <c r="AD10" s="292"/>
      <c r="AE10" s="292"/>
      <c r="AF10" s="292"/>
      <c r="AG10" s="292"/>
      <c r="AH10" s="292"/>
      <c r="AI10" s="292"/>
      <c r="AJ10" s="292"/>
    </row>
    <row r="11" spans="1:36" s="5" customFormat="1" ht="5.65" customHeight="1">
      <c r="A11" s="4"/>
      <c r="B11" s="6"/>
      <c r="C11" s="7"/>
      <c r="D11" s="1"/>
      <c r="E11" s="1"/>
      <c r="F11" s="4"/>
      <c r="G11" s="23"/>
      <c r="H11" s="7"/>
      <c r="K11" s="159"/>
      <c r="L11" s="160"/>
      <c r="M11" s="160"/>
      <c r="N11" s="160"/>
      <c r="O11" s="160"/>
      <c r="P11" s="160" t="s">
        <v>123</v>
      </c>
      <c r="Q11" s="160"/>
      <c r="R11" s="160"/>
      <c r="S11" s="160"/>
      <c r="T11" s="160"/>
      <c r="U11" s="160"/>
      <c r="V11" s="160"/>
      <c r="W11" s="160"/>
      <c r="X11" s="160"/>
      <c r="Y11" s="160"/>
      <c r="Z11" s="291"/>
      <c r="AA11" s="291"/>
      <c r="AB11" s="291"/>
      <c r="AC11" s="291"/>
      <c r="AD11" s="292"/>
      <c r="AE11" s="292"/>
      <c r="AF11" s="292"/>
      <c r="AG11" s="292"/>
      <c r="AH11" s="292"/>
      <c r="AI11" s="292"/>
      <c r="AJ11" s="292"/>
    </row>
    <row r="12" spans="1:36" s="5" customFormat="1" ht="18" customHeight="1">
      <c r="A12" s="4" t="s">
        <v>16</v>
      </c>
      <c r="B12" s="606" t="s">
        <v>140</v>
      </c>
      <c r="C12" s="606"/>
      <c r="D12" s="1"/>
      <c r="E12" s="1"/>
      <c r="F12" s="4" t="s">
        <v>18</v>
      </c>
      <c r="G12" s="621"/>
      <c r="H12" s="621"/>
      <c r="K12" s="159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0"/>
      <c r="W12" s="160"/>
      <c r="X12" s="160"/>
      <c r="Y12" s="160"/>
      <c r="Z12" s="291"/>
      <c r="AA12" s="291"/>
      <c r="AB12" s="291"/>
      <c r="AC12" s="291"/>
      <c r="AD12" s="292"/>
      <c r="AE12" s="292"/>
      <c r="AF12" s="292"/>
      <c r="AG12" s="292"/>
      <c r="AH12" s="292"/>
      <c r="AI12" s="292"/>
      <c r="AJ12" s="292"/>
    </row>
    <row r="13" spans="1:36" s="5" customFormat="1" ht="5.65" customHeight="1">
      <c r="A13" s="4"/>
      <c r="B13" s="6"/>
      <c r="C13" s="7"/>
      <c r="D13" s="1"/>
      <c r="E13" s="1"/>
      <c r="F13" s="8"/>
      <c r="G13" s="23"/>
      <c r="H13" s="7"/>
      <c r="K13" s="159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0"/>
      <c r="W13" s="160"/>
      <c r="X13" s="160"/>
      <c r="Y13" s="160"/>
      <c r="Z13" s="291"/>
      <c r="AA13" s="291"/>
      <c r="AB13" s="291"/>
      <c r="AC13" s="291"/>
      <c r="AD13" s="292"/>
      <c r="AE13" s="292"/>
      <c r="AF13" s="292"/>
      <c r="AG13" s="292"/>
      <c r="AH13" s="292"/>
      <c r="AI13" s="292"/>
      <c r="AJ13" s="292"/>
    </row>
    <row r="14" spans="1:36" s="5" customFormat="1" ht="18" customHeight="1">
      <c r="A14" s="4" t="s">
        <v>17</v>
      </c>
      <c r="B14" s="607" t="s">
        <v>151</v>
      </c>
      <c r="C14" s="606"/>
      <c r="D14" s="1"/>
      <c r="E14" s="1"/>
      <c r="F14" s="4" t="s">
        <v>42</v>
      </c>
      <c r="G14" s="618"/>
      <c r="H14" s="618"/>
      <c r="K14" s="159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0"/>
      <c r="W14" s="160"/>
      <c r="X14" s="160"/>
      <c r="Y14" s="160"/>
      <c r="Z14" s="291"/>
      <c r="AA14" s="291"/>
      <c r="AB14" s="291"/>
      <c r="AC14" s="291"/>
      <c r="AD14" s="292"/>
      <c r="AE14" s="292"/>
      <c r="AF14" s="292"/>
      <c r="AG14" s="292"/>
      <c r="AH14" s="292"/>
      <c r="AI14" s="292"/>
      <c r="AJ14" s="292"/>
    </row>
    <row r="15" spans="1:36" s="5" customFormat="1" ht="5.65" customHeight="1">
      <c r="A15" s="9"/>
      <c r="B15" s="10"/>
      <c r="C15" s="11"/>
      <c r="D15" s="1"/>
      <c r="E15" s="1"/>
      <c r="K15" s="159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0"/>
      <c r="W15" s="160"/>
      <c r="X15" s="160"/>
      <c r="Y15" s="160"/>
      <c r="Z15" s="291"/>
      <c r="AA15" s="291"/>
      <c r="AB15" s="291"/>
      <c r="AC15" s="291"/>
      <c r="AD15" s="292"/>
      <c r="AE15" s="292"/>
      <c r="AF15" s="292"/>
      <c r="AG15" s="292"/>
      <c r="AH15" s="292"/>
      <c r="AI15" s="292"/>
      <c r="AJ15" s="292"/>
    </row>
    <row r="16" spans="1:36" s="5" customFormat="1" ht="18" customHeight="1">
      <c r="A16" s="4" t="s">
        <v>19</v>
      </c>
      <c r="B16" s="606" t="s">
        <v>142</v>
      </c>
      <c r="C16" s="606"/>
      <c r="D16" s="1"/>
      <c r="E16" s="1"/>
      <c r="F16" s="4" t="s">
        <v>20</v>
      </c>
      <c r="G16" s="608"/>
      <c r="H16" s="608"/>
      <c r="K16" s="159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291"/>
      <c r="AA16" s="291"/>
      <c r="AB16" s="291"/>
      <c r="AC16" s="291"/>
      <c r="AD16" s="292"/>
      <c r="AE16" s="292"/>
      <c r="AF16" s="292"/>
      <c r="AG16" s="292"/>
      <c r="AH16" s="292"/>
      <c r="AI16" s="292"/>
      <c r="AJ16" s="292"/>
    </row>
    <row r="17" spans="1:44" s="5" customFormat="1" ht="5.65" customHeight="1">
      <c r="A17" s="9"/>
      <c r="B17" s="10"/>
      <c r="C17" s="9"/>
      <c r="D17" s="1"/>
      <c r="E17" s="1"/>
      <c r="F17" s="8"/>
      <c r="G17" s="24"/>
      <c r="H17" s="29"/>
      <c r="K17" s="159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0"/>
      <c r="W17" s="160"/>
      <c r="X17" s="160"/>
      <c r="Y17" s="160"/>
      <c r="Z17" s="291"/>
      <c r="AA17" s="291"/>
      <c r="AB17" s="291"/>
      <c r="AC17" s="291"/>
      <c r="AD17" s="292"/>
      <c r="AE17" s="292"/>
      <c r="AF17" s="292"/>
      <c r="AG17" s="292"/>
      <c r="AH17" s="292"/>
      <c r="AI17" s="292"/>
      <c r="AJ17" s="292"/>
    </row>
    <row r="18" spans="1:44" s="5" customFormat="1" ht="18" customHeight="1">
      <c r="A18" s="4" t="s">
        <v>21</v>
      </c>
      <c r="B18" s="619"/>
      <c r="C18" s="619"/>
      <c r="D18" s="1"/>
      <c r="E18" s="1"/>
      <c r="F18" s="4" t="s">
        <v>22</v>
      </c>
      <c r="G18" s="608"/>
      <c r="H18" s="608"/>
      <c r="K18" s="159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0"/>
      <c r="W18" s="160"/>
      <c r="X18" s="160"/>
      <c r="Y18" s="160"/>
      <c r="Z18" s="291"/>
      <c r="AA18" s="291"/>
      <c r="AB18" s="291"/>
      <c r="AC18" s="291"/>
      <c r="AD18" s="292"/>
      <c r="AE18" s="292"/>
      <c r="AF18" s="292"/>
      <c r="AG18" s="292"/>
      <c r="AH18" s="292"/>
      <c r="AI18" s="292"/>
      <c r="AJ18" s="292"/>
    </row>
    <row r="19" spans="1:44" s="5" customFormat="1" ht="5.65" customHeight="1">
      <c r="A19" s="4"/>
      <c r="B19" s="13"/>
      <c r="C19" s="13"/>
      <c r="D19" s="1"/>
      <c r="E19" s="1"/>
      <c r="F19" s="12"/>
      <c r="G19" s="23"/>
      <c r="H19" s="25"/>
      <c r="K19" s="159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0"/>
      <c r="W19" s="160"/>
      <c r="X19" s="160"/>
      <c r="Y19" s="160"/>
      <c r="Z19" s="291"/>
      <c r="AA19" s="291"/>
      <c r="AB19" s="291"/>
      <c r="AC19" s="291"/>
      <c r="AD19" s="292"/>
      <c r="AE19" s="292"/>
      <c r="AF19" s="292"/>
      <c r="AG19" s="292"/>
      <c r="AH19" s="292"/>
      <c r="AI19" s="292"/>
      <c r="AJ19" s="292"/>
    </row>
    <row r="20" spans="1:44" s="5" customFormat="1" ht="18" customHeight="1">
      <c r="A20" s="4" t="s">
        <v>23</v>
      </c>
      <c r="B20" s="606"/>
      <c r="C20" s="606"/>
      <c r="D20" s="1"/>
      <c r="E20" s="1"/>
      <c r="F20" s="4" t="s">
        <v>24</v>
      </c>
      <c r="G20" s="605"/>
      <c r="H20" s="605"/>
      <c r="K20" s="159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0"/>
      <c r="W20" s="160"/>
      <c r="X20" s="160"/>
      <c r="Y20" s="160"/>
      <c r="Z20" s="291"/>
      <c r="AA20" s="291"/>
      <c r="AB20" s="291"/>
      <c r="AC20" s="291"/>
      <c r="AD20" s="292"/>
      <c r="AE20" s="292"/>
      <c r="AF20" s="292"/>
      <c r="AG20" s="292"/>
      <c r="AH20" s="292"/>
      <c r="AI20" s="292"/>
      <c r="AJ20" s="292"/>
    </row>
    <row r="21" spans="1:44" s="5" customFormat="1" ht="5.65" customHeight="1">
      <c r="A21" s="4"/>
      <c r="B21" s="13"/>
      <c r="C21" s="13"/>
      <c r="D21" s="1"/>
      <c r="E21" s="1"/>
      <c r="F21" s="8"/>
      <c r="G21" s="23"/>
      <c r="H21" s="30"/>
      <c r="K21" s="159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291"/>
      <c r="AA21" s="291"/>
      <c r="AB21" s="291"/>
      <c r="AC21" s="291"/>
      <c r="AD21" s="292"/>
      <c r="AE21" s="292"/>
      <c r="AF21" s="292"/>
      <c r="AG21" s="292"/>
      <c r="AH21" s="292"/>
      <c r="AI21" s="292"/>
      <c r="AJ21" s="292"/>
    </row>
    <row r="22" spans="1:44" s="14" customFormat="1" ht="18" customHeight="1">
      <c r="A22" s="4" t="s">
        <v>54</v>
      </c>
      <c r="B22" s="607"/>
      <c r="C22" s="606"/>
      <c r="D22" s="1"/>
      <c r="E22" s="1"/>
      <c r="F22" s="4" t="s">
        <v>25</v>
      </c>
      <c r="G22" s="605"/>
      <c r="H22" s="605"/>
      <c r="K22" s="159"/>
      <c r="L22" s="161"/>
      <c r="M22" s="161"/>
      <c r="N22" s="161"/>
      <c r="O22" s="161"/>
      <c r="P22" s="161"/>
      <c r="Q22" s="161"/>
      <c r="R22" s="161"/>
      <c r="S22" s="161"/>
      <c r="T22" s="161"/>
      <c r="U22" s="161"/>
      <c r="V22" s="161"/>
      <c r="W22" s="161"/>
      <c r="X22" s="161"/>
      <c r="Y22" s="161"/>
      <c r="Z22" s="291"/>
      <c r="AA22" s="291"/>
      <c r="AB22" s="291"/>
      <c r="AC22" s="291"/>
      <c r="AD22" s="292"/>
      <c r="AE22" s="292"/>
      <c r="AF22" s="292"/>
      <c r="AG22" s="292"/>
      <c r="AH22" s="292"/>
      <c r="AI22" s="292"/>
      <c r="AJ22" s="292"/>
    </row>
    <row r="23" spans="1:44" s="5" customFormat="1" ht="5.65" customHeight="1">
      <c r="A23" s="4"/>
      <c r="B23" s="13"/>
      <c r="C23" s="13"/>
      <c r="D23" s="1"/>
      <c r="E23" s="1"/>
      <c r="F23" s="8"/>
      <c r="G23" s="15"/>
      <c r="H23" s="26"/>
      <c r="K23" s="159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0"/>
      <c r="W23" s="160"/>
      <c r="X23" s="160"/>
      <c r="Y23" s="160"/>
      <c r="Z23" s="291"/>
      <c r="AA23" s="291"/>
      <c r="AB23" s="291"/>
      <c r="AC23" s="291"/>
      <c r="AD23" s="292"/>
      <c r="AE23" s="292"/>
      <c r="AF23" s="292"/>
      <c r="AG23" s="292"/>
      <c r="AH23" s="292"/>
      <c r="AI23" s="292"/>
      <c r="AJ23" s="292"/>
    </row>
    <row r="24" spans="1:44" s="14" customFormat="1" ht="18" customHeight="1">
      <c r="A24" s="4" t="s">
        <v>0</v>
      </c>
      <c r="B24" s="607"/>
      <c r="C24" s="606"/>
      <c r="D24" s="1"/>
      <c r="E24" s="1"/>
      <c r="F24" s="4" t="s">
        <v>43</v>
      </c>
      <c r="G24" s="605"/>
      <c r="H24" s="605"/>
      <c r="K24" s="159"/>
      <c r="L24" s="161"/>
      <c r="M24" s="161"/>
      <c r="N24" s="161"/>
      <c r="O24" s="161"/>
      <c r="P24" s="161"/>
      <c r="Q24" s="161"/>
      <c r="R24" s="161"/>
      <c r="S24" s="161"/>
      <c r="T24" s="161"/>
      <c r="U24" s="161"/>
      <c r="V24" s="161"/>
      <c r="W24" s="161"/>
      <c r="X24" s="161"/>
      <c r="Y24" s="161"/>
      <c r="Z24" s="291"/>
      <c r="AA24" s="291"/>
      <c r="AB24" s="291"/>
      <c r="AC24" s="291"/>
      <c r="AD24" s="292"/>
      <c r="AE24" s="292"/>
      <c r="AF24" s="292"/>
      <c r="AG24" s="292"/>
      <c r="AH24" s="292"/>
      <c r="AI24" s="292"/>
      <c r="AJ24" s="292"/>
    </row>
    <row r="25" spans="1:44" s="5" customFormat="1" ht="5.65" customHeight="1">
      <c r="A25" s="4"/>
      <c r="B25" s="13"/>
      <c r="C25" s="13"/>
      <c r="D25" s="1"/>
      <c r="E25" s="1"/>
      <c r="F25" s="26"/>
      <c r="K25" s="159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0"/>
      <c r="W25" s="160"/>
      <c r="X25" s="160"/>
      <c r="Y25" s="160"/>
      <c r="Z25" s="291"/>
      <c r="AA25" s="291"/>
      <c r="AB25" s="291"/>
      <c r="AC25" s="291"/>
      <c r="AD25" s="292"/>
      <c r="AE25" s="292"/>
      <c r="AF25" s="292"/>
      <c r="AG25" s="292"/>
      <c r="AH25" s="292"/>
      <c r="AI25" s="292"/>
      <c r="AJ25" s="292"/>
    </row>
    <row r="26" spans="1:44" s="14" customFormat="1" ht="18" customHeight="1">
      <c r="A26" s="4" t="s">
        <v>55</v>
      </c>
      <c r="B26" s="606"/>
      <c r="C26" s="606"/>
      <c r="D26" s="1"/>
      <c r="E26" s="1"/>
      <c r="F26" s="4" t="s">
        <v>60</v>
      </c>
      <c r="G26" s="626" t="s">
        <v>61</v>
      </c>
      <c r="H26" s="626"/>
      <c r="K26" s="159"/>
      <c r="L26" s="161"/>
      <c r="M26" s="161"/>
      <c r="N26" s="161"/>
      <c r="O26" s="161"/>
      <c r="P26" s="161"/>
      <c r="Q26" s="161"/>
      <c r="R26" s="161"/>
      <c r="S26" s="161"/>
      <c r="T26" s="161"/>
      <c r="U26" s="161"/>
      <c r="V26" s="161"/>
      <c r="W26" s="161"/>
      <c r="X26" s="161"/>
      <c r="Y26" s="161"/>
      <c r="Z26" s="291"/>
      <c r="AA26" s="291"/>
      <c r="AB26" s="291"/>
      <c r="AC26" s="291"/>
      <c r="AD26" s="292"/>
      <c r="AE26" s="292"/>
      <c r="AF26" s="292"/>
      <c r="AG26" s="292"/>
      <c r="AH26" s="292"/>
      <c r="AI26" s="292"/>
      <c r="AJ26" s="292"/>
    </row>
    <row r="27" spans="1:44" s="5" customFormat="1" ht="5.65" customHeight="1">
      <c r="A27" s="4"/>
      <c r="B27" s="13"/>
      <c r="C27" s="13"/>
      <c r="D27" s="1"/>
      <c r="E27" s="1"/>
      <c r="F27" s="26"/>
      <c r="K27" s="159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0"/>
      <c r="W27" s="160"/>
      <c r="X27" s="160"/>
      <c r="Y27" s="160"/>
      <c r="Z27" s="291"/>
      <c r="AA27" s="291"/>
      <c r="AB27" s="291"/>
      <c r="AC27" s="291"/>
      <c r="AD27" s="292"/>
      <c r="AE27" s="292"/>
      <c r="AF27" s="292"/>
      <c r="AG27" s="292"/>
      <c r="AH27" s="292"/>
      <c r="AI27" s="292"/>
      <c r="AJ27" s="292"/>
    </row>
    <row r="28" spans="1:44" s="14" customFormat="1" ht="18" customHeight="1">
      <c r="A28" s="4" t="s">
        <v>8</v>
      </c>
      <c r="B28" s="607" t="s">
        <v>143</v>
      </c>
      <c r="C28" s="606"/>
      <c r="D28" s="1"/>
      <c r="E28" s="1"/>
      <c r="F28" s="4" t="s">
        <v>144</v>
      </c>
      <c r="G28" s="626" t="s">
        <v>145</v>
      </c>
      <c r="H28" s="626"/>
      <c r="K28" s="159"/>
      <c r="L28" s="161"/>
      <c r="M28" s="161"/>
      <c r="N28" s="161"/>
      <c r="O28" s="161"/>
      <c r="P28" s="161"/>
      <c r="Q28" s="161"/>
      <c r="R28" s="161"/>
      <c r="S28" s="161"/>
      <c r="T28" s="161"/>
      <c r="U28" s="161"/>
      <c r="V28" s="161"/>
      <c r="W28" s="161"/>
      <c r="X28" s="161"/>
      <c r="Y28" s="161"/>
      <c r="Z28" s="291"/>
      <c r="AA28" s="291"/>
      <c r="AB28" s="291"/>
      <c r="AC28" s="291"/>
      <c r="AD28" s="292"/>
      <c r="AE28" s="292"/>
      <c r="AF28" s="292"/>
      <c r="AG28" s="292"/>
      <c r="AH28" s="292"/>
      <c r="AI28" s="292"/>
      <c r="AJ28" s="292"/>
    </row>
    <row r="29" spans="1:44" s="18" customFormat="1" ht="32.65" customHeight="1">
      <c r="A29" s="51"/>
      <c r="B29" s="51"/>
      <c r="C29" s="16"/>
      <c r="D29" s="17"/>
      <c r="E29" s="17"/>
      <c r="F29" s="27"/>
      <c r="G29" s="27"/>
      <c r="H29" s="280"/>
      <c r="K29" s="157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265"/>
      <c r="AA29" s="265"/>
      <c r="AB29" s="265"/>
      <c r="AC29" s="265"/>
      <c r="AD29" s="261"/>
      <c r="AE29" s="261"/>
      <c r="AF29" s="261"/>
      <c r="AG29" s="261"/>
      <c r="AH29" s="261"/>
      <c r="AI29" s="261"/>
      <c r="AJ29" s="261"/>
      <c r="AK29" s="282"/>
      <c r="AL29" s="282"/>
      <c r="AM29" s="282"/>
      <c r="AN29" s="282"/>
      <c r="AO29" s="282"/>
      <c r="AP29" s="282"/>
      <c r="AQ29" s="282"/>
      <c r="AR29" s="282"/>
    </row>
    <row r="30" spans="1:44" ht="24.65" customHeight="1">
      <c r="C30" s="52"/>
      <c r="AK30" s="283"/>
      <c r="AL30" s="283"/>
      <c r="AM30" s="283"/>
      <c r="AN30" s="283"/>
      <c r="AO30" s="283"/>
      <c r="AP30" s="283"/>
      <c r="AQ30" s="283"/>
      <c r="AR30" s="283"/>
    </row>
    <row r="31" spans="1:44" ht="26.15" customHeight="1">
      <c r="A31" s="328" t="s">
        <v>146</v>
      </c>
      <c r="C31" s="230"/>
      <c r="D31" s="329"/>
      <c r="E31" s="329"/>
      <c r="H31" s="213"/>
      <c r="I31" s="214"/>
      <c r="J31" s="215"/>
      <c r="Z31" s="34"/>
      <c r="AA31" s="34"/>
      <c r="AB31" s="34"/>
      <c r="AC31" s="34"/>
      <c r="AD31" s="330">
        <f>IF(AND(B14="8845A",G28="90 days"), 1, IF(AND(B14="8845A",G28="1 year"),2,IF(AND(B14="8846A",G28="90 days"),3,4)))</f>
        <v>4</v>
      </c>
      <c r="AE31" s="19"/>
      <c r="AF31" s="19"/>
      <c r="AG31" s="19"/>
      <c r="AH31" s="19"/>
      <c r="AI31" s="19"/>
      <c r="AJ31" s="19"/>
    </row>
    <row r="32" spans="1:44" s="231" customFormat="1" ht="19.75" customHeight="1">
      <c r="A32" s="76" t="s">
        <v>147</v>
      </c>
      <c r="B32" s="151"/>
      <c r="C32" s="230"/>
      <c r="D32" s="331"/>
      <c r="E32" s="331"/>
      <c r="F32" s="151"/>
      <c r="H32" s="53"/>
      <c r="I32" s="32"/>
      <c r="J32" s="232"/>
      <c r="K32" s="233"/>
      <c r="L32" s="234"/>
      <c r="M32" s="234"/>
      <c r="N32" s="234"/>
      <c r="O32" s="234"/>
      <c r="P32" s="234"/>
      <c r="Q32" s="234"/>
      <c r="R32" s="234"/>
      <c r="S32" s="234"/>
      <c r="T32" s="234"/>
      <c r="U32" s="234"/>
      <c r="V32" s="234"/>
      <c r="W32" s="234"/>
      <c r="X32" s="234"/>
      <c r="Y32" s="234"/>
      <c r="Z32" s="332"/>
      <c r="AA32" s="332"/>
      <c r="AB32" s="332"/>
      <c r="AC32" s="332"/>
      <c r="AD32" s="283"/>
    </row>
    <row r="33" spans="1:36" s="226" customFormat="1" ht="5.15" customHeight="1">
      <c r="A33" s="288"/>
      <c r="B33" s="225"/>
      <c r="C33" s="333"/>
      <c r="D33" s="225"/>
      <c r="E33" s="225"/>
      <c r="F33" s="225"/>
      <c r="H33" s="54"/>
      <c r="I33" s="227"/>
      <c r="J33" s="228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334"/>
      <c r="AA33" s="334"/>
      <c r="AB33" s="334"/>
      <c r="AC33" s="334"/>
      <c r="AD33" s="335"/>
    </row>
    <row r="34" spans="1:36" ht="23.65" customHeight="1">
      <c r="A34" s="614" t="s">
        <v>148</v>
      </c>
      <c r="B34" s="616" t="s">
        <v>132</v>
      </c>
      <c r="C34" s="326"/>
      <c r="D34" s="327" t="s">
        <v>14</v>
      </c>
      <c r="E34" s="327"/>
      <c r="F34" s="616" t="s">
        <v>2</v>
      </c>
      <c r="G34" s="616" t="s">
        <v>3</v>
      </c>
      <c r="H34" s="627" t="s">
        <v>29</v>
      </c>
      <c r="I34" s="19"/>
      <c r="J34" s="33"/>
      <c r="K34" s="616" t="s">
        <v>98</v>
      </c>
      <c r="L34" s="616" t="s">
        <v>99</v>
      </c>
      <c r="M34" s="163"/>
      <c r="N34" s="163"/>
      <c r="O34" s="622" t="s">
        <v>113</v>
      </c>
      <c r="P34" s="623"/>
      <c r="Q34" s="623"/>
      <c r="R34" s="623"/>
      <c r="S34" s="623"/>
      <c r="T34" s="623"/>
      <c r="U34" s="623"/>
      <c r="V34" s="623"/>
      <c r="W34" s="623"/>
      <c r="X34" s="624"/>
      <c r="Y34" s="336"/>
      <c r="Z34" s="337"/>
      <c r="AA34" s="337" t="s">
        <v>149</v>
      </c>
      <c r="AB34" s="337"/>
      <c r="AC34" s="337" t="s">
        <v>150</v>
      </c>
      <c r="AD34" s="290"/>
      <c r="AE34" s="19"/>
      <c r="AF34" s="19"/>
      <c r="AG34" s="19"/>
      <c r="AH34" s="19"/>
      <c r="AI34" s="19"/>
      <c r="AJ34" s="19"/>
    </row>
    <row r="35" spans="1:36" ht="23.65" customHeight="1" thickBot="1">
      <c r="A35" s="615"/>
      <c r="B35" s="617"/>
      <c r="C35" s="198">
        <v>1</v>
      </c>
      <c r="D35" s="198">
        <v>2</v>
      </c>
      <c r="E35" s="198">
        <v>3</v>
      </c>
      <c r="F35" s="629"/>
      <c r="G35" s="617"/>
      <c r="H35" s="628"/>
      <c r="I35" s="19"/>
      <c r="J35" s="34"/>
      <c r="K35" s="625"/>
      <c r="L35" s="617"/>
      <c r="M35" s="163"/>
      <c r="N35" s="163"/>
      <c r="O35" s="199" t="s">
        <v>100</v>
      </c>
      <c r="P35" s="200" t="s">
        <v>101</v>
      </c>
      <c r="Q35" s="199" t="s">
        <v>102</v>
      </c>
      <c r="R35" s="200" t="s">
        <v>103</v>
      </c>
      <c r="S35" s="199" t="s">
        <v>219</v>
      </c>
      <c r="T35" s="201" t="s">
        <v>105</v>
      </c>
      <c r="U35" s="202" t="s">
        <v>106</v>
      </c>
      <c r="V35" s="202" t="s">
        <v>107</v>
      </c>
      <c r="W35" s="202" t="s">
        <v>108</v>
      </c>
      <c r="X35" s="203" t="s">
        <v>109</v>
      </c>
      <c r="Y35" s="336"/>
      <c r="Z35" s="338" t="s">
        <v>141</v>
      </c>
      <c r="AA35" s="338" t="s">
        <v>151</v>
      </c>
      <c r="AB35" s="338" t="s">
        <v>141</v>
      </c>
      <c r="AC35" s="338" t="s">
        <v>151</v>
      </c>
      <c r="AD35" s="338" t="s">
        <v>152</v>
      </c>
      <c r="AE35" s="19"/>
      <c r="AF35" s="19"/>
      <c r="AG35" s="19"/>
      <c r="AH35" s="19"/>
      <c r="AI35" s="19"/>
      <c r="AJ35" s="19"/>
    </row>
    <row r="36" spans="1:36" ht="25" customHeight="1" thickTop="1">
      <c r="A36" s="339">
        <v>0</v>
      </c>
      <c r="B36" s="340">
        <v>0</v>
      </c>
      <c r="C36" s="341"/>
      <c r="D36" s="341" t="str">
        <f t="shared" ref="D36:E132" si="0">IF($C36="","",$C36)</f>
        <v/>
      </c>
      <c r="E36" s="341" t="str">
        <f t="shared" si="0"/>
        <v/>
      </c>
      <c r="F36" s="340">
        <f t="shared" ref="F36:F56" si="1">IF(B36="","",IFERROR(B36-H36,"NA"))</f>
        <v>-3.5000000000000001E-3</v>
      </c>
      <c r="G36" s="340">
        <f t="shared" ref="G36:G56" si="2">IF(B36="","",IFERROR(B36+H36,"NA"))</f>
        <v>3.5000000000000001E-3</v>
      </c>
      <c r="H36" s="342">
        <f>AD36</f>
        <v>3.5000000000000001E-3</v>
      </c>
      <c r="I36" s="19"/>
      <c r="J36" s="34"/>
      <c r="K36" s="191" t="str">
        <f t="shared" ref="K36:K72" si="3">IF(OR(C36="NA",C36=""), "",COUNTA(C36:E36))</f>
        <v/>
      </c>
      <c r="L36" s="192" t="str">
        <f t="shared" ref="L36:L72" si="4">IF(ISTEXT(C36)=TRUE, INDEX(C36:E36,MODE(MATCH(C36:E36,C36:E36,0))),IF(C36="","",IF(C36="NA","NA",AVERAGE(C36:E36))))</f>
        <v/>
      </c>
      <c r="M36" s="193"/>
      <c r="N36" s="193"/>
      <c r="O36" s="194" t="str">
        <f t="shared" ref="O36:O72" si="5">IF(OR(ISTEXT(C36)=TRUE, C36=""),"",STDEV(C36:E36))</f>
        <v/>
      </c>
      <c r="P36" s="194"/>
      <c r="Q36" s="241">
        <v>1E-4</v>
      </c>
      <c r="R36" s="241"/>
      <c r="S36" s="241">
        <f>'ACC CAL WITH GB - Method 6'!L19</f>
        <v>4.0000000000000002E-4</v>
      </c>
      <c r="T36" s="195"/>
      <c r="U36" s="195"/>
      <c r="V36" s="195"/>
      <c r="W36" s="195"/>
      <c r="X36" s="195"/>
      <c r="Y36" s="343"/>
      <c r="Z36" s="337">
        <v>3.5000000000000001E-3</v>
      </c>
      <c r="AA36" s="337">
        <v>3.5000000000000001E-3</v>
      </c>
      <c r="AB36" s="337">
        <v>3.5000000000000001E-3</v>
      </c>
      <c r="AC36" s="337">
        <v>3.5000000000000001E-3</v>
      </c>
      <c r="AD36" s="337">
        <f>IF(AD$31=1,Z36,IF(AD$31=2,AB36,IF(AD$31=3,AA36,AC36)))</f>
        <v>3.5000000000000001E-3</v>
      </c>
      <c r="AE36" s="19"/>
      <c r="AF36" s="19"/>
      <c r="AG36" s="19"/>
      <c r="AH36" s="19"/>
      <c r="AI36" s="19"/>
      <c r="AJ36" s="19"/>
    </row>
    <row r="37" spans="1:36" ht="25" customHeight="1">
      <c r="A37" s="339">
        <v>100</v>
      </c>
      <c r="B37" s="340">
        <v>100</v>
      </c>
      <c r="C37" s="341"/>
      <c r="D37" s="341" t="str">
        <f t="shared" si="0"/>
        <v/>
      </c>
      <c r="E37" s="341" t="str">
        <f t="shared" si="0"/>
        <v/>
      </c>
      <c r="F37" s="340">
        <f t="shared" si="1"/>
        <v>99.992800000000003</v>
      </c>
      <c r="G37" s="340">
        <f t="shared" si="2"/>
        <v>100.0072</v>
      </c>
      <c r="H37" s="342">
        <f t="shared" ref="H37:H38" si="6">AD37</f>
        <v>7.1999999999999998E-3</v>
      </c>
      <c r="I37" s="19"/>
      <c r="J37" s="34"/>
      <c r="K37" s="191" t="str">
        <f t="shared" si="3"/>
        <v/>
      </c>
      <c r="L37" s="192" t="str">
        <f t="shared" si="4"/>
        <v/>
      </c>
      <c r="M37" s="193"/>
      <c r="N37" s="193"/>
      <c r="O37" s="194" t="str">
        <f t="shared" si="5"/>
        <v/>
      </c>
      <c r="P37" s="194"/>
      <c r="Q37" s="241">
        <v>1E-4</v>
      </c>
      <c r="R37" s="241"/>
      <c r="S37" s="241">
        <f>'ACC CAL WITH GB - Method 6'!L20</f>
        <v>1.5E-3</v>
      </c>
      <c r="T37" s="195"/>
      <c r="U37" s="195"/>
      <c r="V37" s="195"/>
      <c r="W37" s="195"/>
      <c r="X37" s="195"/>
      <c r="Y37" s="343"/>
      <c r="Z37" s="337">
        <v>7.4999999999999997E-3</v>
      </c>
      <c r="AA37" s="344">
        <v>6.0000000000000001E-3</v>
      </c>
      <c r="AB37" s="344">
        <v>8.5000000000000006E-3</v>
      </c>
      <c r="AC37" s="344">
        <v>7.1999999999999998E-3</v>
      </c>
      <c r="AD37" s="337">
        <f t="shared" ref="AD37:AD38" si="7">IF(AD$31=1,Z37,IF(AD$31=2,AB37,IF(AD$31=3,AA37,AC37)))</f>
        <v>7.1999999999999998E-3</v>
      </c>
      <c r="AE37" s="19"/>
      <c r="AF37" s="19"/>
      <c r="AG37" s="19"/>
      <c r="AH37" s="19"/>
      <c r="AI37" s="19"/>
      <c r="AJ37" s="19"/>
    </row>
    <row r="38" spans="1:36" ht="25" customHeight="1">
      <c r="A38" s="339">
        <v>-100</v>
      </c>
      <c r="B38" s="340">
        <v>-100</v>
      </c>
      <c r="C38" s="341"/>
      <c r="D38" s="341" t="str">
        <f t="shared" si="0"/>
        <v/>
      </c>
      <c r="E38" s="341" t="str">
        <f t="shared" si="0"/>
        <v/>
      </c>
      <c r="F38" s="340">
        <f t="shared" si="1"/>
        <v>-100.0072</v>
      </c>
      <c r="G38" s="340">
        <f t="shared" si="2"/>
        <v>-99.992800000000003</v>
      </c>
      <c r="H38" s="342">
        <f t="shared" si="6"/>
        <v>7.1999999999999998E-3</v>
      </c>
      <c r="I38" s="19"/>
      <c r="J38" s="34"/>
      <c r="K38" s="191" t="str">
        <f t="shared" si="3"/>
        <v/>
      </c>
      <c r="L38" s="192" t="str">
        <f t="shared" si="4"/>
        <v/>
      </c>
      <c r="M38" s="193"/>
      <c r="N38" s="193"/>
      <c r="O38" s="194" t="str">
        <f t="shared" si="5"/>
        <v/>
      </c>
      <c r="P38" s="194"/>
      <c r="Q38" s="241">
        <v>1E-4</v>
      </c>
      <c r="R38" s="241"/>
      <c r="S38" s="241">
        <f>'ACC CAL WITH GB - Method 6'!L21</f>
        <v>1.5E-3</v>
      </c>
      <c r="T38" s="195"/>
      <c r="U38" s="195"/>
      <c r="V38" s="195"/>
      <c r="W38" s="195"/>
      <c r="X38" s="195"/>
      <c r="Y38" s="343"/>
      <c r="Z38" s="337">
        <v>7.4999999999999997E-3</v>
      </c>
      <c r="AA38" s="344">
        <v>6.0000000000000001E-3</v>
      </c>
      <c r="AB38" s="344">
        <v>8.5000000000000006E-3</v>
      </c>
      <c r="AC38" s="344">
        <v>7.1999999999999998E-3</v>
      </c>
      <c r="AD38" s="337">
        <f t="shared" si="7"/>
        <v>7.1999999999999998E-3</v>
      </c>
      <c r="AE38" s="19"/>
      <c r="AF38" s="19"/>
      <c r="AG38" s="19"/>
      <c r="AH38" s="19"/>
      <c r="AI38" s="19"/>
      <c r="AJ38" s="19"/>
    </row>
    <row r="39" spans="1:36" ht="26.15" customHeight="1">
      <c r="A39" s="328"/>
      <c r="C39" s="230"/>
      <c r="D39" s="329"/>
      <c r="E39" s="329"/>
      <c r="H39" s="213"/>
      <c r="I39" s="214"/>
      <c r="J39" s="215"/>
      <c r="Z39" s="34"/>
      <c r="AA39" s="34"/>
      <c r="AB39" s="34"/>
      <c r="AC39" s="34"/>
      <c r="AD39" s="345"/>
      <c r="AE39" s="19"/>
      <c r="AF39" s="19"/>
      <c r="AG39" s="19"/>
      <c r="AH39" s="19"/>
      <c r="AI39" s="19"/>
      <c r="AJ39" s="19"/>
    </row>
    <row r="40" spans="1:36" s="231" customFormat="1" ht="19.75" customHeight="1">
      <c r="A40" s="76" t="s">
        <v>153</v>
      </c>
      <c r="B40" s="151"/>
      <c r="C40" s="230"/>
      <c r="D40" s="331"/>
      <c r="E40" s="331"/>
      <c r="F40" s="151"/>
      <c r="H40" s="53"/>
      <c r="I40" s="32"/>
      <c r="J40" s="232"/>
      <c r="K40" s="233"/>
      <c r="L40" s="234"/>
      <c r="M40" s="234"/>
      <c r="N40" s="234"/>
      <c r="O40" s="234"/>
      <c r="P40" s="234"/>
      <c r="Q40" s="234"/>
      <c r="R40" s="234"/>
      <c r="S40" s="234"/>
      <c r="T40" s="234"/>
      <c r="U40" s="234"/>
      <c r="V40" s="234"/>
      <c r="W40" s="234"/>
      <c r="X40" s="234"/>
      <c r="Y40" s="234"/>
      <c r="Z40" s="332"/>
      <c r="AA40" s="332"/>
      <c r="AB40" s="332"/>
      <c r="AC40" s="332"/>
      <c r="AD40" s="283"/>
    </row>
    <row r="41" spans="1:36" s="226" customFormat="1" ht="5.15" customHeight="1">
      <c r="A41" s="288"/>
      <c r="B41" s="225"/>
      <c r="C41" s="333"/>
      <c r="D41" s="225"/>
      <c r="E41" s="225"/>
      <c r="F41" s="225"/>
      <c r="H41" s="54"/>
      <c r="I41" s="227"/>
      <c r="J41" s="228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334"/>
      <c r="AA41" s="334"/>
      <c r="AB41" s="334"/>
      <c r="AC41" s="334"/>
      <c r="AD41" s="335"/>
    </row>
    <row r="42" spans="1:36" ht="23.65" customHeight="1">
      <c r="A42" s="614" t="s">
        <v>148</v>
      </c>
      <c r="B42" s="616" t="s">
        <v>132</v>
      </c>
      <c r="C42" s="326"/>
      <c r="D42" s="327" t="s">
        <v>14</v>
      </c>
      <c r="E42" s="327"/>
      <c r="F42" s="616" t="s">
        <v>2</v>
      </c>
      <c r="G42" s="616" t="s">
        <v>3</v>
      </c>
      <c r="H42" s="627" t="s">
        <v>29</v>
      </c>
      <c r="I42" s="19"/>
      <c r="J42" s="33"/>
      <c r="K42" s="616" t="s">
        <v>98</v>
      </c>
      <c r="L42" s="616" t="s">
        <v>99</v>
      </c>
      <c r="M42" s="163"/>
      <c r="N42" s="163"/>
      <c r="O42" s="622" t="s">
        <v>113</v>
      </c>
      <c r="P42" s="623"/>
      <c r="Q42" s="623"/>
      <c r="R42" s="623"/>
      <c r="S42" s="623"/>
      <c r="T42" s="623"/>
      <c r="U42" s="623"/>
      <c r="V42" s="623"/>
      <c r="W42" s="623"/>
      <c r="X42" s="624"/>
      <c r="Y42" s="336"/>
      <c r="Z42" s="337"/>
      <c r="AA42" s="337" t="s">
        <v>149</v>
      </c>
      <c r="AB42" s="337"/>
      <c r="AC42" s="337" t="s">
        <v>150</v>
      </c>
      <c r="AD42" s="290"/>
      <c r="AE42" s="19"/>
      <c r="AF42" s="19"/>
      <c r="AG42" s="19"/>
      <c r="AH42" s="19"/>
      <c r="AI42" s="19"/>
      <c r="AJ42" s="19"/>
    </row>
    <row r="43" spans="1:36" ht="23.65" customHeight="1" thickBot="1">
      <c r="A43" s="615"/>
      <c r="B43" s="617"/>
      <c r="C43" s="198">
        <v>1</v>
      </c>
      <c r="D43" s="198">
        <v>2</v>
      </c>
      <c r="E43" s="198">
        <v>3</v>
      </c>
      <c r="F43" s="629"/>
      <c r="G43" s="617"/>
      <c r="H43" s="628"/>
      <c r="I43" s="19"/>
      <c r="J43" s="34"/>
      <c r="K43" s="625"/>
      <c r="L43" s="617"/>
      <c r="M43" s="163"/>
      <c r="N43" s="163"/>
      <c r="O43" s="199" t="s">
        <v>100</v>
      </c>
      <c r="P43" s="200" t="s">
        <v>101</v>
      </c>
      <c r="Q43" s="199" t="s">
        <v>102</v>
      </c>
      <c r="R43" s="200" t="s">
        <v>103</v>
      </c>
      <c r="S43" s="199" t="s">
        <v>219</v>
      </c>
      <c r="T43" s="201" t="s">
        <v>105</v>
      </c>
      <c r="U43" s="202" t="s">
        <v>106</v>
      </c>
      <c r="V43" s="202" t="s">
        <v>107</v>
      </c>
      <c r="W43" s="202" t="s">
        <v>108</v>
      </c>
      <c r="X43" s="203" t="s">
        <v>109</v>
      </c>
      <c r="Y43" s="336"/>
      <c r="Z43" s="338" t="s">
        <v>141</v>
      </c>
      <c r="AA43" s="338" t="s">
        <v>151</v>
      </c>
      <c r="AB43" s="338" t="s">
        <v>141</v>
      </c>
      <c r="AC43" s="338" t="s">
        <v>151</v>
      </c>
      <c r="AD43" s="338" t="s">
        <v>152</v>
      </c>
      <c r="AE43" s="19"/>
      <c r="AF43" s="19"/>
      <c r="AG43" s="19"/>
      <c r="AH43" s="19"/>
      <c r="AI43" s="19"/>
      <c r="AJ43" s="19"/>
    </row>
    <row r="44" spans="1:36" ht="25" customHeight="1" thickTop="1">
      <c r="A44" s="346">
        <v>0</v>
      </c>
      <c r="B44" s="347">
        <v>0</v>
      </c>
      <c r="C44" s="348"/>
      <c r="D44" s="348" t="str">
        <f t="shared" si="0"/>
        <v/>
      </c>
      <c r="E44" s="348" t="str">
        <f t="shared" si="0"/>
        <v/>
      </c>
      <c r="F44" s="347">
        <f t="shared" si="1"/>
        <v>-6.9999999999999999E-6</v>
      </c>
      <c r="G44" s="347">
        <f t="shared" si="2"/>
        <v>6.9999999999999999E-6</v>
      </c>
      <c r="H44" s="349">
        <f t="shared" ref="H44:H70" si="8">AD44</f>
        <v>6.9999999999999999E-6</v>
      </c>
      <c r="I44" s="19"/>
      <c r="J44" s="34"/>
      <c r="K44" s="191" t="str">
        <f t="shared" si="3"/>
        <v/>
      </c>
      <c r="L44" s="192" t="str">
        <f t="shared" si="4"/>
        <v/>
      </c>
      <c r="M44" s="193"/>
      <c r="N44" s="193"/>
      <c r="O44" s="194" t="str">
        <f t="shared" si="5"/>
        <v/>
      </c>
      <c r="P44" s="194"/>
      <c r="Q44" s="241">
        <v>9.9999999999999995E-7</v>
      </c>
      <c r="R44" s="241"/>
      <c r="S44" s="241">
        <f>'ACC CAL WITH GB - Method 6'!L27</f>
        <v>6.9999999999999997E-7</v>
      </c>
      <c r="T44" s="195"/>
      <c r="U44" s="195"/>
      <c r="V44" s="195"/>
      <c r="W44" s="195"/>
      <c r="X44" s="195"/>
      <c r="Y44" s="343"/>
      <c r="Z44" s="337">
        <v>6.9999999999999999E-6</v>
      </c>
      <c r="AA44" s="337">
        <v>6.9999999999999999E-6</v>
      </c>
      <c r="AB44" s="337">
        <v>6.9999999999999999E-6</v>
      </c>
      <c r="AC44" s="337">
        <v>6.9999999999999999E-6</v>
      </c>
      <c r="AD44" s="337">
        <f t="shared" ref="AD44:AD46" si="9">IF(AD$31=1,Z44,IF(AD$31=2,AB44,IF(AD$31=3,AA44,AC44)))</f>
        <v>6.9999999999999999E-6</v>
      </c>
      <c r="AE44" s="19"/>
      <c r="AF44" s="19"/>
      <c r="AG44" s="19"/>
      <c r="AH44" s="19"/>
      <c r="AI44" s="19"/>
      <c r="AJ44" s="19"/>
    </row>
    <row r="45" spans="1:36" ht="25" customHeight="1">
      <c r="A45" s="346">
        <v>1</v>
      </c>
      <c r="B45" s="347">
        <v>1</v>
      </c>
      <c r="C45" s="348"/>
      <c r="D45" s="348" t="str">
        <f t="shared" si="0"/>
        <v/>
      </c>
      <c r="E45" s="348" t="str">
        <f t="shared" si="0"/>
        <v/>
      </c>
      <c r="F45" s="347">
        <f t="shared" si="1"/>
        <v>0.99996799999999997</v>
      </c>
      <c r="G45" s="347">
        <f t="shared" si="2"/>
        <v>1.000032</v>
      </c>
      <c r="H45" s="349">
        <f t="shared" si="8"/>
        <v>3.1999999999999999E-5</v>
      </c>
      <c r="I45" s="19"/>
      <c r="J45" s="34"/>
      <c r="K45" s="191" t="str">
        <f t="shared" si="3"/>
        <v/>
      </c>
      <c r="L45" s="192" t="str">
        <f t="shared" si="4"/>
        <v/>
      </c>
      <c r="M45" s="193"/>
      <c r="N45" s="193"/>
      <c r="O45" s="194" t="str">
        <f t="shared" si="5"/>
        <v/>
      </c>
      <c r="P45" s="194"/>
      <c r="Q45" s="241">
        <v>9.9999999999999995E-7</v>
      </c>
      <c r="R45" s="241"/>
      <c r="S45" s="241">
        <f>'ACC CAL WITH GB - Method 6'!L28</f>
        <v>5.7999999999999995E-6</v>
      </c>
      <c r="T45" s="195"/>
      <c r="U45" s="195"/>
      <c r="V45" s="195"/>
      <c r="W45" s="195"/>
      <c r="X45" s="195"/>
      <c r="Y45" s="343"/>
      <c r="Z45" s="337">
        <v>3.6999999999999998E-5</v>
      </c>
      <c r="AA45" s="344">
        <v>2.5000000000000001E-5</v>
      </c>
      <c r="AB45" s="344">
        <v>4.6999999999999997E-5</v>
      </c>
      <c r="AC45" s="344">
        <v>3.1999999999999999E-5</v>
      </c>
      <c r="AD45" s="337">
        <f t="shared" si="9"/>
        <v>3.1999999999999999E-5</v>
      </c>
      <c r="AE45" s="19"/>
      <c r="AF45" s="19"/>
      <c r="AG45" s="19"/>
      <c r="AH45" s="19"/>
      <c r="AI45" s="19"/>
      <c r="AJ45" s="19"/>
    </row>
    <row r="46" spans="1:36" ht="25" customHeight="1">
      <c r="A46" s="346">
        <v>-1</v>
      </c>
      <c r="B46" s="347">
        <v>-1</v>
      </c>
      <c r="C46" s="348"/>
      <c r="D46" s="348" t="str">
        <f t="shared" si="0"/>
        <v/>
      </c>
      <c r="E46" s="348" t="str">
        <f t="shared" si="0"/>
        <v/>
      </c>
      <c r="F46" s="347">
        <f t="shared" si="1"/>
        <v>-1.000032</v>
      </c>
      <c r="G46" s="347">
        <f t="shared" si="2"/>
        <v>-0.99996799999999997</v>
      </c>
      <c r="H46" s="349">
        <f t="shared" si="8"/>
        <v>3.1999999999999999E-5</v>
      </c>
      <c r="I46" s="19"/>
      <c r="J46" s="34"/>
      <c r="K46" s="191" t="str">
        <f t="shared" si="3"/>
        <v/>
      </c>
      <c r="L46" s="192" t="str">
        <f t="shared" si="4"/>
        <v/>
      </c>
      <c r="M46" s="193"/>
      <c r="N46" s="193"/>
      <c r="O46" s="194" t="str">
        <f t="shared" si="5"/>
        <v/>
      </c>
      <c r="P46" s="194"/>
      <c r="Q46" s="241">
        <v>9.9999999999999995E-7</v>
      </c>
      <c r="R46" s="241"/>
      <c r="S46" s="241">
        <f>'ACC CAL WITH GB - Method 6'!L29</f>
        <v>5.7999999999999995E-6</v>
      </c>
      <c r="T46" s="195"/>
      <c r="U46" s="195"/>
      <c r="V46" s="195"/>
      <c r="W46" s="195"/>
      <c r="X46" s="195"/>
      <c r="Y46" s="343"/>
      <c r="Z46" s="337">
        <v>3.6999999999999998E-5</v>
      </c>
      <c r="AA46" s="344">
        <v>2.5000000000000001E-5</v>
      </c>
      <c r="AB46" s="344">
        <v>4.6999999999999997E-5</v>
      </c>
      <c r="AC46" s="344">
        <v>3.1999999999999999E-5</v>
      </c>
      <c r="AD46" s="337">
        <f t="shared" si="9"/>
        <v>3.1999999999999999E-5</v>
      </c>
      <c r="AE46" s="19"/>
      <c r="AF46" s="19"/>
      <c r="AG46" s="19"/>
      <c r="AH46" s="19"/>
      <c r="AI46" s="19"/>
      <c r="AJ46" s="19"/>
    </row>
    <row r="47" spans="1:36" ht="26.15" customHeight="1">
      <c r="A47" s="328"/>
      <c r="C47" s="230"/>
      <c r="D47" s="329"/>
      <c r="E47" s="329"/>
      <c r="H47" s="213"/>
      <c r="I47" s="214"/>
      <c r="J47" s="215"/>
      <c r="Z47" s="34"/>
      <c r="AA47" s="34"/>
      <c r="AB47" s="34"/>
      <c r="AC47" s="34"/>
      <c r="AD47" s="345"/>
      <c r="AE47" s="19"/>
      <c r="AF47" s="19"/>
      <c r="AG47" s="19"/>
      <c r="AH47" s="19"/>
      <c r="AI47" s="19"/>
      <c r="AJ47" s="19"/>
    </row>
    <row r="48" spans="1:36" s="231" customFormat="1" ht="19.75" customHeight="1">
      <c r="A48" s="76" t="s">
        <v>154</v>
      </c>
      <c r="B48" s="151"/>
      <c r="C48" s="230"/>
      <c r="D48" s="331"/>
      <c r="E48" s="331"/>
      <c r="F48" s="151"/>
      <c r="H48" s="53"/>
      <c r="I48" s="32"/>
      <c r="J48" s="232"/>
      <c r="K48" s="233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332"/>
      <c r="AA48" s="332"/>
      <c r="AB48" s="332"/>
      <c r="AC48" s="332"/>
      <c r="AD48" s="283"/>
    </row>
    <row r="49" spans="1:36" s="226" customFormat="1" ht="5.15" customHeight="1">
      <c r="A49" s="288"/>
      <c r="B49" s="225"/>
      <c r="C49" s="333"/>
      <c r="D49" s="225"/>
      <c r="E49" s="225"/>
      <c r="F49" s="225"/>
      <c r="H49" s="54"/>
      <c r="I49" s="227"/>
      <c r="J49" s="228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334"/>
      <c r="AA49" s="334"/>
      <c r="AB49" s="334"/>
      <c r="AC49" s="334"/>
      <c r="AD49" s="335"/>
    </row>
    <row r="50" spans="1:36" ht="23.65" customHeight="1">
      <c r="A50" s="630" t="s">
        <v>148</v>
      </c>
      <c r="B50" s="616" t="s">
        <v>132</v>
      </c>
      <c r="C50" s="326"/>
      <c r="D50" s="327" t="s">
        <v>14</v>
      </c>
      <c r="E50" s="327"/>
      <c r="F50" s="616" t="s">
        <v>2</v>
      </c>
      <c r="G50" s="616" t="s">
        <v>3</v>
      </c>
      <c r="H50" s="627" t="s">
        <v>29</v>
      </c>
      <c r="I50" s="19"/>
      <c r="J50" s="33"/>
      <c r="K50" s="616" t="s">
        <v>98</v>
      </c>
      <c r="L50" s="616" t="s">
        <v>99</v>
      </c>
      <c r="M50" s="163"/>
      <c r="N50" s="163"/>
      <c r="O50" s="622" t="s">
        <v>113</v>
      </c>
      <c r="P50" s="623"/>
      <c r="Q50" s="623"/>
      <c r="R50" s="623"/>
      <c r="S50" s="623"/>
      <c r="T50" s="623"/>
      <c r="U50" s="623"/>
      <c r="V50" s="623"/>
      <c r="W50" s="623"/>
      <c r="X50" s="624"/>
      <c r="Y50" s="336"/>
      <c r="Z50" s="337"/>
      <c r="AA50" s="337" t="s">
        <v>149</v>
      </c>
      <c r="AB50" s="337"/>
      <c r="AC50" s="337" t="s">
        <v>150</v>
      </c>
      <c r="AD50" s="290"/>
      <c r="AE50" s="19"/>
      <c r="AF50" s="19"/>
      <c r="AG50" s="19"/>
      <c r="AH50" s="19"/>
      <c r="AI50" s="19"/>
      <c r="AJ50" s="19"/>
    </row>
    <row r="51" spans="1:36" ht="23.65" customHeight="1" thickBot="1">
      <c r="A51" s="631"/>
      <c r="B51" s="617"/>
      <c r="C51" s="198">
        <v>1</v>
      </c>
      <c r="D51" s="198">
        <v>2</v>
      </c>
      <c r="E51" s="198">
        <v>3</v>
      </c>
      <c r="F51" s="629"/>
      <c r="G51" s="617"/>
      <c r="H51" s="628"/>
      <c r="I51" s="19"/>
      <c r="J51" s="34"/>
      <c r="K51" s="625"/>
      <c r="L51" s="617"/>
      <c r="M51" s="163"/>
      <c r="N51" s="163"/>
      <c r="O51" s="199" t="s">
        <v>100</v>
      </c>
      <c r="P51" s="200" t="s">
        <v>101</v>
      </c>
      <c r="Q51" s="199" t="s">
        <v>102</v>
      </c>
      <c r="R51" s="200" t="s">
        <v>103</v>
      </c>
      <c r="S51" s="199" t="s">
        <v>219</v>
      </c>
      <c r="T51" s="201" t="s">
        <v>105</v>
      </c>
      <c r="U51" s="202" t="s">
        <v>106</v>
      </c>
      <c r="V51" s="202" t="s">
        <v>107</v>
      </c>
      <c r="W51" s="202" t="s">
        <v>108</v>
      </c>
      <c r="X51" s="203" t="s">
        <v>109</v>
      </c>
      <c r="Y51" s="336"/>
      <c r="Z51" s="338" t="s">
        <v>141</v>
      </c>
      <c r="AA51" s="338" t="s">
        <v>151</v>
      </c>
      <c r="AB51" s="338" t="s">
        <v>141</v>
      </c>
      <c r="AC51" s="338" t="s">
        <v>151</v>
      </c>
      <c r="AD51" s="338" t="s">
        <v>152</v>
      </c>
      <c r="AE51" s="19"/>
      <c r="AF51" s="19"/>
      <c r="AG51" s="19"/>
      <c r="AH51" s="19"/>
      <c r="AI51" s="19"/>
      <c r="AJ51" s="19"/>
    </row>
    <row r="52" spans="1:36" ht="25" customHeight="1" thickTop="1">
      <c r="A52" s="346">
        <v>0</v>
      </c>
      <c r="B52" s="350">
        <v>0</v>
      </c>
      <c r="C52" s="351"/>
      <c r="D52" s="351" t="str">
        <f t="shared" si="0"/>
        <v/>
      </c>
      <c r="E52" s="351" t="str">
        <f t="shared" si="0"/>
        <v/>
      </c>
      <c r="F52" s="350">
        <f t="shared" ref="F52" si="10">IF(B52="","",IFERROR(B52-H52,"NA"))</f>
        <v>-5.0000000000000002E-5</v>
      </c>
      <c r="G52" s="350">
        <f t="shared" ref="G52" si="11">IF(B52="","",IFERROR(B52+H52,"NA"))</f>
        <v>5.0000000000000002E-5</v>
      </c>
      <c r="H52" s="352">
        <f t="shared" si="8"/>
        <v>5.0000000000000002E-5</v>
      </c>
      <c r="I52" s="19"/>
      <c r="J52" s="34"/>
      <c r="K52" s="191" t="str">
        <f t="shared" si="3"/>
        <v/>
      </c>
      <c r="L52" s="192" t="str">
        <f t="shared" si="4"/>
        <v/>
      </c>
      <c r="M52" s="193"/>
      <c r="N52" s="193"/>
      <c r="O52" s="194" t="str">
        <f t="shared" si="5"/>
        <v/>
      </c>
      <c r="P52" s="194"/>
      <c r="Q52" s="241">
        <v>1.0000000000000001E-5</v>
      </c>
      <c r="R52" s="241"/>
      <c r="S52" s="241">
        <f>'ACC CAL WITH GB - Method 6'!L35</f>
        <v>2.5000000000000002E-6</v>
      </c>
      <c r="T52" s="195"/>
      <c r="U52" s="195"/>
      <c r="V52" s="195"/>
      <c r="W52" s="195"/>
      <c r="X52" s="195"/>
      <c r="Y52" s="343"/>
      <c r="Z52" s="337">
        <v>5.0000000000000002E-5</v>
      </c>
      <c r="AA52" s="337">
        <v>5.0000000000000002E-5</v>
      </c>
      <c r="AB52" s="337">
        <v>5.0000000000000002E-5</v>
      </c>
      <c r="AC52" s="337">
        <v>5.0000000000000002E-5</v>
      </c>
      <c r="AD52" s="337">
        <f t="shared" ref="AD52:AD56" si="12">IF(AD$31=1,Z52,IF(AD$31=2,AB52,IF(AD$31=3,AA52,AC52)))</f>
        <v>5.0000000000000002E-5</v>
      </c>
      <c r="AE52" s="19"/>
      <c r="AF52" s="19"/>
      <c r="AG52" s="19"/>
      <c r="AH52" s="19"/>
      <c r="AI52" s="19"/>
      <c r="AJ52" s="19"/>
    </row>
    <row r="53" spans="1:36" ht="25" customHeight="1">
      <c r="A53" s="346">
        <v>5</v>
      </c>
      <c r="B53" s="347">
        <v>5</v>
      </c>
      <c r="C53" s="348"/>
      <c r="D53" s="348" t="str">
        <f t="shared" si="0"/>
        <v/>
      </c>
      <c r="E53" s="348" t="str">
        <f t="shared" si="0"/>
        <v/>
      </c>
      <c r="F53" s="347">
        <f t="shared" si="1"/>
        <v>4.9998300000000002</v>
      </c>
      <c r="G53" s="347">
        <f t="shared" si="2"/>
        <v>5.0001699999999998</v>
      </c>
      <c r="H53" s="352">
        <f t="shared" si="8"/>
        <v>1.7000000000000001E-4</v>
      </c>
      <c r="I53" s="19"/>
      <c r="J53" s="34"/>
      <c r="K53" s="191" t="str">
        <f t="shared" si="3"/>
        <v/>
      </c>
      <c r="L53" s="192" t="str">
        <f t="shared" si="4"/>
        <v/>
      </c>
      <c r="M53" s="193"/>
      <c r="N53" s="193"/>
      <c r="O53" s="194" t="str">
        <f t="shared" si="5"/>
        <v/>
      </c>
      <c r="P53" s="194"/>
      <c r="Q53" s="241">
        <v>1.0000000000000001E-5</v>
      </c>
      <c r="R53" s="241"/>
      <c r="S53" s="241">
        <f>'ACC CAL WITH GB - Method 6'!L36</f>
        <v>1.7500000000000002E-5</v>
      </c>
      <c r="T53" s="195"/>
      <c r="U53" s="195"/>
      <c r="V53" s="195"/>
      <c r="W53" s="195"/>
      <c r="X53" s="195"/>
      <c r="Y53" s="343"/>
      <c r="Z53" s="337">
        <v>1.4999999999999999E-4</v>
      </c>
      <c r="AA53" s="344">
        <v>1.3999999999999999E-4</v>
      </c>
      <c r="AB53" s="344">
        <v>2.2499999999999999E-4</v>
      </c>
      <c r="AC53" s="344">
        <v>1.7000000000000001E-4</v>
      </c>
      <c r="AD53" s="337">
        <f t="shared" si="12"/>
        <v>1.7000000000000001E-4</v>
      </c>
      <c r="AE53" s="19"/>
      <c r="AF53" s="19"/>
      <c r="AG53" s="19"/>
      <c r="AH53" s="19"/>
      <c r="AI53" s="19"/>
      <c r="AJ53" s="19"/>
    </row>
    <row r="54" spans="1:36" ht="25" customHeight="1">
      <c r="A54" s="346">
        <v>-5</v>
      </c>
      <c r="B54" s="347">
        <v>-5</v>
      </c>
      <c r="C54" s="348"/>
      <c r="D54" s="348" t="str">
        <f t="shared" si="0"/>
        <v/>
      </c>
      <c r="E54" s="348" t="str">
        <f t="shared" si="0"/>
        <v/>
      </c>
      <c r="F54" s="347">
        <f t="shared" si="1"/>
        <v>-5.0001699999999998</v>
      </c>
      <c r="G54" s="347">
        <f t="shared" si="2"/>
        <v>-4.9998300000000002</v>
      </c>
      <c r="H54" s="352">
        <f t="shared" si="8"/>
        <v>1.7000000000000001E-4</v>
      </c>
      <c r="I54" s="19"/>
      <c r="J54" s="34"/>
      <c r="K54" s="191" t="str">
        <f t="shared" si="3"/>
        <v/>
      </c>
      <c r="L54" s="192" t="str">
        <f t="shared" si="4"/>
        <v/>
      </c>
      <c r="M54" s="193"/>
      <c r="N54" s="193"/>
      <c r="O54" s="194" t="str">
        <f t="shared" si="5"/>
        <v/>
      </c>
      <c r="P54" s="194"/>
      <c r="Q54" s="241">
        <v>1.0000000000000001E-5</v>
      </c>
      <c r="R54" s="241"/>
      <c r="S54" s="241">
        <f>'ACC CAL WITH GB - Method 6'!L37</f>
        <v>1.7500000000000002E-5</v>
      </c>
      <c r="T54" s="195"/>
      <c r="U54" s="195"/>
      <c r="V54" s="195"/>
      <c r="W54" s="195"/>
      <c r="X54" s="195"/>
      <c r="Y54" s="343"/>
      <c r="Z54" s="337">
        <v>1.4999999999999999E-4</v>
      </c>
      <c r="AA54" s="344">
        <v>1.3999999999999999E-4</v>
      </c>
      <c r="AB54" s="344">
        <v>2.2499999999999999E-4</v>
      </c>
      <c r="AC54" s="344">
        <v>1.7000000000000001E-4</v>
      </c>
      <c r="AD54" s="337">
        <f t="shared" si="12"/>
        <v>1.7000000000000001E-4</v>
      </c>
      <c r="AE54" s="19"/>
      <c r="AF54" s="19"/>
      <c r="AG54" s="19"/>
      <c r="AH54" s="19"/>
      <c r="AI54" s="19"/>
      <c r="AJ54" s="19"/>
    </row>
    <row r="55" spans="1:36" ht="25" customHeight="1">
      <c r="A55" s="346">
        <v>10</v>
      </c>
      <c r="B55" s="350">
        <v>10</v>
      </c>
      <c r="C55" s="351"/>
      <c r="D55" s="351" t="str">
        <f t="shared" si="0"/>
        <v/>
      </c>
      <c r="E55" s="351" t="str">
        <f t="shared" si="0"/>
        <v/>
      </c>
      <c r="F55" s="350">
        <f t="shared" si="1"/>
        <v>9.9997100000000003</v>
      </c>
      <c r="G55" s="350">
        <f t="shared" si="2"/>
        <v>10.00029</v>
      </c>
      <c r="H55" s="352">
        <f t="shared" si="8"/>
        <v>2.9E-4</v>
      </c>
      <c r="I55" s="19"/>
      <c r="J55" s="34"/>
      <c r="K55" s="191" t="str">
        <f t="shared" si="3"/>
        <v/>
      </c>
      <c r="L55" s="192" t="str">
        <f t="shared" si="4"/>
        <v/>
      </c>
      <c r="M55" s="193"/>
      <c r="N55" s="193"/>
      <c r="O55" s="194" t="str">
        <f t="shared" si="5"/>
        <v/>
      </c>
      <c r="P55" s="194"/>
      <c r="Q55" s="241">
        <v>1.0000000000000001E-5</v>
      </c>
      <c r="R55" s="241"/>
      <c r="S55" s="241">
        <f>'ACC CAL WITH GB - Method 6'!L38</f>
        <v>3.2500000000000004E-5</v>
      </c>
      <c r="T55" s="195"/>
      <c r="U55" s="195"/>
      <c r="V55" s="195"/>
      <c r="W55" s="195"/>
      <c r="X55" s="195"/>
      <c r="Y55" s="343"/>
      <c r="Z55" s="337">
        <v>2.5000000000000001E-4</v>
      </c>
      <c r="AA55" s="337">
        <v>2.3000000000000001E-4</v>
      </c>
      <c r="AB55" s="344">
        <v>4.0000000000000002E-4</v>
      </c>
      <c r="AC55" s="337">
        <v>2.9E-4</v>
      </c>
      <c r="AD55" s="337">
        <f t="shared" si="12"/>
        <v>2.9E-4</v>
      </c>
      <c r="AE55" s="19"/>
      <c r="AF55" s="19"/>
      <c r="AG55" s="19"/>
      <c r="AH55" s="19"/>
      <c r="AI55" s="19"/>
      <c r="AJ55" s="19"/>
    </row>
    <row r="56" spans="1:36" ht="25" customHeight="1">
      <c r="A56" s="346">
        <v>-10</v>
      </c>
      <c r="B56" s="350">
        <v>-10</v>
      </c>
      <c r="C56" s="351"/>
      <c r="D56" s="351" t="str">
        <f t="shared" si="0"/>
        <v/>
      </c>
      <c r="E56" s="351" t="str">
        <f t="shared" si="0"/>
        <v/>
      </c>
      <c r="F56" s="350">
        <f t="shared" si="1"/>
        <v>-10.00029</v>
      </c>
      <c r="G56" s="350">
        <f t="shared" si="2"/>
        <v>-9.9997100000000003</v>
      </c>
      <c r="H56" s="352">
        <f t="shared" si="8"/>
        <v>2.9E-4</v>
      </c>
      <c r="I56" s="19"/>
      <c r="J56" s="34"/>
      <c r="K56" s="191" t="str">
        <f t="shared" si="3"/>
        <v/>
      </c>
      <c r="L56" s="192" t="str">
        <f t="shared" si="4"/>
        <v/>
      </c>
      <c r="M56" s="193"/>
      <c r="N56" s="193"/>
      <c r="O56" s="194" t="str">
        <f t="shared" si="5"/>
        <v/>
      </c>
      <c r="P56" s="194"/>
      <c r="Q56" s="241">
        <v>1.0000000000000001E-5</v>
      </c>
      <c r="R56" s="241"/>
      <c r="S56" s="241">
        <f>'ACC CAL WITH GB - Method 6'!L39</f>
        <v>3.2500000000000004E-5</v>
      </c>
      <c r="T56" s="195"/>
      <c r="U56" s="195"/>
      <c r="V56" s="195"/>
      <c r="W56" s="195"/>
      <c r="X56" s="195"/>
      <c r="Y56" s="343"/>
      <c r="Z56" s="337">
        <v>2.5000000000000001E-4</v>
      </c>
      <c r="AA56" s="337">
        <v>2.3000000000000001E-4</v>
      </c>
      <c r="AB56" s="344">
        <v>4.0000000000000002E-4</v>
      </c>
      <c r="AC56" s="337">
        <v>2.9E-4</v>
      </c>
      <c r="AD56" s="337">
        <f t="shared" si="12"/>
        <v>2.9E-4</v>
      </c>
      <c r="AE56" s="19"/>
      <c r="AF56" s="19"/>
      <c r="AG56" s="19"/>
      <c r="AH56" s="19"/>
      <c r="AI56" s="19"/>
      <c r="AJ56" s="19"/>
    </row>
    <row r="57" spans="1:36" ht="26.15" customHeight="1">
      <c r="A57" s="328"/>
      <c r="C57" s="230"/>
      <c r="D57" s="329"/>
      <c r="E57" s="329"/>
      <c r="H57" s="213"/>
      <c r="I57" s="214"/>
      <c r="J57" s="215"/>
      <c r="Z57" s="34"/>
      <c r="AA57" s="34"/>
      <c r="AB57" s="34"/>
      <c r="AC57" s="34"/>
      <c r="AD57" s="345"/>
      <c r="AE57" s="19"/>
      <c r="AF57" s="19"/>
      <c r="AG57" s="19"/>
      <c r="AH57" s="19"/>
      <c r="AI57" s="19"/>
      <c r="AJ57" s="19"/>
    </row>
    <row r="58" spans="1:36" s="231" customFormat="1" ht="19.899999999999999" customHeight="1">
      <c r="A58" s="353" t="s">
        <v>155</v>
      </c>
      <c r="B58" s="151"/>
      <c r="C58" s="230"/>
      <c r="D58" s="331"/>
      <c r="E58" s="331"/>
      <c r="F58" s="151"/>
      <c r="H58" s="53"/>
      <c r="I58" s="32"/>
      <c r="J58" s="232"/>
      <c r="K58" s="233"/>
      <c r="L58" s="234"/>
      <c r="M58" s="234"/>
      <c r="N58" s="234"/>
      <c r="O58" s="234"/>
      <c r="P58" s="234"/>
      <c r="Q58" s="234"/>
      <c r="R58" s="234"/>
      <c r="S58" s="234"/>
      <c r="T58" s="234"/>
      <c r="U58" s="234"/>
      <c r="V58" s="234"/>
      <c r="W58" s="234"/>
      <c r="X58" s="234"/>
      <c r="Y58" s="234"/>
      <c r="Z58" s="332"/>
      <c r="AA58" s="332"/>
      <c r="AB58" s="332"/>
      <c r="AC58" s="332"/>
      <c r="AD58" s="283"/>
    </row>
    <row r="59" spans="1:36" s="226" customFormat="1" ht="1" customHeight="1">
      <c r="A59" s="354"/>
      <c r="B59" s="225"/>
      <c r="C59" s="333"/>
      <c r="D59" s="225"/>
      <c r="E59" s="225"/>
      <c r="F59" s="225"/>
      <c r="H59" s="54"/>
      <c r="I59" s="227"/>
      <c r="J59" s="228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334"/>
      <c r="AA59" s="334"/>
      <c r="AB59" s="334"/>
      <c r="AC59" s="334"/>
      <c r="AD59" s="335"/>
    </row>
    <row r="60" spans="1:36" ht="23.65" customHeight="1">
      <c r="A60" s="630" t="s">
        <v>148</v>
      </c>
      <c r="B60" s="616" t="s">
        <v>132</v>
      </c>
      <c r="C60" s="326"/>
      <c r="D60" s="327" t="s">
        <v>14</v>
      </c>
      <c r="E60" s="327"/>
      <c r="F60" s="616" t="s">
        <v>2</v>
      </c>
      <c r="G60" s="616" t="s">
        <v>3</v>
      </c>
      <c r="H60" s="627" t="s">
        <v>29</v>
      </c>
      <c r="I60" s="19"/>
      <c r="J60" s="33"/>
      <c r="K60" s="616" t="s">
        <v>98</v>
      </c>
      <c r="L60" s="616" t="s">
        <v>99</v>
      </c>
      <c r="M60" s="163"/>
      <c r="N60" s="163"/>
      <c r="O60" s="622" t="s">
        <v>113</v>
      </c>
      <c r="P60" s="623"/>
      <c r="Q60" s="623"/>
      <c r="R60" s="623"/>
      <c r="S60" s="623"/>
      <c r="T60" s="623"/>
      <c r="U60" s="623"/>
      <c r="V60" s="623"/>
      <c r="W60" s="623"/>
      <c r="X60" s="624"/>
      <c r="Y60" s="336"/>
      <c r="Z60" s="337"/>
      <c r="AA60" s="337" t="s">
        <v>149</v>
      </c>
      <c r="AB60" s="337"/>
      <c r="AC60" s="337" t="s">
        <v>150</v>
      </c>
      <c r="AD60" s="290"/>
      <c r="AE60" s="19"/>
      <c r="AF60" s="19"/>
      <c r="AG60" s="19"/>
      <c r="AH60" s="19"/>
      <c r="AI60" s="19"/>
      <c r="AJ60" s="19"/>
    </row>
    <row r="61" spans="1:36" ht="23.65" customHeight="1" thickBot="1">
      <c r="A61" s="631"/>
      <c r="B61" s="617"/>
      <c r="C61" s="198">
        <v>1</v>
      </c>
      <c r="D61" s="198">
        <v>2</v>
      </c>
      <c r="E61" s="198">
        <v>3</v>
      </c>
      <c r="F61" s="629"/>
      <c r="G61" s="617"/>
      <c r="H61" s="628"/>
      <c r="I61" s="19"/>
      <c r="J61" s="34"/>
      <c r="K61" s="625"/>
      <c r="L61" s="617"/>
      <c r="M61" s="163"/>
      <c r="N61" s="163"/>
      <c r="O61" s="199" t="s">
        <v>100</v>
      </c>
      <c r="P61" s="200" t="s">
        <v>101</v>
      </c>
      <c r="Q61" s="199" t="s">
        <v>102</v>
      </c>
      <c r="R61" s="200" t="s">
        <v>103</v>
      </c>
      <c r="S61" s="199" t="s">
        <v>219</v>
      </c>
      <c r="T61" s="201" t="s">
        <v>105</v>
      </c>
      <c r="U61" s="202" t="s">
        <v>106</v>
      </c>
      <c r="V61" s="202" t="s">
        <v>107</v>
      </c>
      <c r="W61" s="202" t="s">
        <v>108</v>
      </c>
      <c r="X61" s="203" t="s">
        <v>109</v>
      </c>
      <c r="Y61" s="336"/>
      <c r="Z61" s="338" t="s">
        <v>141</v>
      </c>
      <c r="AA61" s="338" t="s">
        <v>151</v>
      </c>
      <c r="AB61" s="338" t="s">
        <v>141</v>
      </c>
      <c r="AC61" s="338" t="s">
        <v>151</v>
      </c>
      <c r="AD61" s="338" t="s">
        <v>152</v>
      </c>
      <c r="AE61" s="19"/>
      <c r="AF61" s="19"/>
      <c r="AG61" s="19"/>
      <c r="AH61" s="19"/>
      <c r="AI61" s="19"/>
      <c r="AJ61" s="19"/>
    </row>
    <row r="62" spans="1:36" ht="25" customHeight="1" thickTop="1">
      <c r="A62" s="346">
        <v>0</v>
      </c>
      <c r="B62" s="355">
        <v>0</v>
      </c>
      <c r="C62" s="356"/>
      <c r="D62" s="356" t="str">
        <f t="shared" si="0"/>
        <v/>
      </c>
      <c r="E62" s="356" t="str">
        <f t="shared" si="0"/>
        <v/>
      </c>
      <c r="F62" s="355">
        <f t="shared" ref="F62:F64" si="13">IF(B62="","",IFERROR(B62-H62,"NA"))</f>
        <v>-5.9999999999999995E-4</v>
      </c>
      <c r="G62" s="355">
        <f t="shared" ref="G62:G64" si="14">IF(B62="","",IFERROR(B62+H62,"NA"))</f>
        <v>5.9999999999999995E-4</v>
      </c>
      <c r="H62" s="357">
        <f t="shared" si="8"/>
        <v>5.9999999999999995E-4</v>
      </c>
      <c r="I62" s="19"/>
      <c r="J62" s="34"/>
      <c r="K62" s="191" t="str">
        <f t="shared" si="3"/>
        <v/>
      </c>
      <c r="L62" s="192" t="str">
        <f t="shared" si="4"/>
        <v/>
      </c>
      <c r="M62" s="193"/>
      <c r="N62" s="193"/>
      <c r="O62" s="194" t="str">
        <f t="shared" si="5"/>
        <v/>
      </c>
      <c r="P62" s="194"/>
      <c r="Q62" s="241">
        <v>1E-4</v>
      </c>
      <c r="R62" s="241"/>
      <c r="S62" s="241">
        <f>'ACC CAL WITH GB - Method 6'!L45</f>
        <v>4.0000000000000003E-5</v>
      </c>
      <c r="T62" s="195"/>
      <c r="U62" s="195"/>
      <c r="V62" s="195"/>
      <c r="W62" s="195"/>
      <c r="X62" s="195"/>
      <c r="Y62" s="343"/>
      <c r="Z62" s="344">
        <v>5.9999999999999995E-4</v>
      </c>
      <c r="AA62" s="344">
        <v>5.9999999999999995E-4</v>
      </c>
      <c r="AB62" s="344">
        <v>5.9999999999999995E-4</v>
      </c>
      <c r="AC62" s="344">
        <v>5.9999999999999995E-4</v>
      </c>
      <c r="AD62" s="337">
        <f t="shared" ref="AD62:AD64" si="15">IF(AD$31=1,Z62,IF(AD$31=2,AB62,IF(AD$31=3,AA62,AC62)))</f>
        <v>5.9999999999999995E-4</v>
      </c>
      <c r="AE62" s="19"/>
      <c r="AF62" s="19"/>
      <c r="AG62" s="19"/>
      <c r="AH62" s="19"/>
      <c r="AI62" s="19"/>
      <c r="AJ62" s="19"/>
    </row>
    <row r="63" spans="1:36" ht="25" customHeight="1">
      <c r="A63" s="346">
        <v>100</v>
      </c>
      <c r="B63" s="355">
        <v>100</v>
      </c>
      <c r="C63" s="356"/>
      <c r="D63" s="356" t="str">
        <f t="shared" si="0"/>
        <v/>
      </c>
      <c r="E63" s="356" t="str">
        <f t="shared" si="0"/>
        <v/>
      </c>
      <c r="F63" s="355">
        <f t="shared" si="13"/>
        <v>99.995599999999996</v>
      </c>
      <c r="G63" s="355">
        <f t="shared" si="14"/>
        <v>100.0044</v>
      </c>
      <c r="H63" s="357">
        <f t="shared" si="8"/>
        <v>4.4000000000000003E-3</v>
      </c>
      <c r="I63" s="19"/>
      <c r="J63" s="34"/>
      <c r="K63" s="191" t="str">
        <f t="shared" si="3"/>
        <v/>
      </c>
      <c r="L63" s="192" t="str">
        <f t="shared" si="4"/>
        <v/>
      </c>
      <c r="M63" s="193"/>
      <c r="N63" s="193"/>
      <c r="O63" s="194" t="str">
        <f t="shared" si="5"/>
        <v/>
      </c>
      <c r="P63" s="194"/>
      <c r="Q63" s="241">
        <v>1E-4</v>
      </c>
      <c r="R63" s="241"/>
      <c r="S63" s="241">
        <f>'ACC CAL WITH GB - Method 6'!L46</f>
        <v>9.4999999999999989E-4</v>
      </c>
      <c r="T63" s="195"/>
      <c r="U63" s="195"/>
      <c r="V63" s="195"/>
      <c r="W63" s="195"/>
      <c r="X63" s="195"/>
      <c r="Y63" s="343"/>
      <c r="Z63" s="337">
        <v>4.1000000000000003E-3</v>
      </c>
      <c r="AA63" s="337">
        <v>3.3E-3</v>
      </c>
      <c r="AB63" s="337">
        <v>5.1000000000000004E-3</v>
      </c>
      <c r="AC63" s="337">
        <v>4.4000000000000003E-3</v>
      </c>
      <c r="AD63" s="337">
        <f t="shared" si="15"/>
        <v>4.4000000000000003E-3</v>
      </c>
      <c r="AE63" s="19"/>
      <c r="AF63" s="19"/>
      <c r="AG63" s="19"/>
      <c r="AH63" s="19"/>
      <c r="AI63" s="19"/>
      <c r="AJ63" s="19"/>
    </row>
    <row r="64" spans="1:36" ht="25" customHeight="1">
      <c r="A64" s="346">
        <v>-100</v>
      </c>
      <c r="B64" s="355">
        <v>-100</v>
      </c>
      <c r="C64" s="356"/>
      <c r="D64" s="356" t="str">
        <f t="shared" si="0"/>
        <v/>
      </c>
      <c r="E64" s="356" t="str">
        <f t="shared" si="0"/>
        <v/>
      </c>
      <c r="F64" s="355">
        <f t="shared" si="13"/>
        <v>-100.0044</v>
      </c>
      <c r="G64" s="355">
        <f t="shared" si="14"/>
        <v>-99.995599999999996</v>
      </c>
      <c r="H64" s="357">
        <f t="shared" si="8"/>
        <v>4.4000000000000003E-3</v>
      </c>
      <c r="I64" s="19"/>
      <c r="J64" s="34"/>
      <c r="K64" s="191" t="str">
        <f t="shared" si="3"/>
        <v/>
      </c>
      <c r="L64" s="192" t="str">
        <f t="shared" si="4"/>
        <v/>
      </c>
      <c r="M64" s="193"/>
      <c r="N64" s="193"/>
      <c r="O64" s="194" t="str">
        <f t="shared" si="5"/>
        <v/>
      </c>
      <c r="P64" s="194"/>
      <c r="Q64" s="241">
        <v>1E-4</v>
      </c>
      <c r="R64" s="241"/>
      <c r="S64" s="241">
        <f>'ACC CAL WITH GB - Method 6'!L47</f>
        <v>9.4999999999999989E-4</v>
      </c>
      <c r="T64" s="195"/>
      <c r="U64" s="195"/>
      <c r="V64" s="195"/>
      <c r="W64" s="195"/>
      <c r="X64" s="195"/>
      <c r="Y64" s="343"/>
      <c r="Z64" s="337">
        <v>4.1000000000000003E-3</v>
      </c>
      <c r="AA64" s="337">
        <v>3.3E-3</v>
      </c>
      <c r="AB64" s="337">
        <v>5.1000000000000004E-3</v>
      </c>
      <c r="AC64" s="337">
        <v>4.4000000000000003E-3</v>
      </c>
      <c r="AD64" s="337">
        <f t="shared" si="15"/>
        <v>4.4000000000000003E-3</v>
      </c>
      <c r="AE64" s="19"/>
      <c r="AF64" s="19"/>
      <c r="AG64" s="19"/>
      <c r="AH64" s="19"/>
      <c r="AI64" s="19"/>
      <c r="AJ64" s="19"/>
    </row>
    <row r="65" spans="1:36" ht="26.15" customHeight="1">
      <c r="A65" s="328"/>
      <c r="C65" s="230"/>
      <c r="D65" s="329"/>
      <c r="E65" s="329"/>
      <c r="H65" s="213"/>
      <c r="I65" s="214"/>
      <c r="J65" s="215"/>
      <c r="Z65" s="34"/>
      <c r="AA65" s="34"/>
      <c r="AB65" s="34"/>
      <c r="AC65" s="34"/>
      <c r="AD65" s="345"/>
      <c r="AE65" s="19"/>
      <c r="AF65" s="19"/>
      <c r="AG65" s="19"/>
      <c r="AH65" s="19"/>
      <c r="AI65" s="19"/>
      <c r="AJ65" s="19"/>
    </row>
    <row r="66" spans="1:36" s="231" customFormat="1" ht="19.75" customHeight="1">
      <c r="A66" s="76" t="s">
        <v>156</v>
      </c>
      <c r="B66" s="151"/>
      <c r="C66" s="230"/>
      <c r="D66" s="331"/>
      <c r="E66" s="331"/>
      <c r="F66" s="151"/>
      <c r="H66" s="53"/>
      <c r="I66" s="32"/>
      <c r="J66" s="232"/>
      <c r="K66" s="233"/>
      <c r="L66" s="234"/>
      <c r="M66" s="234"/>
      <c r="N66" s="234"/>
      <c r="O66" s="234"/>
      <c r="P66" s="234"/>
      <c r="Q66" s="234"/>
      <c r="R66" s="234"/>
      <c r="S66" s="234"/>
      <c r="T66" s="234"/>
      <c r="U66" s="234"/>
      <c r="V66" s="234"/>
      <c r="W66" s="234"/>
      <c r="X66" s="234"/>
      <c r="Y66" s="234"/>
      <c r="Z66" s="332"/>
      <c r="AA66" s="332"/>
      <c r="AB66" s="332"/>
      <c r="AC66" s="332"/>
      <c r="AD66" s="283"/>
    </row>
    <row r="67" spans="1:36" s="226" customFormat="1" ht="5.15" customHeight="1">
      <c r="A67" s="288"/>
      <c r="B67" s="225"/>
      <c r="C67" s="333"/>
      <c r="D67" s="225"/>
      <c r="E67" s="225"/>
      <c r="F67" s="225"/>
      <c r="H67" s="54"/>
      <c r="I67" s="227"/>
      <c r="J67" s="228"/>
      <c r="K67" s="229"/>
      <c r="L67" s="229"/>
      <c r="M67" s="229"/>
      <c r="N67" s="229"/>
      <c r="O67" s="229"/>
      <c r="P67" s="229"/>
      <c r="Q67" s="229"/>
      <c r="R67" s="229"/>
      <c r="S67" s="229"/>
      <c r="T67" s="229"/>
      <c r="U67" s="229"/>
      <c r="V67" s="229"/>
      <c r="W67" s="229"/>
      <c r="X67" s="229"/>
      <c r="Y67" s="229"/>
      <c r="Z67" s="334"/>
      <c r="AA67" s="334"/>
      <c r="AB67" s="334"/>
      <c r="AC67" s="334"/>
      <c r="AD67" s="335"/>
    </row>
    <row r="68" spans="1:36" ht="23.65" customHeight="1">
      <c r="A68" s="630" t="s">
        <v>148</v>
      </c>
      <c r="B68" s="616" t="s">
        <v>132</v>
      </c>
      <c r="C68" s="326"/>
      <c r="D68" s="327" t="s">
        <v>14</v>
      </c>
      <c r="E68" s="327"/>
      <c r="F68" s="616" t="s">
        <v>2</v>
      </c>
      <c r="G68" s="616" t="s">
        <v>3</v>
      </c>
      <c r="H68" s="627" t="s">
        <v>29</v>
      </c>
      <c r="I68" s="19"/>
      <c r="J68" s="33"/>
      <c r="K68" s="616" t="s">
        <v>98</v>
      </c>
      <c r="L68" s="616" t="s">
        <v>99</v>
      </c>
      <c r="M68" s="163"/>
      <c r="N68" s="163"/>
      <c r="O68" s="622" t="s">
        <v>113</v>
      </c>
      <c r="P68" s="623"/>
      <c r="Q68" s="623"/>
      <c r="R68" s="623"/>
      <c r="S68" s="623"/>
      <c r="T68" s="623"/>
      <c r="U68" s="623"/>
      <c r="V68" s="623"/>
      <c r="W68" s="623"/>
      <c r="X68" s="624"/>
      <c r="Y68" s="336"/>
      <c r="Z68" s="337"/>
      <c r="AA68" s="337" t="s">
        <v>149</v>
      </c>
      <c r="AB68" s="337"/>
      <c r="AC68" s="337" t="s">
        <v>150</v>
      </c>
      <c r="AD68" s="290"/>
      <c r="AE68" s="19"/>
      <c r="AF68" s="19"/>
      <c r="AG68" s="19"/>
      <c r="AH68" s="19"/>
      <c r="AI68" s="19"/>
      <c r="AJ68" s="19"/>
    </row>
    <row r="69" spans="1:36" ht="23.65" customHeight="1" thickBot="1">
      <c r="A69" s="631"/>
      <c r="B69" s="617"/>
      <c r="C69" s="198">
        <v>1</v>
      </c>
      <c r="D69" s="198">
        <v>2</v>
      </c>
      <c r="E69" s="198">
        <v>3</v>
      </c>
      <c r="F69" s="629"/>
      <c r="G69" s="617"/>
      <c r="H69" s="628"/>
      <c r="I69" s="19"/>
      <c r="J69" s="34"/>
      <c r="K69" s="625"/>
      <c r="L69" s="617"/>
      <c r="M69" s="163"/>
      <c r="N69" s="163"/>
      <c r="O69" s="199" t="s">
        <v>100</v>
      </c>
      <c r="P69" s="200" t="s">
        <v>101</v>
      </c>
      <c r="Q69" s="199" t="s">
        <v>102</v>
      </c>
      <c r="R69" s="200" t="s">
        <v>103</v>
      </c>
      <c r="S69" s="199" t="s">
        <v>219</v>
      </c>
      <c r="T69" s="201" t="s">
        <v>105</v>
      </c>
      <c r="U69" s="202" t="s">
        <v>106</v>
      </c>
      <c r="V69" s="202" t="s">
        <v>107</v>
      </c>
      <c r="W69" s="202" t="s">
        <v>108</v>
      </c>
      <c r="X69" s="203" t="s">
        <v>109</v>
      </c>
      <c r="Y69" s="336"/>
      <c r="Z69" s="338" t="s">
        <v>141</v>
      </c>
      <c r="AA69" s="338" t="s">
        <v>151</v>
      </c>
      <c r="AB69" s="338" t="s">
        <v>141</v>
      </c>
      <c r="AC69" s="338" t="s">
        <v>151</v>
      </c>
      <c r="AD69" s="338" t="s">
        <v>152</v>
      </c>
      <c r="AE69" s="19"/>
      <c r="AF69" s="19"/>
      <c r="AG69" s="19"/>
      <c r="AH69" s="19"/>
      <c r="AI69" s="19"/>
      <c r="AJ69" s="19"/>
    </row>
    <row r="70" spans="1:36" ht="25" customHeight="1" thickTop="1">
      <c r="A70" s="346">
        <v>0</v>
      </c>
      <c r="B70" s="358">
        <v>0</v>
      </c>
      <c r="C70" s="359"/>
      <c r="D70" s="359" t="str">
        <f t="shared" si="0"/>
        <v/>
      </c>
      <c r="E70" s="359" t="str">
        <f t="shared" si="0"/>
        <v/>
      </c>
      <c r="F70" s="358">
        <f t="shared" ref="F70:F72" si="16">IF(B70="","",IFERROR(B70-H70,"NA"))</f>
        <v>-0.01</v>
      </c>
      <c r="G70" s="358">
        <f t="shared" ref="G70:G72" si="17">IF(B70="","",IFERROR(B70+H70,"NA"))</f>
        <v>0.01</v>
      </c>
      <c r="H70" s="360">
        <f t="shared" si="8"/>
        <v>0.01</v>
      </c>
      <c r="I70" s="19"/>
      <c r="J70" s="34"/>
      <c r="K70" s="191" t="str">
        <f t="shared" si="3"/>
        <v/>
      </c>
      <c r="L70" s="192" t="str">
        <f t="shared" si="4"/>
        <v/>
      </c>
      <c r="M70" s="193"/>
      <c r="N70" s="193"/>
      <c r="O70" s="194" t="str">
        <f t="shared" si="5"/>
        <v/>
      </c>
      <c r="P70" s="194"/>
      <c r="Q70" s="241">
        <v>1E-3</v>
      </c>
      <c r="R70" s="241"/>
      <c r="S70" s="241">
        <f>'ACC CAL WITH GB - Method 6'!L53</f>
        <v>4.0000000000000003E-7</v>
      </c>
      <c r="T70" s="195"/>
      <c r="U70" s="195"/>
      <c r="V70" s="195"/>
      <c r="W70" s="195"/>
      <c r="X70" s="195"/>
      <c r="Y70" s="343"/>
      <c r="Z70" s="344">
        <v>0.01</v>
      </c>
      <c r="AA70" s="344">
        <v>0.01</v>
      </c>
      <c r="AB70" s="344">
        <v>0.01</v>
      </c>
      <c r="AC70" s="344">
        <v>0.01</v>
      </c>
      <c r="AD70" s="337">
        <f t="shared" ref="AD70:AD72" si="18">IF(AD$31=1,Z70,IF(AD$31=2,AB70,IF(AD$31=3,AA70,AC70)))</f>
        <v>0.01</v>
      </c>
      <c r="AE70" s="19"/>
      <c r="AF70" s="19"/>
      <c r="AG70" s="19"/>
      <c r="AH70" s="19"/>
      <c r="AI70" s="19"/>
      <c r="AJ70" s="19"/>
    </row>
    <row r="71" spans="1:36" ht="25" customHeight="1">
      <c r="A71" s="346">
        <v>1000</v>
      </c>
      <c r="B71" s="358">
        <v>1000</v>
      </c>
      <c r="C71" s="359"/>
      <c r="D71" s="359" t="str">
        <f t="shared" si="0"/>
        <v/>
      </c>
      <c r="E71" s="359" t="str">
        <f t="shared" si="0"/>
        <v/>
      </c>
      <c r="F71" s="358">
        <f t="shared" si="16"/>
        <v>999.94899999999996</v>
      </c>
      <c r="G71" s="358">
        <f t="shared" si="17"/>
        <v>1000.051</v>
      </c>
      <c r="H71" s="360">
        <f>AD71</f>
        <v>5.0999999999999997E-2</v>
      </c>
      <c r="I71" s="19"/>
      <c r="J71" s="34"/>
      <c r="K71" s="191" t="str">
        <f t="shared" si="3"/>
        <v/>
      </c>
      <c r="L71" s="192" t="str">
        <f t="shared" si="4"/>
        <v/>
      </c>
      <c r="M71" s="193"/>
      <c r="N71" s="193"/>
      <c r="O71" s="194" t="str">
        <f t="shared" si="5"/>
        <v/>
      </c>
      <c r="P71" s="194"/>
      <c r="Q71" s="241">
        <v>1E-3</v>
      </c>
      <c r="R71" s="241"/>
      <c r="S71" s="241">
        <f>'ACC CAL WITH GB - Method 6'!L54</f>
        <v>1.1000399999999999E-2</v>
      </c>
      <c r="T71" s="195"/>
      <c r="U71" s="195"/>
      <c r="V71" s="195"/>
      <c r="W71" s="195"/>
      <c r="X71" s="195"/>
      <c r="Y71" s="343"/>
      <c r="Z71" s="337">
        <v>4.4999999999999998E-2</v>
      </c>
      <c r="AA71" s="337">
        <v>4.1000000000000002E-2</v>
      </c>
      <c r="AB71" s="337">
        <v>5.5E-2</v>
      </c>
      <c r="AC71" s="337">
        <v>5.0999999999999997E-2</v>
      </c>
      <c r="AD71" s="337">
        <f t="shared" si="18"/>
        <v>5.0999999999999997E-2</v>
      </c>
      <c r="AE71" s="19"/>
      <c r="AF71" s="19"/>
      <c r="AG71" s="19"/>
      <c r="AH71" s="19"/>
      <c r="AI71" s="19"/>
      <c r="AJ71" s="19"/>
    </row>
    <row r="72" spans="1:36" ht="25" customHeight="1">
      <c r="A72" s="346">
        <v>-1000</v>
      </c>
      <c r="B72" s="358">
        <v>-1000</v>
      </c>
      <c r="C72" s="359"/>
      <c r="D72" s="359" t="str">
        <f t="shared" si="0"/>
        <v/>
      </c>
      <c r="E72" s="359" t="str">
        <f t="shared" si="0"/>
        <v/>
      </c>
      <c r="F72" s="358">
        <f t="shared" si="16"/>
        <v>-1000.051</v>
      </c>
      <c r="G72" s="358">
        <f t="shared" si="17"/>
        <v>-999.94899999999996</v>
      </c>
      <c r="H72" s="360">
        <f>AD72</f>
        <v>5.0999999999999997E-2</v>
      </c>
      <c r="I72" s="19"/>
      <c r="J72" s="34"/>
      <c r="K72" s="191" t="str">
        <f t="shared" si="3"/>
        <v/>
      </c>
      <c r="L72" s="192" t="str">
        <f t="shared" si="4"/>
        <v/>
      </c>
      <c r="M72" s="193"/>
      <c r="N72" s="193"/>
      <c r="O72" s="194" t="str">
        <f t="shared" si="5"/>
        <v/>
      </c>
      <c r="P72" s="194"/>
      <c r="Q72" s="241">
        <v>1E-3</v>
      </c>
      <c r="R72" s="241"/>
      <c r="S72" s="241">
        <f>'ACC CAL WITH GB - Method 6'!L55</f>
        <v>1.1000399999999999E-2</v>
      </c>
      <c r="T72" s="195"/>
      <c r="U72" s="195"/>
      <c r="V72" s="195"/>
      <c r="W72" s="195"/>
      <c r="X72" s="195"/>
      <c r="Y72" s="343"/>
      <c r="Z72" s="337">
        <v>4.4999999999999998E-2</v>
      </c>
      <c r="AA72" s="337">
        <v>4.1000000000000002E-2</v>
      </c>
      <c r="AB72" s="337">
        <v>5.5E-2</v>
      </c>
      <c r="AC72" s="337">
        <v>5.0999999999999997E-2</v>
      </c>
      <c r="AD72" s="337">
        <f t="shared" si="18"/>
        <v>5.0999999999999997E-2</v>
      </c>
      <c r="AE72" s="19"/>
      <c r="AF72" s="19"/>
      <c r="AG72" s="19"/>
      <c r="AH72" s="19"/>
      <c r="AI72" s="19"/>
      <c r="AJ72" s="19"/>
    </row>
    <row r="73" spans="1:36" ht="26.15" customHeight="1">
      <c r="C73" s="52"/>
      <c r="Z73" s="34"/>
      <c r="AA73" s="34"/>
      <c r="AB73" s="34"/>
      <c r="AC73" s="34"/>
      <c r="AD73" s="290"/>
      <c r="AE73" s="19"/>
      <c r="AF73" s="19"/>
      <c r="AG73" s="19"/>
      <c r="AH73" s="19"/>
      <c r="AI73" s="19"/>
      <c r="AJ73" s="19"/>
    </row>
    <row r="74" spans="1:36" ht="24.65" customHeight="1">
      <c r="A74" s="289" t="s">
        <v>157</v>
      </c>
      <c r="C74" s="230"/>
      <c r="D74" s="329"/>
      <c r="E74" s="329"/>
      <c r="H74" s="213"/>
      <c r="I74" s="214"/>
      <c r="J74" s="215"/>
      <c r="Z74" s="34"/>
      <c r="AA74" s="34"/>
      <c r="AB74" s="34"/>
      <c r="AC74" s="34"/>
      <c r="AD74" s="345"/>
      <c r="AE74" s="164"/>
      <c r="AF74" s="19"/>
      <c r="AG74" s="19"/>
      <c r="AH74" s="19"/>
      <c r="AI74" s="19"/>
      <c r="AJ74" s="19"/>
    </row>
    <row r="75" spans="1:36" s="231" customFormat="1" ht="1" customHeight="1">
      <c r="A75" s="76"/>
      <c r="B75" s="151"/>
      <c r="C75" s="230"/>
      <c r="D75" s="331"/>
      <c r="E75" s="331"/>
      <c r="F75" s="151"/>
      <c r="H75" s="53"/>
      <c r="I75" s="32"/>
      <c r="J75" s="232"/>
      <c r="K75" s="233"/>
      <c r="L75" s="234"/>
      <c r="M75" s="234"/>
      <c r="N75" s="234"/>
      <c r="O75" s="234"/>
      <c r="P75" s="234"/>
      <c r="Q75" s="234"/>
      <c r="R75" s="234"/>
      <c r="S75" s="234"/>
      <c r="T75" s="234"/>
      <c r="U75" s="234"/>
      <c r="V75" s="234"/>
      <c r="W75" s="234"/>
      <c r="X75" s="234"/>
      <c r="Y75" s="234"/>
      <c r="Z75" s="332"/>
      <c r="AA75" s="332"/>
      <c r="AB75" s="332"/>
      <c r="AC75" s="332"/>
      <c r="AD75" s="283"/>
    </row>
    <row r="76" spans="1:36" s="226" customFormat="1" ht="1" customHeight="1">
      <c r="A76" s="288"/>
      <c r="B76" s="225"/>
      <c r="C76" s="333"/>
      <c r="D76" s="225"/>
      <c r="E76" s="225"/>
      <c r="F76" s="225"/>
      <c r="H76" s="54"/>
      <c r="I76" s="227"/>
      <c r="J76" s="228"/>
      <c r="K76" s="229"/>
      <c r="L76" s="229"/>
      <c r="M76" s="229"/>
      <c r="N76" s="229"/>
      <c r="O76" s="229"/>
      <c r="P76" s="229"/>
      <c r="Q76" s="229"/>
      <c r="R76" s="229"/>
      <c r="S76" s="229"/>
      <c r="T76" s="229"/>
      <c r="U76" s="229"/>
      <c r="V76" s="229"/>
      <c r="W76" s="229"/>
      <c r="X76" s="229"/>
      <c r="Y76" s="229"/>
      <c r="Z76" s="334"/>
      <c r="AA76" s="334"/>
      <c r="AB76" s="334"/>
      <c r="AC76" s="334"/>
      <c r="AD76" s="335"/>
    </row>
    <row r="77" spans="1:36" ht="23.65" customHeight="1">
      <c r="A77" s="614" t="s">
        <v>131</v>
      </c>
      <c r="B77" s="616" t="s">
        <v>132</v>
      </c>
      <c r="C77" s="326"/>
      <c r="D77" s="327" t="s">
        <v>14</v>
      </c>
      <c r="E77" s="327"/>
      <c r="F77" s="616" t="s">
        <v>2</v>
      </c>
      <c r="G77" s="616" t="s">
        <v>3</v>
      </c>
      <c r="H77" s="627" t="s">
        <v>29</v>
      </c>
      <c r="I77" s="19"/>
      <c r="J77" s="33"/>
      <c r="K77" s="616" t="s">
        <v>98</v>
      </c>
      <c r="L77" s="616" t="s">
        <v>99</v>
      </c>
      <c r="M77" s="163"/>
      <c r="N77" s="163"/>
      <c r="O77" s="622" t="s">
        <v>113</v>
      </c>
      <c r="P77" s="623"/>
      <c r="Q77" s="623"/>
      <c r="R77" s="623"/>
      <c r="S77" s="623"/>
      <c r="T77" s="623"/>
      <c r="U77" s="623"/>
      <c r="V77" s="623"/>
      <c r="W77" s="623"/>
      <c r="X77" s="624"/>
      <c r="Y77" s="336"/>
      <c r="Z77" s="337"/>
      <c r="AA77" s="337" t="s">
        <v>149</v>
      </c>
      <c r="AB77" s="337"/>
      <c r="AC77" s="337" t="s">
        <v>150</v>
      </c>
      <c r="AD77" s="290"/>
      <c r="AE77" s="19"/>
      <c r="AF77" s="19"/>
      <c r="AG77" s="19"/>
      <c r="AH77" s="19"/>
      <c r="AI77" s="19"/>
      <c r="AJ77" s="19"/>
    </row>
    <row r="78" spans="1:36" ht="23.65" customHeight="1" thickBot="1">
      <c r="A78" s="615"/>
      <c r="B78" s="617"/>
      <c r="C78" s="198">
        <v>1</v>
      </c>
      <c r="D78" s="198">
        <v>2</v>
      </c>
      <c r="E78" s="198">
        <v>3</v>
      </c>
      <c r="F78" s="629"/>
      <c r="G78" s="617"/>
      <c r="H78" s="628"/>
      <c r="I78" s="19"/>
      <c r="J78" s="34"/>
      <c r="K78" s="625"/>
      <c r="L78" s="617"/>
      <c r="M78" s="163"/>
      <c r="N78" s="163"/>
      <c r="O78" s="199" t="s">
        <v>100</v>
      </c>
      <c r="P78" s="200" t="s">
        <v>101</v>
      </c>
      <c r="Q78" s="199" t="s">
        <v>102</v>
      </c>
      <c r="R78" s="200" t="s">
        <v>103</v>
      </c>
      <c r="S78" s="199" t="s">
        <v>219</v>
      </c>
      <c r="T78" s="201" t="s">
        <v>105</v>
      </c>
      <c r="U78" s="202" t="s">
        <v>106</v>
      </c>
      <c r="V78" s="202" t="s">
        <v>107</v>
      </c>
      <c r="W78" s="202" t="s">
        <v>108</v>
      </c>
      <c r="X78" s="203" t="s">
        <v>109</v>
      </c>
      <c r="Y78" s="336"/>
      <c r="Z78" s="338" t="s">
        <v>141</v>
      </c>
      <c r="AA78" s="338" t="s">
        <v>151</v>
      </c>
      <c r="AB78" s="338" t="s">
        <v>141</v>
      </c>
      <c r="AC78" s="338" t="s">
        <v>151</v>
      </c>
      <c r="AD78" s="338" t="s">
        <v>152</v>
      </c>
      <c r="AE78" s="19"/>
      <c r="AF78" s="19"/>
      <c r="AG78" s="19"/>
      <c r="AH78" s="19"/>
      <c r="AI78" s="19"/>
      <c r="AJ78" s="19"/>
    </row>
    <row r="79" spans="1:36" ht="25" customHeight="1" thickTop="1">
      <c r="A79" s="361" t="s">
        <v>158</v>
      </c>
      <c r="B79" s="347">
        <f>100/1000</f>
        <v>0.1</v>
      </c>
      <c r="C79" s="348"/>
      <c r="D79" s="348" t="str">
        <f t="shared" si="0"/>
        <v/>
      </c>
      <c r="E79" s="348" t="str">
        <f t="shared" si="0"/>
        <v/>
      </c>
      <c r="F79" s="347">
        <f>IF(B79="","",IFERROR(B79-H79,"NA"))</f>
        <v>9.9856E-2</v>
      </c>
      <c r="G79" s="347">
        <f>IF(B79="","",IFERROR(B79+H79,"NA"))</f>
        <v>0.10014400000000001</v>
      </c>
      <c r="H79" s="349">
        <f t="shared" ref="H79:H81" si="19">AD79</f>
        <v>1.44E-4</v>
      </c>
      <c r="I79" s="19"/>
      <c r="J79" s="34"/>
      <c r="K79" s="191" t="str">
        <f>IF(OR(C79="NA",C79=""), "",COUNTA(C79:E79))</f>
        <v/>
      </c>
      <c r="L79" s="192" t="str">
        <f>IF(ISTEXT(C79)=TRUE, INDEX(C79:E79,MODE(MATCH(C79:E79,C79:E79,0))),IF(C79="","",IF(C79="NA","NA",AVERAGE(C79:E79))))</f>
        <v/>
      </c>
      <c r="M79" s="193"/>
      <c r="N79" s="193"/>
      <c r="O79" s="194" t="str">
        <f>IF(OR(ISTEXT(C79)=TRUE, C79=""),"",STDEV(C79:E79))</f>
        <v/>
      </c>
      <c r="P79" s="194"/>
      <c r="Q79" s="241">
        <v>9.9999999999999995E-7</v>
      </c>
      <c r="R79" s="241"/>
      <c r="S79" s="241">
        <f>'ACC CAL WITH GB - Method 6'!L62</f>
        <v>1.5E-6</v>
      </c>
      <c r="T79" s="195"/>
      <c r="U79" s="195"/>
      <c r="V79" s="195"/>
      <c r="W79" s="195"/>
      <c r="X79" s="195"/>
      <c r="Y79" s="343"/>
      <c r="Z79" s="337">
        <v>1.4999999999999999E-4</v>
      </c>
      <c r="AA79" s="337">
        <v>1.2E-4</v>
      </c>
      <c r="AB79" s="337">
        <v>1.7000000000000001E-4</v>
      </c>
      <c r="AC79" s="337">
        <v>1.44E-4</v>
      </c>
      <c r="AD79" s="337">
        <f t="shared" ref="AD79:AD80" si="20">IF(AD$31=1,Z79,IF(AD$31=2,AB79,IF(AD$31=3,AA79,AC79)))</f>
        <v>1.44E-4</v>
      </c>
      <c r="AE79" s="19"/>
      <c r="AF79" s="19"/>
      <c r="AG79" s="19"/>
      <c r="AH79" s="19"/>
      <c r="AI79" s="19"/>
      <c r="AJ79" s="19"/>
    </row>
    <row r="80" spans="1:36" ht="25" customHeight="1">
      <c r="A80" s="322" t="s">
        <v>159</v>
      </c>
      <c r="B80" s="347">
        <v>1</v>
      </c>
      <c r="C80" s="348"/>
      <c r="D80" s="348" t="str">
        <f t="shared" si="0"/>
        <v/>
      </c>
      <c r="E80" s="348" t="str">
        <f t="shared" si="0"/>
        <v/>
      </c>
      <c r="F80" s="347">
        <f>IF(B80="","",IFERROR(B80-H80,"NA"))</f>
        <v>0.99993600000000005</v>
      </c>
      <c r="G80" s="347">
        <f>IF(B80="","",IFERROR(B80+H80,"NA"))</f>
        <v>1.0000640000000001</v>
      </c>
      <c r="H80" s="349">
        <f t="shared" si="19"/>
        <v>6.3999999999999997E-5</v>
      </c>
      <c r="I80" s="19"/>
      <c r="J80" s="34"/>
      <c r="K80" s="191" t="str">
        <f>IF(OR(C80="NA",C80=""), "",COUNTA(C80:E80))</f>
        <v/>
      </c>
      <c r="L80" s="192" t="str">
        <f>IF(ISTEXT(C80)=TRUE, INDEX(C80:E80,MODE(MATCH(C80:E80,C80:E80,0))),IF(C80="","",IF(C80="NA","NA",AVERAGE(C80:E80))))</f>
        <v/>
      </c>
      <c r="M80" s="193"/>
      <c r="N80" s="193"/>
      <c r="O80" s="194" t="str">
        <f>IF(OR(ISTEXT(C80)=TRUE, C80=""),"",STDEV(C80:E80))</f>
        <v/>
      </c>
      <c r="P80" s="194"/>
      <c r="Q80" s="241">
        <v>9.9999999999999995E-7</v>
      </c>
      <c r="R80" s="241"/>
      <c r="S80" s="241">
        <f>'ACC CAL WITH GB - Method 6'!L63</f>
        <v>5.7999999999999995E-6</v>
      </c>
      <c r="T80" s="195"/>
      <c r="U80" s="195"/>
      <c r="V80" s="195"/>
      <c r="W80" s="195"/>
      <c r="X80" s="195"/>
      <c r="Y80" s="343"/>
      <c r="Z80" s="337">
        <v>7.3999999999999996E-5</v>
      </c>
      <c r="AA80" s="337">
        <v>5.0000000000000002E-5</v>
      </c>
      <c r="AB80" s="337">
        <v>9.3999999999999994E-5</v>
      </c>
      <c r="AC80" s="337">
        <v>6.3999999999999997E-5</v>
      </c>
      <c r="AD80" s="337">
        <f t="shared" si="20"/>
        <v>6.3999999999999997E-5</v>
      </c>
      <c r="AE80" s="19"/>
      <c r="AF80" s="19"/>
      <c r="AG80" s="19"/>
      <c r="AH80" s="19"/>
      <c r="AI80" s="19"/>
      <c r="AJ80" s="19"/>
    </row>
    <row r="81" spans="1:36" ht="25" customHeight="1">
      <c r="A81" s="362" t="s">
        <v>160</v>
      </c>
      <c r="B81" s="347">
        <v>-10</v>
      </c>
      <c r="C81" s="348"/>
      <c r="D81" s="348" t="str">
        <f t="shared" si="0"/>
        <v/>
      </c>
      <c r="E81" s="348" t="str">
        <f t="shared" si="0"/>
        <v/>
      </c>
      <c r="F81" s="347">
        <f>IF(B81="","",IFERROR(B81-H81,"NA"))</f>
        <v>-10.000057999999999</v>
      </c>
      <c r="G81" s="347">
        <f>IF(B81="","",IFERROR(B81+H81,"NA"))</f>
        <v>-9.9999420000000008</v>
      </c>
      <c r="H81" s="349">
        <f t="shared" si="19"/>
        <v>5.8E-5</v>
      </c>
      <c r="I81" s="19"/>
      <c r="J81" s="34"/>
      <c r="K81" s="191" t="str">
        <f>IF(OR(C81="NA",C81=""), "",COUNTA(C81:E81))</f>
        <v/>
      </c>
      <c r="L81" s="192" t="str">
        <f>IF(ISTEXT(C81)=TRUE, INDEX(C81:E81,MODE(MATCH(C81:E81,C81:E81,0))),IF(C81="","",IF(C81="NA","NA",AVERAGE(C81:E81))))</f>
        <v/>
      </c>
      <c r="M81" s="193"/>
      <c r="N81" s="193"/>
      <c r="O81" s="194" t="str">
        <f>IF(OR(ISTEXT(C81)=TRUE, C81=""),"",STDEV(C81:E81))</f>
        <v/>
      </c>
      <c r="P81" s="194"/>
      <c r="Q81" s="241">
        <v>9.9999999999999995E-7</v>
      </c>
      <c r="R81" s="241"/>
      <c r="S81" s="241">
        <f>'ACC CAL WITH GB - Method 6'!L64</f>
        <v>3.2500000000000004E-5</v>
      </c>
      <c r="T81" s="195"/>
      <c r="U81" s="195"/>
      <c r="V81" s="195"/>
      <c r="W81" s="195"/>
      <c r="X81" s="195"/>
      <c r="Y81" s="343"/>
      <c r="Z81" s="337">
        <v>5.0000000000000002E-5</v>
      </c>
      <c r="AA81" s="337">
        <v>4.6E-5</v>
      </c>
      <c r="AB81" s="337">
        <v>8.0000000000000007E-5</v>
      </c>
      <c r="AC81" s="337">
        <v>5.8E-5</v>
      </c>
      <c r="AD81" s="337">
        <f>IF(AD$31=1,Z81,IF(AD$31=2,AB81,IF(AD$31=3,AA81,AC81)))</f>
        <v>5.8E-5</v>
      </c>
      <c r="AE81" s="19"/>
      <c r="AF81" s="19"/>
      <c r="AG81" s="19"/>
      <c r="AH81" s="19"/>
      <c r="AI81" s="19"/>
      <c r="AJ81" s="19"/>
    </row>
    <row r="82" spans="1:36" ht="26.15" customHeight="1">
      <c r="C82" s="52"/>
      <c r="Z82" s="34"/>
      <c r="AA82" s="34"/>
      <c r="AB82" s="34"/>
      <c r="AC82" s="34"/>
      <c r="AD82" s="290"/>
      <c r="AE82" s="19"/>
      <c r="AF82" s="19"/>
      <c r="AG82" s="19"/>
      <c r="AH82" s="19"/>
      <c r="AI82" s="19"/>
      <c r="AJ82" s="19"/>
    </row>
    <row r="83" spans="1:36" ht="26.15" customHeight="1">
      <c r="A83" s="328" t="s">
        <v>161</v>
      </c>
      <c r="C83" s="230"/>
      <c r="D83" s="329"/>
      <c r="E83" s="329"/>
      <c r="H83" s="213"/>
      <c r="I83" s="214"/>
      <c r="J83" s="215"/>
      <c r="Z83" s="34"/>
      <c r="AA83" s="34"/>
      <c r="AB83" s="34"/>
      <c r="AC83" s="34"/>
      <c r="AD83" s="345"/>
      <c r="AE83" s="164"/>
      <c r="AF83" s="19"/>
      <c r="AG83" s="19"/>
      <c r="AH83" s="19"/>
      <c r="AI83" s="19"/>
      <c r="AJ83" s="19"/>
    </row>
    <row r="84" spans="1:36" s="231" customFormat="1" ht="19.75" customHeight="1">
      <c r="A84" s="76" t="s">
        <v>162</v>
      </c>
      <c r="B84" s="151"/>
      <c r="C84" s="230"/>
      <c r="D84" s="331"/>
      <c r="E84" s="331"/>
      <c r="F84" s="151"/>
      <c r="H84" s="53"/>
      <c r="I84" s="32"/>
      <c r="J84" s="232"/>
      <c r="K84" s="233"/>
      <c r="L84" s="234"/>
      <c r="M84" s="234"/>
      <c r="N84" s="234"/>
      <c r="O84" s="234"/>
      <c r="P84" s="234"/>
      <c r="Q84" s="234"/>
      <c r="R84" s="234"/>
      <c r="S84" s="234"/>
      <c r="T84" s="234"/>
      <c r="U84" s="234"/>
      <c r="V84" s="234"/>
      <c r="W84" s="234"/>
      <c r="X84" s="234"/>
      <c r="Y84" s="234"/>
      <c r="Z84" s="332"/>
      <c r="AA84" s="332"/>
      <c r="AB84" s="332"/>
      <c r="AC84" s="332"/>
      <c r="AD84" s="283"/>
    </row>
    <row r="85" spans="1:36" s="226" customFormat="1" ht="5.15" customHeight="1">
      <c r="A85" s="288"/>
      <c r="B85" s="225"/>
      <c r="C85" s="333"/>
      <c r="D85" s="225"/>
      <c r="E85" s="225"/>
      <c r="F85" s="225"/>
      <c r="H85" s="54"/>
      <c r="I85" s="227"/>
      <c r="J85" s="228"/>
      <c r="K85" s="229"/>
      <c r="L85" s="229"/>
      <c r="M85" s="229"/>
      <c r="N85" s="229"/>
      <c r="O85" s="229"/>
      <c r="P85" s="229"/>
      <c r="Q85" s="229"/>
      <c r="R85" s="229"/>
      <c r="S85" s="229"/>
      <c r="T85" s="229"/>
      <c r="U85" s="229"/>
      <c r="V85" s="229"/>
      <c r="W85" s="229"/>
      <c r="X85" s="229"/>
      <c r="Y85" s="229"/>
      <c r="Z85" s="334"/>
      <c r="AA85" s="334"/>
      <c r="AB85" s="334"/>
      <c r="AC85" s="334"/>
      <c r="AD85" s="335"/>
    </row>
    <row r="86" spans="1:36" ht="23.65" customHeight="1">
      <c r="A86" s="614" t="s">
        <v>163</v>
      </c>
      <c r="B86" s="616" t="s">
        <v>132</v>
      </c>
      <c r="C86" s="326"/>
      <c r="D86" s="327" t="s">
        <v>14</v>
      </c>
      <c r="E86" s="327"/>
      <c r="F86" s="616" t="s">
        <v>2</v>
      </c>
      <c r="G86" s="616" t="s">
        <v>3</v>
      </c>
      <c r="H86" s="627" t="s">
        <v>29</v>
      </c>
      <c r="I86" s="19"/>
      <c r="J86" s="33"/>
      <c r="K86" s="616" t="s">
        <v>98</v>
      </c>
      <c r="L86" s="616" t="s">
        <v>99</v>
      </c>
      <c r="M86" s="163"/>
      <c r="N86" s="163"/>
      <c r="O86" s="622" t="s">
        <v>113</v>
      </c>
      <c r="P86" s="623"/>
      <c r="Q86" s="623"/>
      <c r="R86" s="623"/>
      <c r="S86" s="623"/>
      <c r="T86" s="623"/>
      <c r="U86" s="623"/>
      <c r="V86" s="623"/>
      <c r="W86" s="623"/>
      <c r="X86" s="624"/>
      <c r="Y86" s="336"/>
      <c r="Z86" s="337"/>
      <c r="AA86" s="337" t="s">
        <v>149</v>
      </c>
      <c r="AB86" s="337"/>
      <c r="AC86" s="337" t="s">
        <v>150</v>
      </c>
      <c r="AD86" s="290"/>
      <c r="AE86" s="19"/>
      <c r="AF86" s="19"/>
      <c r="AG86" s="19"/>
      <c r="AH86" s="19"/>
      <c r="AI86" s="19"/>
      <c r="AJ86" s="19"/>
    </row>
    <row r="87" spans="1:36" ht="23.65" customHeight="1" thickBot="1">
      <c r="A87" s="615"/>
      <c r="B87" s="617"/>
      <c r="C87" s="198">
        <v>1</v>
      </c>
      <c r="D87" s="198">
        <v>2</v>
      </c>
      <c r="E87" s="198">
        <v>3</v>
      </c>
      <c r="F87" s="629"/>
      <c r="G87" s="617"/>
      <c r="H87" s="628"/>
      <c r="I87" s="19"/>
      <c r="J87" s="34"/>
      <c r="K87" s="625"/>
      <c r="L87" s="617"/>
      <c r="M87" s="163"/>
      <c r="N87" s="163"/>
      <c r="O87" s="199" t="s">
        <v>100</v>
      </c>
      <c r="P87" s="200" t="s">
        <v>101</v>
      </c>
      <c r="Q87" s="199" t="s">
        <v>102</v>
      </c>
      <c r="R87" s="200" t="s">
        <v>103</v>
      </c>
      <c r="S87" s="199" t="s">
        <v>219</v>
      </c>
      <c r="T87" s="201" t="s">
        <v>105</v>
      </c>
      <c r="U87" s="202" t="s">
        <v>106</v>
      </c>
      <c r="V87" s="202" t="s">
        <v>107</v>
      </c>
      <c r="W87" s="202" t="s">
        <v>108</v>
      </c>
      <c r="X87" s="203" t="s">
        <v>109</v>
      </c>
      <c r="Y87" s="336"/>
      <c r="Z87" s="338" t="s">
        <v>141</v>
      </c>
      <c r="AA87" s="338" t="s">
        <v>151</v>
      </c>
      <c r="AB87" s="338" t="s">
        <v>141</v>
      </c>
      <c r="AC87" s="338" t="s">
        <v>151</v>
      </c>
      <c r="AD87" s="338" t="s">
        <v>152</v>
      </c>
      <c r="AE87" s="19"/>
      <c r="AF87" s="19"/>
      <c r="AG87" s="19"/>
      <c r="AH87" s="19"/>
      <c r="AI87" s="19"/>
      <c r="AJ87" s="19"/>
    </row>
    <row r="88" spans="1:36" ht="25" customHeight="1" thickTop="1">
      <c r="A88" s="363" t="s">
        <v>164</v>
      </c>
      <c r="B88" s="364">
        <v>100</v>
      </c>
      <c r="C88" s="365"/>
      <c r="D88" s="365" t="str">
        <f t="shared" si="0"/>
        <v/>
      </c>
      <c r="E88" s="365" t="str">
        <f t="shared" si="0"/>
        <v/>
      </c>
      <c r="F88" s="364">
        <f>IF(B88="","",IFERROR(B88-H88,"NA"))</f>
        <v>99.9</v>
      </c>
      <c r="G88" s="364">
        <f>IF(B88="","",IFERROR(B88+H88,"NA"))</f>
        <v>100.1</v>
      </c>
      <c r="H88" s="342">
        <f t="shared" ref="H88:H306" si="21">AD88</f>
        <v>0.1</v>
      </c>
      <c r="I88" s="19"/>
      <c r="J88" s="34"/>
      <c r="K88" s="191" t="str">
        <f>IF(OR(C88="NA",C88=""), "",COUNTA(C88:E88))</f>
        <v/>
      </c>
      <c r="L88" s="192" t="str">
        <f>IF(ISTEXT(C88)=TRUE, INDEX(C88:E88,MODE(MATCH(C88:E88,C88:E88,0))),IF(C88="","",IF(C88="NA","NA",AVERAGE(C88:E88))))</f>
        <v/>
      </c>
      <c r="M88" s="193"/>
      <c r="N88" s="193"/>
      <c r="O88" s="194" t="str">
        <f>IF(OR(ISTEXT(C88)=TRUE, C88=""),"",STDEV(C88:E88))</f>
        <v/>
      </c>
      <c r="P88" s="194"/>
      <c r="Q88" s="241">
        <v>1E-4</v>
      </c>
      <c r="R88" s="241"/>
      <c r="S88" s="241">
        <f>'ACC CAL WITH GB - Method 6'!L71</f>
        <v>3.7000000000000005E-2</v>
      </c>
      <c r="T88" s="195"/>
      <c r="U88" s="195"/>
      <c r="V88" s="195"/>
      <c r="W88" s="195"/>
      <c r="X88" s="195"/>
      <c r="Y88" s="343"/>
      <c r="Z88" s="366">
        <v>0.09</v>
      </c>
      <c r="AA88" s="366">
        <v>0.09</v>
      </c>
      <c r="AB88" s="366">
        <v>0.1</v>
      </c>
      <c r="AC88" s="366">
        <v>0.1</v>
      </c>
      <c r="AD88" s="337">
        <f t="shared" ref="AD88:AD92" si="22">IF(AD$31=1,Z88,IF(AD$31=2,AB88,IF(AD$31=3,AA88,AC88)))</f>
        <v>0.1</v>
      </c>
      <c r="AE88" s="19"/>
      <c r="AF88" s="19"/>
      <c r="AG88" s="19"/>
      <c r="AH88" s="19"/>
      <c r="AI88" s="19"/>
      <c r="AJ88" s="19"/>
    </row>
    <row r="89" spans="1:36" ht="25" customHeight="1">
      <c r="A89" s="363" t="s">
        <v>165</v>
      </c>
      <c r="B89" s="364">
        <v>100</v>
      </c>
      <c r="C89" s="365"/>
      <c r="D89" s="365" t="str">
        <f t="shared" si="0"/>
        <v/>
      </c>
      <c r="E89" s="365" t="str">
        <f t="shared" si="0"/>
        <v/>
      </c>
      <c r="F89" s="364">
        <f>IF(B89="","",IFERROR(B89-H89,"NA"))</f>
        <v>99.9</v>
      </c>
      <c r="G89" s="364">
        <f>IF(B89="","",IFERROR(B89+H89,"NA"))</f>
        <v>100.1</v>
      </c>
      <c r="H89" s="342">
        <f t="shared" si="21"/>
        <v>0.1</v>
      </c>
      <c r="I89" s="19"/>
      <c r="J89" s="34"/>
      <c r="K89" s="191" t="str">
        <f>IF(OR(C89="NA",C89=""), "",COUNTA(C89:E89))</f>
        <v/>
      </c>
      <c r="L89" s="192" t="str">
        <f>IF(ISTEXT(C89)=TRUE, INDEX(C89:E89,MODE(MATCH(C89:E89,C89:E89,0))),IF(C89="","",IF(C89="NA","NA",AVERAGE(C89:E89))))</f>
        <v/>
      </c>
      <c r="M89" s="193"/>
      <c r="N89" s="193"/>
      <c r="O89" s="194" t="str">
        <f>IF(OR(ISTEXT(C89)=TRUE, C89=""),"",STDEV(C89:E89))</f>
        <v/>
      </c>
      <c r="P89" s="194"/>
      <c r="Q89" s="241">
        <v>1E-4</v>
      </c>
      <c r="R89" s="241"/>
      <c r="S89" s="241">
        <f>'ACC CAL WITH GB - Method 6'!L72</f>
        <v>1.5599999999999999E-2</v>
      </c>
      <c r="T89" s="195"/>
      <c r="U89" s="195"/>
      <c r="V89" s="195"/>
      <c r="W89" s="195"/>
      <c r="X89" s="195"/>
      <c r="Y89" s="343"/>
      <c r="Z89" s="366">
        <v>0.09</v>
      </c>
      <c r="AA89" s="366">
        <v>0.09</v>
      </c>
      <c r="AB89" s="366">
        <v>0.1</v>
      </c>
      <c r="AC89" s="366">
        <v>0.1</v>
      </c>
      <c r="AD89" s="337">
        <f t="shared" si="22"/>
        <v>0.1</v>
      </c>
      <c r="AE89" s="19"/>
      <c r="AF89" s="19"/>
      <c r="AG89" s="19"/>
      <c r="AH89" s="19"/>
      <c r="AI89" s="19"/>
      <c r="AJ89" s="19"/>
    </row>
    <row r="90" spans="1:36" ht="25" customHeight="1">
      <c r="A90" s="363" t="s">
        <v>166</v>
      </c>
      <c r="B90" s="364">
        <v>100</v>
      </c>
      <c r="C90" s="365"/>
      <c r="D90" s="365" t="str">
        <f t="shared" si="0"/>
        <v/>
      </c>
      <c r="E90" s="365" t="str">
        <f t="shared" si="0"/>
        <v/>
      </c>
      <c r="F90" s="364">
        <f>IF(B90="","",IFERROR(B90-H90,"NA"))</f>
        <v>99.83</v>
      </c>
      <c r="G90" s="364">
        <f>IF(B90="","",IFERROR(B90+H90,"NA"))</f>
        <v>100.17</v>
      </c>
      <c r="H90" s="342">
        <f t="shared" si="21"/>
        <v>0.17</v>
      </c>
      <c r="I90" s="19"/>
      <c r="J90" s="34"/>
      <c r="K90" s="191" t="str">
        <f>IF(OR(C90="NA",C90=""), "",COUNTA(C90:E90))</f>
        <v/>
      </c>
      <c r="L90" s="192" t="str">
        <f>IF(ISTEXT(C90)=TRUE, INDEX(C90:E90,MODE(MATCH(C90:E90,C90:E90,0))),IF(C90="","",IF(C90="NA","NA",AVERAGE(C90:E90))))</f>
        <v/>
      </c>
      <c r="M90" s="193"/>
      <c r="N90" s="193"/>
      <c r="O90" s="194" t="str">
        <f>IF(OR(ISTEXT(C90)=TRUE, C90=""),"",STDEV(C90:E90))</f>
        <v/>
      </c>
      <c r="P90" s="194"/>
      <c r="Q90" s="241">
        <v>1E-4</v>
      </c>
      <c r="R90" s="241"/>
      <c r="S90" s="241">
        <f>'ACC CAL WITH GB - Method 6'!L73</f>
        <v>2.76E-2</v>
      </c>
      <c r="T90" s="195"/>
      <c r="U90" s="195"/>
      <c r="V90" s="195"/>
      <c r="W90" s="195"/>
      <c r="X90" s="195"/>
      <c r="Y90" s="343"/>
      <c r="Z90" s="366">
        <v>0.16</v>
      </c>
      <c r="AA90" s="366">
        <v>0.16</v>
      </c>
      <c r="AB90" s="366">
        <v>0.17</v>
      </c>
      <c r="AC90" s="366">
        <v>0.17</v>
      </c>
      <c r="AD90" s="337">
        <f t="shared" si="22"/>
        <v>0.17</v>
      </c>
      <c r="AE90" s="19"/>
      <c r="AF90" s="19"/>
      <c r="AG90" s="19"/>
      <c r="AH90" s="19"/>
      <c r="AI90" s="19"/>
      <c r="AJ90" s="19"/>
    </row>
    <row r="91" spans="1:36" ht="25" customHeight="1">
      <c r="A91" s="363" t="s">
        <v>167</v>
      </c>
      <c r="B91" s="364">
        <v>100</v>
      </c>
      <c r="C91" s="365"/>
      <c r="D91" s="365" t="str">
        <f t="shared" si="0"/>
        <v/>
      </c>
      <c r="E91" s="365" t="str">
        <f t="shared" si="0"/>
        <v/>
      </c>
      <c r="F91" s="364">
        <f>IF(B91="","",IFERROR(B91-H91,"NA"))</f>
        <v>99.32</v>
      </c>
      <c r="G91" s="364">
        <f>IF(B91="","",IFERROR(B91+H91,"NA"))</f>
        <v>100.68</v>
      </c>
      <c r="H91" s="342">
        <f t="shared" si="21"/>
        <v>0.68</v>
      </c>
      <c r="I91" s="19"/>
      <c r="J91" s="34"/>
      <c r="K91" s="191" t="str">
        <f>IF(OR(C91="NA",C91=""), "",COUNTA(C91:E91))</f>
        <v/>
      </c>
      <c r="L91" s="192" t="str">
        <f>IF(ISTEXT(C91)=TRUE, INDEX(C91:E91,MODE(MATCH(C91:E91,C91:E91,0))),IF(C91="","",IF(C91="NA","NA",AVERAGE(C91:E91))))</f>
        <v/>
      </c>
      <c r="M91" s="193"/>
      <c r="N91" s="193"/>
      <c r="O91" s="194" t="str">
        <f>IF(OR(ISTEXT(C91)=TRUE, C91=""),"",STDEV(C91:E91))</f>
        <v/>
      </c>
      <c r="P91" s="194"/>
      <c r="Q91" s="241">
        <v>1E-4</v>
      </c>
      <c r="R91" s="241"/>
      <c r="S91" s="241">
        <f>'ACC CAL WITH GB - Method 6'!L74</f>
        <v>6.4799999999999996E-2</v>
      </c>
      <c r="T91" s="195"/>
      <c r="U91" s="195"/>
      <c r="V91" s="195"/>
      <c r="W91" s="195"/>
      <c r="X91" s="195"/>
      <c r="Y91" s="343"/>
      <c r="Z91" s="366">
        <v>0.68</v>
      </c>
      <c r="AA91" s="366">
        <v>0.68</v>
      </c>
      <c r="AB91" s="366">
        <v>0.68</v>
      </c>
      <c r="AC91" s="366">
        <v>0.68</v>
      </c>
      <c r="AD91" s="337">
        <f t="shared" si="22"/>
        <v>0.68</v>
      </c>
      <c r="AE91" s="19"/>
      <c r="AF91" s="19"/>
      <c r="AG91" s="19"/>
      <c r="AH91" s="19"/>
      <c r="AI91" s="19"/>
      <c r="AJ91" s="19"/>
    </row>
    <row r="92" spans="1:36" ht="25" customHeight="1">
      <c r="A92" s="363" t="s">
        <v>168</v>
      </c>
      <c r="B92" s="364">
        <v>100</v>
      </c>
      <c r="C92" s="365"/>
      <c r="D92" s="365" t="str">
        <f t="shared" si="0"/>
        <v/>
      </c>
      <c r="E92" s="365" t="str">
        <f t="shared" si="0"/>
        <v/>
      </c>
      <c r="F92" s="364">
        <f>IF(B92="","",IFERROR(B92-H92,"NA"))</f>
        <v>95.5</v>
      </c>
      <c r="G92" s="364">
        <f>IF(B92="","",IFERROR(B92+H92,"NA"))</f>
        <v>104.5</v>
      </c>
      <c r="H92" s="342">
        <f t="shared" si="21"/>
        <v>4.5</v>
      </c>
      <c r="I92" s="19"/>
      <c r="J92" s="34"/>
      <c r="K92" s="191" t="str">
        <f>IF(OR(C92="NA",C92=""), "",COUNTA(C92:E92))</f>
        <v/>
      </c>
      <c r="L92" s="192" t="str">
        <f>IF(ISTEXT(C92)=TRUE, INDEX(C92:E92,MODE(MATCH(C92:E92,C92:E92,0))),IF(C92="","",IF(C92="NA","NA",AVERAGE(C92:E92))))</f>
        <v/>
      </c>
      <c r="M92" s="193"/>
      <c r="N92" s="193"/>
      <c r="O92" s="194" t="str">
        <f>IF(OR(ISTEXT(C92)=TRUE, C92=""),"",STDEV(C92:E92))</f>
        <v/>
      </c>
      <c r="P92" s="194"/>
      <c r="Q92" s="241">
        <v>1E-4</v>
      </c>
      <c r="R92" s="241"/>
      <c r="S92" s="241">
        <f>'ACC CAL WITH GB - Method 6'!L75</f>
        <v>0.1053</v>
      </c>
      <c r="T92" s="195"/>
      <c r="U92" s="195"/>
      <c r="V92" s="195"/>
      <c r="W92" s="195"/>
      <c r="X92" s="195"/>
      <c r="Y92" s="343"/>
      <c r="Z92" s="366">
        <v>4.5</v>
      </c>
      <c r="AA92" s="366">
        <v>4.5</v>
      </c>
      <c r="AB92" s="366">
        <v>4.5</v>
      </c>
      <c r="AC92" s="366">
        <v>4.5</v>
      </c>
      <c r="AD92" s="337">
        <f t="shared" si="22"/>
        <v>4.5</v>
      </c>
      <c r="AE92" s="19"/>
      <c r="AF92" s="19"/>
      <c r="AG92" s="19"/>
      <c r="AH92" s="19"/>
      <c r="AI92" s="19"/>
      <c r="AJ92" s="19"/>
    </row>
    <row r="93" spans="1:36" ht="26.15" customHeight="1">
      <c r="A93" s="328"/>
      <c r="C93" s="230"/>
      <c r="D93" s="329"/>
      <c r="E93" s="329"/>
      <c r="H93" s="213"/>
      <c r="I93" s="214"/>
      <c r="J93" s="215"/>
      <c r="Z93" s="34"/>
      <c r="AA93" s="34"/>
      <c r="AB93" s="34"/>
      <c r="AC93" s="34"/>
      <c r="AD93" s="34"/>
      <c r="AE93" s="164"/>
      <c r="AF93" s="19"/>
      <c r="AG93" s="19"/>
      <c r="AH93" s="19"/>
      <c r="AI93" s="19"/>
      <c r="AJ93" s="19"/>
    </row>
    <row r="94" spans="1:36" s="231" customFormat="1" ht="19.75" customHeight="1">
      <c r="A94" s="76" t="s">
        <v>169</v>
      </c>
      <c r="B94" s="151"/>
      <c r="C94" s="230"/>
      <c r="D94" s="331"/>
      <c r="E94" s="331"/>
      <c r="F94" s="151"/>
      <c r="H94" s="53"/>
      <c r="I94" s="32"/>
      <c r="J94" s="232"/>
      <c r="K94" s="233"/>
      <c r="L94" s="234"/>
      <c r="M94" s="234"/>
      <c r="N94" s="234"/>
      <c r="O94" s="234"/>
      <c r="P94" s="234"/>
      <c r="Q94" s="234"/>
      <c r="R94" s="234"/>
      <c r="S94" s="234"/>
      <c r="T94" s="234"/>
      <c r="U94" s="234"/>
      <c r="V94" s="234"/>
      <c r="W94" s="234"/>
      <c r="X94" s="234"/>
      <c r="Y94" s="234"/>
      <c r="Z94" s="332"/>
      <c r="AA94" s="332"/>
      <c r="AB94" s="332"/>
      <c r="AC94" s="332"/>
      <c r="AD94" s="283"/>
    </row>
    <row r="95" spans="1:36" s="226" customFormat="1" ht="5.15" customHeight="1">
      <c r="A95" s="288"/>
      <c r="B95" s="225"/>
      <c r="C95" s="333"/>
      <c r="D95" s="225"/>
      <c r="E95" s="225"/>
      <c r="F95" s="225"/>
      <c r="H95" s="54"/>
      <c r="I95" s="227"/>
      <c r="J95" s="228"/>
      <c r="K95" s="229"/>
      <c r="L95" s="229"/>
      <c r="M95" s="229"/>
      <c r="N95" s="229"/>
      <c r="O95" s="229"/>
      <c r="P95" s="229"/>
      <c r="Q95" s="229"/>
      <c r="R95" s="229"/>
      <c r="S95" s="229"/>
      <c r="T95" s="229"/>
      <c r="U95" s="229"/>
      <c r="V95" s="229"/>
      <c r="W95" s="229"/>
      <c r="X95" s="229"/>
      <c r="Y95" s="229"/>
      <c r="Z95" s="334"/>
      <c r="AA95" s="334"/>
      <c r="AB95" s="334"/>
      <c r="AC95" s="334"/>
      <c r="AD95" s="335"/>
    </row>
    <row r="96" spans="1:36" ht="23.65" customHeight="1">
      <c r="A96" s="614" t="s">
        <v>163</v>
      </c>
      <c r="B96" s="616" t="s">
        <v>132</v>
      </c>
      <c r="C96" s="326"/>
      <c r="D96" s="327" t="s">
        <v>14</v>
      </c>
      <c r="E96" s="327"/>
      <c r="F96" s="616" t="s">
        <v>2</v>
      </c>
      <c r="G96" s="616" t="s">
        <v>3</v>
      </c>
      <c r="H96" s="627" t="s">
        <v>29</v>
      </c>
      <c r="I96" s="19"/>
      <c r="J96" s="33"/>
      <c r="K96" s="616" t="s">
        <v>98</v>
      </c>
      <c r="L96" s="616" t="s">
        <v>99</v>
      </c>
      <c r="M96" s="163"/>
      <c r="N96" s="163"/>
      <c r="O96" s="622" t="s">
        <v>113</v>
      </c>
      <c r="P96" s="623"/>
      <c r="Q96" s="623"/>
      <c r="R96" s="623"/>
      <c r="S96" s="623"/>
      <c r="T96" s="623"/>
      <c r="U96" s="623"/>
      <c r="V96" s="623"/>
      <c r="W96" s="623"/>
      <c r="X96" s="624"/>
      <c r="Y96" s="336"/>
      <c r="Z96" s="337"/>
      <c r="AA96" s="337" t="s">
        <v>149</v>
      </c>
      <c r="AB96" s="337"/>
      <c r="AC96" s="337" t="s">
        <v>150</v>
      </c>
      <c r="AD96" s="290"/>
      <c r="AE96" s="19"/>
      <c r="AF96" s="19"/>
      <c r="AG96" s="19"/>
      <c r="AH96" s="19"/>
      <c r="AI96" s="19"/>
      <c r="AJ96" s="19"/>
    </row>
    <row r="97" spans="1:36" ht="23.65" customHeight="1" thickBot="1">
      <c r="A97" s="615"/>
      <c r="B97" s="617"/>
      <c r="C97" s="198">
        <v>1</v>
      </c>
      <c r="D97" s="198">
        <v>2</v>
      </c>
      <c r="E97" s="198">
        <v>3</v>
      </c>
      <c r="F97" s="629"/>
      <c r="G97" s="617"/>
      <c r="H97" s="628"/>
      <c r="I97" s="19"/>
      <c r="J97" s="34"/>
      <c r="K97" s="625"/>
      <c r="L97" s="617"/>
      <c r="M97" s="163"/>
      <c r="N97" s="163"/>
      <c r="O97" s="199" t="s">
        <v>100</v>
      </c>
      <c r="P97" s="200" t="s">
        <v>101</v>
      </c>
      <c r="Q97" s="199" t="s">
        <v>102</v>
      </c>
      <c r="R97" s="200" t="s">
        <v>103</v>
      </c>
      <c r="S97" s="199" t="s">
        <v>219</v>
      </c>
      <c r="T97" s="201" t="s">
        <v>105</v>
      </c>
      <c r="U97" s="202" t="s">
        <v>106</v>
      </c>
      <c r="V97" s="202" t="s">
        <v>107</v>
      </c>
      <c r="W97" s="202" t="s">
        <v>108</v>
      </c>
      <c r="X97" s="203" t="s">
        <v>109</v>
      </c>
      <c r="Y97" s="336"/>
      <c r="Z97" s="338" t="s">
        <v>141</v>
      </c>
      <c r="AA97" s="338" t="s">
        <v>151</v>
      </c>
      <c r="AB97" s="338" t="s">
        <v>141</v>
      </c>
      <c r="AC97" s="338" t="s">
        <v>151</v>
      </c>
      <c r="AD97" s="338" t="s">
        <v>152</v>
      </c>
      <c r="AE97" s="19"/>
      <c r="AF97" s="19"/>
      <c r="AG97" s="19"/>
      <c r="AH97" s="19"/>
      <c r="AI97" s="19"/>
      <c r="AJ97" s="19"/>
    </row>
    <row r="98" spans="1:36" ht="25" customHeight="1" thickTop="1">
      <c r="A98" s="363" t="s">
        <v>164</v>
      </c>
      <c r="B98" s="355">
        <v>1</v>
      </c>
      <c r="C98" s="356"/>
      <c r="D98" s="356" t="str">
        <f t="shared" si="0"/>
        <v/>
      </c>
      <c r="E98" s="356" t="str">
        <f t="shared" si="0"/>
        <v/>
      </c>
      <c r="F98" s="355">
        <f>IF(B98="","",IFERROR(B98-H98,"NA"))</f>
        <v>0.99909999999999999</v>
      </c>
      <c r="G98" s="355">
        <f>IF(B98="","",IFERROR(B98+H98,"NA"))</f>
        <v>1.0008999999999999</v>
      </c>
      <c r="H98" s="349">
        <f t="shared" si="21"/>
        <v>8.9999999999999998E-4</v>
      </c>
      <c r="I98" s="19"/>
      <c r="J98" s="34"/>
      <c r="K98" s="191" t="str">
        <f>IF(OR(C98="NA",C98=""), "",COUNTA(C98:E98))</f>
        <v/>
      </c>
      <c r="L98" s="192" t="str">
        <f>IF(ISTEXT(C98)=TRUE, INDEX(C98:E98,MODE(MATCH(C98:E98,C98:E98,0))),IF(C98="","",IF(C98="NA","NA",AVERAGE(C98:E98))))</f>
        <v/>
      </c>
      <c r="M98" s="193"/>
      <c r="N98" s="193"/>
      <c r="O98" s="194" t="str">
        <f>IF(OR(ISTEXT(C98)=TRUE, C98=""),"",STDEV(C98:E98))</f>
        <v/>
      </c>
      <c r="P98" s="194"/>
      <c r="Q98" s="241">
        <v>9.9999999999999995E-7</v>
      </c>
      <c r="R98" s="241"/>
      <c r="S98" s="241">
        <f>'ACC CAL WITH GB - Method 6'!L81</f>
        <v>2.92E-4</v>
      </c>
      <c r="T98" s="195"/>
      <c r="U98" s="195"/>
      <c r="V98" s="195"/>
      <c r="W98" s="195"/>
      <c r="X98" s="195"/>
      <c r="Y98" s="343"/>
      <c r="Z98" s="337">
        <v>8.0000000000000004E-4</v>
      </c>
      <c r="AA98" s="337">
        <v>8.0000000000000004E-4</v>
      </c>
      <c r="AB98" s="337">
        <v>8.9999999999999998E-4</v>
      </c>
      <c r="AC98" s="337">
        <v>8.9999999999999998E-4</v>
      </c>
      <c r="AD98" s="337">
        <f t="shared" ref="AD98:AD102" si="23">IF(AD$31=1,Z98,IF(AD$31=2,AB98,IF(AD$31=3,AA98,AC98)))</f>
        <v>8.9999999999999998E-4</v>
      </c>
      <c r="AE98" s="19"/>
      <c r="AF98" s="19"/>
      <c r="AG98" s="19"/>
      <c r="AH98" s="19"/>
      <c r="AI98" s="19"/>
      <c r="AJ98" s="19"/>
    </row>
    <row r="99" spans="1:36" ht="25" customHeight="1">
      <c r="A99" s="363" t="s">
        <v>165</v>
      </c>
      <c r="B99" s="355">
        <v>1</v>
      </c>
      <c r="C99" s="356"/>
      <c r="D99" s="356" t="str">
        <f t="shared" si="0"/>
        <v/>
      </c>
      <c r="E99" s="356" t="str">
        <f t="shared" si="0"/>
        <v/>
      </c>
      <c r="F99" s="355">
        <f>IF(B99="","",IFERROR(B99-H99,"NA"))</f>
        <v>0.99909999999999999</v>
      </c>
      <c r="G99" s="355">
        <f>IF(B99="","",IFERROR(B99+H99,"NA"))</f>
        <v>1.0008999999999999</v>
      </c>
      <c r="H99" s="349">
        <f t="shared" si="21"/>
        <v>8.9999999999999998E-4</v>
      </c>
      <c r="I99" s="19"/>
      <c r="J99" s="34"/>
      <c r="K99" s="191" t="str">
        <f>IF(OR(C99="NA",C99=""), "",COUNTA(C99:E99))</f>
        <v/>
      </c>
      <c r="L99" s="192" t="str">
        <f>IF(ISTEXT(C99)=TRUE, INDEX(C99:E99,MODE(MATCH(C99:E99,C99:E99,0))),IF(C99="","",IF(C99="NA","NA",AVERAGE(C99:E99))))</f>
        <v/>
      </c>
      <c r="M99" s="193"/>
      <c r="N99" s="193"/>
      <c r="O99" s="194" t="str">
        <f>IF(OR(ISTEXT(C99)=TRUE, C99=""),"",STDEV(C99:E99))</f>
        <v/>
      </c>
      <c r="P99" s="194"/>
      <c r="Q99" s="241">
        <v>9.9999999999999995E-7</v>
      </c>
      <c r="R99" s="241"/>
      <c r="S99" s="241">
        <f>'ACC CAL WITH GB - Method 6'!L82</f>
        <v>6.3E-5</v>
      </c>
      <c r="T99" s="195"/>
      <c r="U99" s="195"/>
      <c r="V99" s="195"/>
      <c r="W99" s="195"/>
      <c r="X99" s="195"/>
      <c r="Y99" s="343"/>
      <c r="Z99" s="337">
        <v>8.0000000000000004E-4</v>
      </c>
      <c r="AA99" s="337">
        <v>8.0000000000000004E-4</v>
      </c>
      <c r="AB99" s="337">
        <v>8.9999999999999998E-4</v>
      </c>
      <c r="AC99" s="337">
        <v>8.9999999999999998E-4</v>
      </c>
      <c r="AD99" s="337">
        <f t="shared" si="23"/>
        <v>8.9999999999999998E-4</v>
      </c>
      <c r="AE99" s="19"/>
      <c r="AF99" s="19"/>
      <c r="AG99" s="19"/>
      <c r="AH99" s="19"/>
      <c r="AI99" s="19"/>
      <c r="AJ99" s="19"/>
    </row>
    <row r="100" spans="1:36" ht="25" customHeight="1">
      <c r="A100" s="363" t="s">
        <v>166</v>
      </c>
      <c r="B100" s="355">
        <v>1</v>
      </c>
      <c r="C100" s="356"/>
      <c r="D100" s="356" t="str">
        <f t="shared" si="0"/>
        <v/>
      </c>
      <c r="E100" s="356" t="str">
        <f t="shared" si="0"/>
        <v/>
      </c>
      <c r="F100" s="355">
        <f>IF(B100="","",IFERROR(B100-H100,"NA"))</f>
        <v>0.99829999999999997</v>
      </c>
      <c r="G100" s="355">
        <f>IF(B100="","",IFERROR(B100+H100,"NA"))</f>
        <v>1.0017</v>
      </c>
      <c r="H100" s="349">
        <f t="shared" si="21"/>
        <v>1.6999999999999999E-3</v>
      </c>
      <c r="I100" s="19"/>
      <c r="J100" s="34"/>
      <c r="K100" s="191" t="str">
        <f>IF(OR(C100="NA",C100=""), "",COUNTA(C100:E100))</f>
        <v/>
      </c>
      <c r="L100" s="192" t="str">
        <f>IF(ISTEXT(C100)=TRUE, INDEX(C100:E100,MODE(MATCH(C100:E100,C100:E100,0))),IF(C100="","",IF(C100="NA","NA",AVERAGE(C100:E100))))</f>
        <v/>
      </c>
      <c r="M100" s="193"/>
      <c r="N100" s="193"/>
      <c r="O100" s="194" t="str">
        <f>IF(OR(ISTEXT(C100)=TRUE, C100=""),"",STDEV(C100:E100))</f>
        <v/>
      </c>
      <c r="P100" s="194"/>
      <c r="Q100" s="241">
        <v>9.9999999999999995E-7</v>
      </c>
      <c r="R100" s="241"/>
      <c r="S100" s="241">
        <f>'ACC CAL WITH GB - Method 6'!L83</f>
        <v>9.5000000000000005E-5</v>
      </c>
      <c r="T100" s="195"/>
      <c r="U100" s="195"/>
      <c r="V100" s="195"/>
      <c r="W100" s="195"/>
      <c r="X100" s="195"/>
      <c r="Y100" s="343"/>
      <c r="Z100" s="337">
        <v>1.6000000000000001E-3</v>
      </c>
      <c r="AA100" s="337">
        <v>1.6000000000000001E-3</v>
      </c>
      <c r="AB100" s="337">
        <v>1.6999999999999999E-3</v>
      </c>
      <c r="AC100" s="337">
        <v>1.6999999999999999E-3</v>
      </c>
      <c r="AD100" s="337">
        <f t="shared" si="23"/>
        <v>1.6999999999999999E-3</v>
      </c>
      <c r="AE100" s="19"/>
      <c r="AF100" s="19"/>
      <c r="AG100" s="19"/>
      <c r="AH100" s="19"/>
      <c r="AI100" s="19"/>
      <c r="AJ100" s="19"/>
    </row>
    <row r="101" spans="1:36" ht="25" customHeight="1">
      <c r="A101" s="363" t="s">
        <v>167</v>
      </c>
      <c r="B101" s="355">
        <v>1</v>
      </c>
      <c r="C101" s="356"/>
      <c r="D101" s="356" t="str">
        <f t="shared" si="0"/>
        <v/>
      </c>
      <c r="E101" s="356" t="str">
        <f t="shared" si="0"/>
        <v/>
      </c>
      <c r="F101" s="355">
        <f>IF(B101="","",IFERROR(B101-H101,"NA"))</f>
        <v>0.99319999999999997</v>
      </c>
      <c r="G101" s="355">
        <f>IF(B101="","",IFERROR(B101+H101,"NA"))</f>
        <v>1.0067999999999999</v>
      </c>
      <c r="H101" s="349">
        <f t="shared" si="21"/>
        <v>6.7999999999999996E-3</v>
      </c>
      <c r="I101" s="19"/>
      <c r="J101" s="34"/>
      <c r="K101" s="191" t="str">
        <f>IF(OR(C101="NA",C101=""), "",COUNTA(C101:E101))</f>
        <v/>
      </c>
      <c r="L101" s="192" t="str">
        <f>IF(ISTEXT(C101)=TRUE, INDEX(C101:E101,MODE(MATCH(C101:E101,C101:E101,0))),IF(C101="","",IF(C101="NA","NA",AVERAGE(C101:E101))))</f>
        <v/>
      </c>
      <c r="M101" s="193"/>
      <c r="N101" s="193"/>
      <c r="O101" s="194" t="str">
        <f>IF(OR(ISTEXT(C101)=TRUE, C101=""),"",STDEV(C101:E101))</f>
        <v/>
      </c>
      <c r="P101" s="194"/>
      <c r="Q101" s="241">
        <v>9.9999999999999995E-7</v>
      </c>
      <c r="R101" s="241"/>
      <c r="S101" s="241">
        <f>'ACC CAL WITH GB - Method 6'!L84</f>
        <v>1.5300000000000001E-4</v>
      </c>
      <c r="T101" s="195"/>
      <c r="U101" s="195"/>
      <c r="V101" s="195"/>
      <c r="W101" s="195"/>
      <c r="X101" s="195"/>
      <c r="Y101" s="343"/>
      <c r="Z101" s="337">
        <v>6.7999999999999996E-3</v>
      </c>
      <c r="AA101" s="337">
        <v>6.7999999999999996E-3</v>
      </c>
      <c r="AB101" s="337">
        <v>6.7999999999999996E-3</v>
      </c>
      <c r="AC101" s="337">
        <v>6.7999999999999996E-3</v>
      </c>
      <c r="AD101" s="337">
        <f t="shared" si="23"/>
        <v>6.7999999999999996E-3</v>
      </c>
      <c r="AE101" s="19"/>
      <c r="AF101" s="19"/>
      <c r="AG101" s="19"/>
      <c r="AH101" s="19"/>
      <c r="AI101" s="19"/>
      <c r="AJ101" s="19"/>
    </row>
    <row r="102" spans="1:36" ht="25" customHeight="1">
      <c r="A102" s="363" t="s">
        <v>168</v>
      </c>
      <c r="B102" s="355">
        <v>1</v>
      </c>
      <c r="C102" s="356"/>
      <c r="D102" s="356" t="str">
        <f t="shared" si="0"/>
        <v/>
      </c>
      <c r="E102" s="356" t="str">
        <f t="shared" si="0"/>
        <v/>
      </c>
      <c r="F102" s="355">
        <f>IF(B102="","",IFERROR(B102-H102,"NA"))</f>
        <v>0.95499999999999996</v>
      </c>
      <c r="G102" s="355">
        <f>IF(B102="","",IFERROR(B102+H102,"NA"))</f>
        <v>1.0449999999999999</v>
      </c>
      <c r="H102" s="349">
        <f t="shared" si="21"/>
        <v>4.4999999999999998E-2</v>
      </c>
      <c r="I102" s="19"/>
      <c r="J102" s="34"/>
      <c r="K102" s="191" t="str">
        <f>IF(OR(C102="NA",C102=""), "",COUNTA(C102:E102))</f>
        <v/>
      </c>
      <c r="L102" s="192" t="str">
        <f>IF(ISTEXT(C102)=TRUE, INDEX(C102:E102,MODE(MATCH(C102:E102,C102:E102,0))),IF(C102="","",IF(C102="NA","NA",AVERAGE(C102:E102))))</f>
        <v/>
      </c>
      <c r="M102" s="193"/>
      <c r="N102" s="193"/>
      <c r="O102" s="194" t="str">
        <f>IF(OR(ISTEXT(C102)=TRUE, C102=""),"",STDEV(C102:E102))</f>
        <v/>
      </c>
      <c r="P102" s="194"/>
      <c r="Q102" s="241">
        <v>9.9999999999999995E-7</v>
      </c>
      <c r="R102" s="241"/>
      <c r="S102" s="241">
        <f>'ACC CAL WITH GB - Method 6'!L85</f>
        <v>4.66E-4</v>
      </c>
      <c r="T102" s="195"/>
      <c r="U102" s="195"/>
      <c r="V102" s="195"/>
      <c r="W102" s="195"/>
      <c r="X102" s="195"/>
      <c r="Y102" s="343"/>
      <c r="Z102" s="337">
        <v>4.4999999999999998E-2</v>
      </c>
      <c r="AA102" s="337">
        <v>4.4999999999999998E-2</v>
      </c>
      <c r="AB102" s="337">
        <v>4.4999999999999998E-2</v>
      </c>
      <c r="AC102" s="337">
        <v>4.4999999999999998E-2</v>
      </c>
      <c r="AD102" s="337">
        <f t="shared" si="23"/>
        <v>4.4999999999999998E-2</v>
      </c>
      <c r="AE102" s="19"/>
      <c r="AF102" s="19"/>
      <c r="AG102" s="19"/>
      <c r="AH102" s="19"/>
      <c r="AI102" s="19"/>
      <c r="AJ102" s="19"/>
    </row>
    <row r="103" spans="1:36" ht="26.15" customHeight="1">
      <c r="A103" s="328"/>
      <c r="C103" s="230"/>
      <c r="D103" s="329"/>
      <c r="E103" s="329"/>
      <c r="H103" s="213"/>
      <c r="I103" s="214"/>
      <c r="J103" s="215"/>
      <c r="Z103" s="34"/>
      <c r="AA103" s="34"/>
      <c r="AB103" s="34"/>
      <c r="AC103" s="34"/>
      <c r="AD103" s="345"/>
      <c r="AE103" s="164"/>
      <c r="AF103" s="19"/>
      <c r="AG103" s="19"/>
      <c r="AH103" s="19"/>
      <c r="AI103" s="19"/>
      <c r="AJ103" s="19"/>
    </row>
    <row r="104" spans="1:36" s="231" customFormat="1" ht="19.75" customHeight="1">
      <c r="A104" s="76" t="s">
        <v>170</v>
      </c>
      <c r="B104" s="151"/>
      <c r="C104" s="230"/>
      <c r="D104" s="331"/>
      <c r="E104" s="331"/>
      <c r="F104" s="151"/>
      <c r="H104" s="53"/>
      <c r="I104" s="32"/>
      <c r="J104" s="232"/>
      <c r="K104" s="233"/>
      <c r="L104" s="234"/>
      <c r="M104" s="234"/>
      <c r="N104" s="234"/>
      <c r="O104" s="234"/>
      <c r="P104" s="234"/>
      <c r="Q104" s="234"/>
      <c r="R104" s="234"/>
      <c r="S104" s="234"/>
      <c r="T104" s="234"/>
      <c r="U104" s="234"/>
      <c r="V104" s="234"/>
      <c r="W104" s="234"/>
      <c r="X104" s="234"/>
      <c r="Y104" s="234"/>
      <c r="Z104" s="332"/>
      <c r="AA104" s="332"/>
      <c r="AB104" s="332"/>
      <c r="AC104" s="332"/>
      <c r="AD104" s="283"/>
    </row>
    <row r="105" spans="1:36" s="226" customFormat="1" ht="5.15" customHeight="1">
      <c r="A105" s="288"/>
      <c r="B105" s="225"/>
      <c r="C105" s="333"/>
      <c r="D105" s="225"/>
      <c r="E105" s="225"/>
      <c r="F105" s="225"/>
      <c r="H105" s="54"/>
      <c r="I105" s="227"/>
      <c r="J105" s="228"/>
      <c r="K105" s="229"/>
      <c r="L105" s="229"/>
      <c r="M105" s="229"/>
      <c r="N105" s="229"/>
      <c r="O105" s="229"/>
      <c r="P105" s="229"/>
      <c r="Q105" s="229"/>
      <c r="R105" s="229"/>
      <c r="S105" s="229"/>
      <c r="T105" s="229"/>
      <c r="U105" s="229"/>
      <c r="V105" s="229"/>
      <c r="W105" s="229"/>
      <c r="X105" s="229"/>
      <c r="Y105" s="229"/>
      <c r="Z105" s="334"/>
      <c r="AA105" s="334"/>
      <c r="AB105" s="334"/>
      <c r="AC105" s="334"/>
      <c r="AD105" s="335"/>
    </row>
    <row r="106" spans="1:36" ht="23.65" customHeight="1">
      <c r="A106" s="614" t="s">
        <v>163</v>
      </c>
      <c r="B106" s="616" t="s">
        <v>132</v>
      </c>
      <c r="C106" s="326"/>
      <c r="D106" s="327" t="s">
        <v>14</v>
      </c>
      <c r="E106" s="327"/>
      <c r="F106" s="616" t="s">
        <v>2</v>
      </c>
      <c r="G106" s="616" t="s">
        <v>3</v>
      </c>
      <c r="H106" s="627" t="s">
        <v>29</v>
      </c>
      <c r="I106" s="19"/>
      <c r="J106" s="33"/>
      <c r="K106" s="616" t="s">
        <v>98</v>
      </c>
      <c r="L106" s="616" t="s">
        <v>99</v>
      </c>
      <c r="M106" s="163"/>
      <c r="N106" s="163"/>
      <c r="O106" s="622" t="s">
        <v>113</v>
      </c>
      <c r="P106" s="623"/>
      <c r="Q106" s="623"/>
      <c r="R106" s="623"/>
      <c r="S106" s="623"/>
      <c r="T106" s="623"/>
      <c r="U106" s="623"/>
      <c r="V106" s="623"/>
      <c r="W106" s="623"/>
      <c r="X106" s="624"/>
      <c r="Y106" s="336"/>
      <c r="Z106" s="337"/>
      <c r="AA106" s="337" t="s">
        <v>149</v>
      </c>
      <c r="AB106" s="337"/>
      <c r="AC106" s="337" t="s">
        <v>150</v>
      </c>
      <c r="AD106" s="290"/>
      <c r="AE106" s="19"/>
      <c r="AF106" s="19"/>
      <c r="AG106" s="19"/>
      <c r="AH106" s="19"/>
      <c r="AI106" s="19"/>
      <c r="AJ106" s="19"/>
    </row>
    <row r="107" spans="1:36" ht="23.65" customHeight="1" thickBot="1">
      <c r="A107" s="615"/>
      <c r="B107" s="617"/>
      <c r="C107" s="198">
        <v>1</v>
      </c>
      <c r="D107" s="198">
        <v>2</v>
      </c>
      <c r="E107" s="198">
        <v>3</v>
      </c>
      <c r="F107" s="629"/>
      <c r="G107" s="617"/>
      <c r="H107" s="628"/>
      <c r="I107" s="19"/>
      <c r="J107" s="34"/>
      <c r="K107" s="625"/>
      <c r="L107" s="617"/>
      <c r="M107" s="163"/>
      <c r="N107" s="163"/>
      <c r="O107" s="199" t="s">
        <v>100</v>
      </c>
      <c r="P107" s="200" t="s">
        <v>101</v>
      </c>
      <c r="Q107" s="199" t="s">
        <v>102</v>
      </c>
      <c r="R107" s="200" t="s">
        <v>103</v>
      </c>
      <c r="S107" s="199" t="s">
        <v>219</v>
      </c>
      <c r="T107" s="201" t="s">
        <v>105</v>
      </c>
      <c r="U107" s="202" t="s">
        <v>106</v>
      </c>
      <c r="V107" s="202" t="s">
        <v>107</v>
      </c>
      <c r="W107" s="202" t="s">
        <v>108</v>
      </c>
      <c r="X107" s="203" t="s">
        <v>109</v>
      </c>
      <c r="Y107" s="336"/>
      <c r="Z107" s="338" t="s">
        <v>141</v>
      </c>
      <c r="AA107" s="338" t="s">
        <v>151</v>
      </c>
      <c r="AB107" s="338" t="s">
        <v>141</v>
      </c>
      <c r="AC107" s="338" t="s">
        <v>151</v>
      </c>
      <c r="AD107" s="338" t="s">
        <v>152</v>
      </c>
      <c r="AE107" s="19"/>
      <c r="AF107" s="19"/>
      <c r="AG107" s="19"/>
      <c r="AH107" s="19"/>
      <c r="AI107" s="19"/>
      <c r="AJ107" s="19"/>
    </row>
    <row r="108" spans="1:36" ht="25" customHeight="1" thickTop="1">
      <c r="A108" s="363" t="s">
        <v>164</v>
      </c>
      <c r="B108" s="355">
        <v>10</v>
      </c>
      <c r="C108" s="356"/>
      <c r="D108" s="356" t="str">
        <f t="shared" si="0"/>
        <v/>
      </c>
      <c r="E108" s="356" t="str">
        <f t="shared" si="0"/>
        <v/>
      </c>
      <c r="F108" s="355">
        <f>IF(B108="","",IFERROR(B108-H108,"NA"))</f>
        <v>9.9909999999999997</v>
      </c>
      <c r="G108" s="355">
        <f>IF(B108="","",IFERROR(B108+H108,"NA"))</f>
        <v>10.009</v>
      </c>
      <c r="H108" s="352">
        <f t="shared" si="21"/>
        <v>8.9999999999999993E-3</v>
      </c>
      <c r="I108" s="19"/>
      <c r="J108" s="34"/>
      <c r="K108" s="191" t="str">
        <f>IF(OR(C108="NA",C108=""), "",COUNTA(C108:E108))</f>
        <v/>
      </c>
      <c r="L108" s="192" t="str">
        <f>IF(ISTEXT(C108)=TRUE, INDEX(C108:E108,MODE(MATCH(C108:E108,C108:E108,0))),IF(C108="","",IF(C108="NA","NA",AVERAGE(C108:E108))))</f>
        <v/>
      </c>
      <c r="M108" s="193"/>
      <c r="N108" s="193"/>
      <c r="O108" s="194" t="str">
        <f>IF(OR(ISTEXT(C108)=TRUE, C108=""),"",STDEV(C108:E108))</f>
        <v/>
      </c>
      <c r="P108" s="194"/>
      <c r="Q108" s="241">
        <v>1.0000000000000001E-5</v>
      </c>
      <c r="R108" s="241"/>
      <c r="S108" s="241">
        <f>'ACC CAL WITH GB - Method 6'!L91</f>
        <v>2.9099999999999998E-3</v>
      </c>
      <c r="T108" s="195"/>
      <c r="U108" s="195"/>
      <c r="V108" s="195"/>
      <c r="W108" s="195"/>
      <c r="X108" s="195"/>
      <c r="Y108" s="343"/>
      <c r="Z108" s="337">
        <v>8.0000000000000002E-3</v>
      </c>
      <c r="AA108" s="337">
        <v>8.0000000000000002E-3</v>
      </c>
      <c r="AB108" s="337">
        <v>8.9999999999999993E-3</v>
      </c>
      <c r="AC108" s="337">
        <v>8.9999999999999993E-3</v>
      </c>
      <c r="AD108" s="337">
        <f t="shared" ref="AD108:AD112" si="24">IF(AD$31=1,Z108,IF(AD$31=2,AB108,IF(AD$31=3,AA108,AC108)))</f>
        <v>8.9999999999999993E-3</v>
      </c>
      <c r="AE108" s="19"/>
      <c r="AF108" s="19"/>
      <c r="AG108" s="19"/>
      <c r="AH108" s="19"/>
      <c r="AI108" s="19"/>
      <c r="AJ108" s="19"/>
    </row>
    <row r="109" spans="1:36" ht="25" customHeight="1">
      <c r="A109" s="363" t="s">
        <v>165</v>
      </c>
      <c r="B109" s="355">
        <v>10</v>
      </c>
      <c r="C109" s="356"/>
      <c r="D109" s="356" t="str">
        <f t="shared" si="0"/>
        <v/>
      </c>
      <c r="E109" s="356" t="str">
        <f t="shared" si="0"/>
        <v/>
      </c>
      <c r="F109" s="355">
        <f>IF(B109="","",IFERROR(B109-H109,"NA"))</f>
        <v>9.9909999999999997</v>
      </c>
      <c r="G109" s="355">
        <f>IF(B109="","",IFERROR(B109+H109,"NA"))</f>
        <v>10.009</v>
      </c>
      <c r="H109" s="352">
        <f t="shared" si="21"/>
        <v>8.9999999999999993E-3</v>
      </c>
      <c r="I109" s="19"/>
      <c r="J109" s="34"/>
      <c r="K109" s="191" t="str">
        <f>IF(OR(C109="NA",C109=""), "",COUNTA(C109:E109))</f>
        <v/>
      </c>
      <c r="L109" s="192" t="str">
        <f>IF(ISTEXT(C109)=TRUE, INDEX(C109:E109,MODE(MATCH(C109:E109,C109:E109,0))),IF(C109="","",IF(C109="NA","NA",AVERAGE(C109:E109))))</f>
        <v/>
      </c>
      <c r="M109" s="193"/>
      <c r="N109" s="193"/>
      <c r="O109" s="194" t="str">
        <f>IF(OR(ISTEXT(C109)=TRUE, C109=""),"",STDEV(C109:E109))</f>
        <v/>
      </c>
      <c r="P109" s="194"/>
      <c r="Q109" s="241">
        <v>1.0000000000000001E-5</v>
      </c>
      <c r="R109" s="241"/>
      <c r="S109" s="241">
        <f>'ACC CAL WITH GB - Method 6'!L92</f>
        <v>5.1999999999999995E-4</v>
      </c>
      <c r="T109" s="195"/>
      <c r="U109" s="195"/>
      <c r="V109" s="195"/>
      <c r="W109" s="195"/>
      <c r="X109" s="195"/>
      <c r="Y109" s="343"/>
      <c r="Z109" s="337">
        <v>8.0000000000000002E-3</v>
      </c>
      <c r="AA109" s="337">
        <v>8.0000000000000002E-3</v>
      </c>
      <c r="AB109" s="337">
        <v>8.9999999999999993E-3</v>
      </c>
      <c r="AC109" s="337">
        <v>8.9999999999999993E-3</v>
      </c>
      <c r="AD109" s="337">
        <f t="shared" si="24"/>
        <v>8.9999999999999993E-3</v>
      </c>
      <c r="AE109" s="19"/>
      <c r="AF109" s="19"/>
      <c r="AG109" s="19"/>
      <c r="AH109" s="19"/>
      <c r="AI109" s="19"/>
      <c r="AJ109" s="19"/>
    </row>
    <row r="110" spans="1:36" ht="25" customHeight="1">
      <c r="A110" s="363" t="s">
        <v>166</v>
      </c>
      <c r="B110" s="355">
        <v>10</v>
      </c>
      <c r="C110" s="356"/>
      <c r="D110" s="356" t="str">
        <f t="shared" si="0"/>
        <v/>
      </c>
      <c r="E110" s="356" t="str">
        <f t="shared" si="0"/>
        <v/>
      </c>
      <c r="F110" s="355">
        <f>IF(B110="","",IFERROR(B110-H110,"NA"))</f>
        <v>9.9830000000000005</v>
      </c>
      <c r="G110" s="355">
        <f>IF(B110="","",IFERROR(B110+H110,"NA"))</f>
        <v>10.016999999999999</v>
      </c>
      <c r="H110" s="352">
        <f t="shared" si="21"/>
        <v>1.7000000000000001E-2</v>
      </c>
      <c r="I110" s="19"/>
      <c r="J110" s="34"/>
      <c r="K110" s="191" t="str">
        <f>IF(OR(C110="NA",C110=""), "",COUNTA(C110:E110))</f>
        <v/>
      </c>
      <c r="L110" s="192" t="str">
        <f>IF(ISTEXT(C110)=TRUE, INDEX(C110:E110,MODE(MATCH(C110:E110,C110:E110,0))),IF(C110="","",IF(C110="NA","NA",AVERAGE(C110:E110))))</f>
        <v/>
      </c>
      <c r="M110" s="193"/>
      <c r="N110" s="193"/>
      <c r="O110" s="194" t="str">
        <f>IF(OR(ISTEXT(C110)=TRUE, C110=""),"",STDEV(C110:E110))</f>
        <v/>
      </c>
      <c r="P110" s="194"/>
      <c r="Q110" s="241">
        <v>1.0000000000000001E-5</v>
      </c>
      <c r="R110" s="241"/>
      <c r="S110" s="241">
        <f>'ACC CAL WITH GB - Method 6'!L93</f>
        <v>9.0000000000000008E-4</v>
      </c>
      <c r="T110" s="195"/>
      <c r="U110" s="195"/>
      <c r="V110" s="195"/>
      <c r="W110" s="195"/>
      <c r="X110" s="195"/>
      <c r="Y110" s="343"/>
      <c r="Z110" s="337">
        <v>1.6E-2</v>
      </c>
      <c r="AA110" s="337">
        <v>1.6E-2</v>
      </c>
      <c r="AB110" s="337">
        <v>1.7000000000000001E-2</v>
      </c>
      <c r="AC110" s="337">
        <v>1.7000000000000001E-2</v>
      </c>
      <c r="AD110" s="337">
        <f t="shared" si="24"/>
        <v>1.7000000000000001E-2</v>
      </c>
      <c r="AE110" s="19"/>
      <c r="AF110" s="19"/>
      <c r="AG110" s="19"/>
      <c r="AH110" s="19"/>
      <c r="AI110" s="19"/>
      <c r="AJ110" s="19"/>
    </row>
    <row r="111" spans="1:36" ht="25" customHeight="1">
      <c r="A111" s="363" t="s">
        <v>167</v>
      </c>
      <c r="B111" s="355">
        <v>10</v>
      </c>
      <c r="C111" s="356"/>
      <c r="D111" s="356" t="str">
        <f t="shared" si="0"/>
        <v/>
      </c>
      <c r="E111" s="356" t="str">
        <f t="shared" si="0"/>
        <v/>
      </c>
      <c r="F111" s="355">
        <f>IF(B111="","",IFERROR(B111-H111,"NA"))</f>
        <v>9.9320000000000004</v>
      </c>
      <c r="G111" s="355">
        <f>IF(B111="","",IFERROR(B111+H111,"NA"))</f>
        <v>10.068</v>
      </c>
      <c r="H111" s="352">
        <f t="shared" si="21"/>
        <v>6.8000000000000005E-2</v>
      </c>
      <c r="I111" s="19"/>
      <c r="J111" s="34"/>
      <c r="K111" s="191" t="str">
        <f>IF(OR(C111="NA",C111=""), "",COUNTA(C111:E111))</f>
        <v/>
      </c>
      <c r="L111" s="192" t="str">
        <f>IF(ISTEXT(C111)=TRUE, INDEX(C111:E111,MODE(MATCH(C111:E111,C111:E111,0))),IF(C111="","",IF(C111="NA","NA",AVERAGE(C111:E111))))</f>
        <v/>
      </c>
      <c r="M111" s="193"/>
      <c r="N111" s="193"/>
      <c r="O111" s="194" t="str">
        <f>IF(OR(ISTEXT(C111)=TRUE, C111=""),"",STDEV(C111:E111))</f>
        <v/>
      </c>
      <c r="P111" s="194"/>
      <c r="Q111" s="241">
        <v>1.0000000000000001E-5</v>
      </c>
      <c r="R111" s="241"/>
      <c r="S111" s="241">
        <f>'ACC CAL WITH GB - Method 6'!L94</f>
        <v>1.2900000000000001E-3</v>
      </c>
      <c r="T111" s="195"/>
      <c r="U111" s="195"/>
      <c r="V111" s="195"/>
      <c r="W111" s="195"/>
      <c r="X111" s="195"/>
      <c r="Y111" s="343"/>
      <c r="Z111" s="337">
        <v>6.8000000000000005E-2</v>
      </c>
      <c r="AA111" s="337">
        <v>6.8000000000000005E-2</v>
      </c>
      <c r="AB111" s="337">
        <v>6.8000000000000005E-2</v>
      </c>
      <c r="AC111" s="337">
        <v>6.8000000000000005E-2</v>
      </c>
      <c r="AD111" s="337">
        <f t="shared" si="24"/>
        <v>6.8000000000000005E-2</v>
      </c>
      <c r="AE111" s="19"/>
      <c r="AF111" s="19"/>
      <c r="AG111" s="19"/>
      <c r="AH111" s="19"/>
      <c r="AI111" s="19"/>
      <c r="AJ111" s="19"/>
    </row>
    <row r="112" spans="1:36" ht="25" customHeight="1">
      <c r="A112" s="363" t="s">
        <v>168</v>
      </c>
      <c r="B112" s="355">
        <v>3</v>
      </c>
      <c r="C112" s="356"/>
      <c r="D112" s="356" t="str">
        <f t="shared" si="0"/>
        <v/>
      </c>
      <c r="E112" s="356" t="str">
        <f t="shared" si="0"/>
        <v/>
      </c>
      <c r="F112" s="355">
        <f>IF(B112="","",IFERROR(B112-H112,"NA"))</f>
        <v>2.83</v>
      </c>
      <c r="G112" s="355">
        <f>IF(B112="","",IFERROR(B112+H112,"NA"))</f>
        <v>3.17</v>
      </c>
      <c r="H112" s="352">
        <f t="shared" si="21"/>
        <v>0.17</v>
      </c>
      <c r="I112" s="19"/>
      <c r="J112" s="34"/>
      <c r="K112" s="191" t="str">
        <f>IF(OR(C112="NA",C112=""), "",COUNTA(C112:E112))</f>
        <v/>
      </c>
      <c r="L112" s="192" t="str">
        <f>IF(ISTEXT(C112)=TRUE, INDEX(C112:E112,MODE(MATCH(C112:E112,C112:E112,0))),IF(C112="","",IF(C112="NA","NA",AVERAGE(C112:E112))))</f>
        <v/>
      </c>
      <c r="M112" s="193"/>
      <c r="N112" s="193"/>
      <c r="O112" s="194" t="str">
        <f>IF(OR(ISTEXT(C112)=TRUE, C112=""),"",STDEV(C112:E112))</f>
        <v/>
      </c>
      <c r="P112" s="194"/>
      <c r="Q112" s="241">
        <v>1.0000000000000001E-5</v>
      </c>
      <c r="R112" s="241"/>
      <c r="S112" s="241">
        <f>'ACC CAL WITH GB - Method 6'!L95</f>
        <v>1.485E-3</v>
      </c>
      <c r="T112" s="195"/>
      <c r="U112" s="195"/>
      <c r="V112" s="195"/>
      <c r="W112" s="195"/>
      <c r="X112" s="195"/>
      <c r="Y112" s="343"/>
      <c r="Z112" s="337">
        <v>0.17</v>
      </c>
      <c r="AA112" s="337">
        <v>0.17</v>
      </c>
      <c r="AB112" s="337">
        <v>0.17</v>
      </c>
      <c r="AC112" s="337">
        <v>0.17</v>
      </c>
      <c r="AD112" s="337">
        <f t="shared" si="24"/>
        <v>0.17</v>
      </c>
      <c r="AE112" s="19"/>
      <c r="AF112" s="19"/>
      <c r="AG112" s="19"/>
      <c r="AH112" s="19"/>
      <c r="AI112" s="19"/>
      <c r="AJ112" s="19"/>
    </row>
    <row r="113" spans="1:36" ht="26.15" customHeight="1">
      <c r="A113" s="328"/>
      <c r="C113" s="230"/>
      <c r="D113" s="329"/>
      <c r="E113" s="329"/>
      <c r="H113" s="213"/>
      <c r="I113" s="214"/>
      <c r="J113" s="215"/>
      <c r="Z113" s="34"/>
      <c r="AA113" s="34"/>
      <c r="AB113" s="34"/>
      <c r="AC113" s="34"/>
      <c r="AD113" s="34"/>
      <c r="AE113" s="164"/>
      <c r="AF113" s="19"/>
      <c r="AG113" s="19"/>
      <c r="AH113" s="19"/>
      <c r="AI113" s="19"/>
      <c r="AJ113" s="19"/>
    </row>
    <row r="114" spans="1:36" s="231" customFormat="1" ht="19.75" customHeight="1">
      <c r="A114" s="76" t="s">
        <v>171</v>
      </c>
      <c r="B114" s="151"/>
      <c r="C114" s="230"/>
      <c r="D114" s="331"/>
      <c r="E114" s="331"/>
      <c r="F114" s="151"/>
      <c r="H114" s="53"/>
      <c r="I114" s="32"/>
      <c r="J114" s="232"/>
      <c r="K114" s="233"/>
      <c r="L114" s="234"/>
      <c r="M114" s="234"/>
      <c r="N114" s="234"/>
      <c r="O114" s="234"/>
      <c r="P114" s="234"/>
      <c r="Q114" s="234"/>
      <c r="R114" s="234"/>
      <c r="S114" s="234"/>
      <c r="T114" s="234"/>
      <c r="U114" s="234"/>
      <c r="V114" s="234"/>
      <c r="W114" s="234"/>
      <c r="X114" s="234"/>
      <c r="Y114" s="234"/>
      <c r="Z114" s="332"/>
      <c r="AA114" s="332"/>
      <c r="AB114" s="332"/>
      <c r="AC114" s="332"/>
      <c r="AD114" s="283"/>
    </row>
    <row r="115" spans="1:36" s="226" customFormat="1" ht="5.15" customHeight="1">
      <c r="A115" s="288"/>
      <c r="B115" s="225"/>
      <c r="C115" s="333"/>
      <c r="D115" s="225"/>
      <c r="E115" s="225"/>
      <c r="F115" s="225"/>
      <c r="H115" s="54"/>
      <c r="I115" s="227"/>
      <c r="J115" s="228"/>
      <c r="K115" s="229"/>
      <c r="L115" s="229"/>
      <c r="M115" s="229"/>
      <c r="N115" s="229"/>
      <c r="O115" s="229"/>
      <c r="P115" s="229"/>
      <c r="Q115" s="229"/>
      <c r="R115" s="229"/>
      <c r="S115" s="229"/>
      <c r="T115" s="229"/>
      <c r="U115" s="229"/>
      <c r="V115" s="229"/>
      <c r="W115" s="229"/>
      <c r="X115" s="229"/>
      <c r="Y115" s="229"/>
      <c r="Z115" s="334"/>
      <c r="AA115" s="334"/>
      <c r="AB115" s="334"/>
      <c r="AC115" s="334"/>
      <c r="AD115" s="335"/>
    </row>
    <row r="116" spans="1:36" ht="23.65" customHeight="1">
      <c r="A116" s="614" t="s">
        <v>163</v>
      </c>
      <c r="B116" s="616" t="s">
        <v>132</v>
      </c>
      <c r="C116" s="326"/>
      <c r="D116" s="327" t="s">
        <v>14</v>
      </c>
      <c r="E116" s="327"/>
      <c r="F116" s="616" t="s">
        <v>2</v>
      </c>
      <c r="G116" s="616" t="s">
        <v>3</v>
      </c>
      <c r="H116" s="627" t="s">
        <v>29</v>
      </c>
      <c r="I116" s="19"/>
      <c r="J116" s="33"/>
      <c r="K116" s="616" t="s">
        <v>98</v>
      </c>
      <c r="L116" s="616" t="s">
        <v>99</v>
      </c>
      <c r="M116" s="163"/>
      <c r="N116" s="163"/>
      <c r="O116" s="622" t="s">
        <v>113</v>
      </c>
      <c r="P116" s="623"/>
      <c r="Q116" s="623"/>
      <c r="R116" s="623"/>
      <c r="S116" s="623"/>
      <c r="T116" s="623"/>
      <c r="U116" s="623"/>
      <c r="V116" s="623"/>
      <c r="W116" s="623"/>
      <c r="X116" s="624"/>
      <c r="Y116" s="336"/>
      <c r="Z116" s="337"/>
      <c r="AA116" s="337" t="s">
        <v>149</v>
      </c>
      <c r="AB116" s="337"/>
      <c r="AC116" s="337" t="s">
        <v>150</v>
      </c>
      <c r="AD116" s="290"/>
      <c r="AE116" s="19"/>
      <c r="AF116" s="19"/>
      <c r="AG116" s="19"/>
      <c r="AH116" s="19"/>
      <c r="AI116" s="19"/>
      <c r="AJ116" s="19"/>
    </row>
    <row r="117" spans="1:36" ht="23.65" customHeight="1" thickBot="1">
      <c r="A117" s="615"/>
      <c r="B117" s="617"/>
      <c r="C117" s="198">
        <v>1</v>
      </c>
      <c r="D117" s="198">
        <v>2</v>
      </c>
      <c r="E117" s="198">
        <v>3</v>
      </c>
      <c r="F117" s="629"/>
      <c r="G117" s="617"/>
      <c r="H117" s="628"/>
      <c r="I117" s="19"/>
      <c r="J117" s="34"/>
      <c r="K117" s="625"/>
      <c r="L117" s="617"/>
      <c r="M117" s="163"/>
      <c r="N117" s="163"/>
      <c r="O117" s="199" t="s">
        <v>100</v>
      </c>
      <c r="P117" s="200" t="s">
        <v>101</v>
      </c>
      <c r="Q117" s="199" t="s">
        <v>102</v>
      </c>
      <c r="R117" s="200" t="s">
        <v>103</v>
      </c>
      <c r="S117" s="199" t="s">
        <v>219</v>
      </c>
      <c r="T117" s="201" t="s">
        <v>105</v>
      </c>
      <c r="U117" s="202" t="s">
        <v>106</v>
      </c>
      <c r="V117" s="202" t="s">
        <v>107</v>
      </c>
      <c r="W117" s="202" t="s">
        <v>108</v>
      </c>
      <c r="X117" s="203" t="s">
        <v>109</v>
      </c>
      <c r="Y117" s="336"/>
      <c r="Z117" s="338" t="s">
        <v>141</v>
      </c>
      <c r="AA117" s="338" t="s">
        <v>151</v>
      </c>
      <c r="AB117" s="338" t="s">
        <v>141</v>
      </c>
      <c r="AC117" s="338" t="s">
        <v>151</v>
      </c>
      <c r="AD117" s="338" t="s">
        <v>152</v>
      </c>
      <c r="AE117" s="19"/>
      <c r="AF117" s="19"/>
      <c r="AG117" s="19"/>
      <c r="AH117" s="19"/>
      <c r="AI117" s="19"/>
      <c r="AJ117" s="19"/>
    </row>
    <row r="118" spans="1:36" ht="25" customHeight="1" thickTop="1">
      <c r="A118" s="322" t="s">
        <v>172</v>
      </c>
      <c r="B118" s="367">
        <v>100</v>
      </c>
      <c r="C118" s="368"/>
      <c r="D118" s="368" t="str">
        <f t="shared" si="0"/>
        <v/>
      </c>
      <c r="E118" s="368" t="str">
        <f t="shared" si="0"/>
        <v/>
      </c>
      <c r="F118" s="367">
        <f>IF(B118="","",IFERROR(B118-H118,"NA"))</f>
        <v>99.91</v>
      </c>
      <c r="G118" s="367">
        <f>IF(B118="","",IFERROR(B118+H118,"NA"))</f>
        <v>100.09</v>
      </c>
      <c r="H118" s="357">
        <f t="shared" si="21"/>
        <v>0.09</v>
      </c>
      <c r="I118" s="19"/>
      <c r="J118" s="34"/>
      <c r="K118" s="191" t="str">
        <f>IF(OR(C118="NA",C118=""), "",COUNTA(C118:E118))</f>
        <v/>
      </c>
      <c r="L118" s="192" t="str">
        <f>IF(ISTEXT(C118)=TRUE, INDEX(C118:E118,MODE(MATCH(C118:E118,C118:E118,0))),IF(C118="","",IF(C118="NA","NA",AVERAGE(C118:E118))))</f>
        <v/>
      </c>
      <c r="M118" s="193"/>
      <c r="N118" s="193"/>
      <c r="O118" s="194" t="str">
        <f>IF(OR(ISTEXT(C118)=TRUE, C118=""),"",STDEV(C118:E118))</f>
        <v/>
      </c>
      <c r="P118" s="194"/>
      <c r="Q118" s="241">
        <v>1E-4</v>
      </c>
      <c r="R118" s="241"/>
      <c r="S118" s="241">
        <f>'ACC CAL WITH GB - Method 6'!L101</f>
        <v>6.1000000000000004E-3</v>
      </c>
      <c r="T118" s="195"/>
      <c r="U118" s="195"/>
      <c r="V118" s="195"/>
      <c r="W118" s="195"/>
      <c r="X118" s="195"/>
      <c r="Y118" s="343"/>
      <c r="Z118" s="337">
        <v>0.08</v>
      </c>
      <c r="AA118" s="337">
        <v>0.08</v>
      </c>
      <c r="AB118" s="337">
        <v>0.09</v>
      </c>
      <c r="AC118" s="337">
        <v>0.09</v>
      </c>
      <c r="AD118" s="337">
        <f t="shared" ref="AD118:AD121" si="25">IF(AD$31=1,Z118,IF(AD$31=2,AB118,IF(AD$31=3,AA118,AC118)))</f>
        <v>0.09</v>
      </c>
      <c r="AE118" s="19"/>
      <c r="AF118" s="19"/>
      <c r="AG118" s="19"/>
      <c r="AH118" s="19"/>
      <c r="AI118" s="19"/>
      <c r="AJ118" s="19"/>
    </row>
    <row r="119" spans="1:36" ht="25" customHeight="1">
      <c r="A119" s="322" t="s">
        <v>165</v>
      </c>
      <c r="B119" s="367">
        <v>100</v>
      </c>
      <c r="C119" s="368"/>
      <c r="D119" s="368" t="str">
        <f t="shared" si="0"/>
        <v/>
      </c>
      <c r="E119" s="368" t="str">
        <f t="shared" si="0"/>
        <v/>
      </c>
      <c r="F119" s="367">
        <f t="shared" ref="F119:F121" si="26">IF(B119="","",IFERROR(B119-H119,"NA"))</f>
        <v>99.91</v>
      </c>
      <c r="G119" s="367">
        <f>IF(B119="","",IFERROR(B119+H119,"NA"))</f>
        <v>100.09</v>
      </c>
      <c r="H119" s="357">
        <f t="shared" si="21"/>
        <v>0.09</v>
      </c>
      <c r="I119" s="19"/>
      <c r="J119" s="34"/>
      <c r="K119" s="191" t="str">
        <f>IF(OR(C119="NA",C119=""), "",COUNTA(C119:E119))</f>
        <v/>
      </c>
      <c r="L119" s="192" t="str">
        <f>IF(ISTEXT(C119)=TRUE, INDEX(C119:E119,MODE(MATCH(C119:E119,C119:E119,0))),IF(C119="","",IF(C119="NA","NA",AVERAGE(C119:E119))))</f>
        <v/>
      </c>
      <c r="M119" s="193"/>
      <c r="N119" s="193"/>
      <c r="O119" s="194" t="str">
        <f>IF(OR(ISTEXT(C119)=TRUE, C119=""),"",STDEV(C119:E119))</f>
        <v/>
      </c>
      <c r="P119" s="194"/>
      <c r="Q119" s="241">
        <v>1E-4</v>
      </c>
      <c r="R119" s="241"/>
      <c r="S119" s="241">
        <f>'ACC CAL WITH GB - Method 6'!L102</f>
        <v>6.1000000000000004E-3</v>
      </c>
      <c r="T119" s="195"/>
      <c r="U119" s="195"/>
      <c r="V119" s="195"/>
      <c r="W119" s="195"/>
      <c r="X119" s="195"/>
      <c r="Y119" s="343"/>
      <c r="Z119" s="337">
        <v>0.08</v>
      </c>
      <c r="AA119" s="337">
        <v>0.08</v>
      </c>
      <c r="AB119" s="337">
        <v>0.09</v>
      </c>
      <c r="AC119" s="337">
        <v>0.09</v>
      </c>
      <c r="AD119" s="337">
        <f t="shared" si="25"/>
        <v>0.09</v>
      </c>
      <c r="AE119" s="19"/>
      <c r="AF119" s="19"/>
      <c r="AG119" s="19"/>
      <c r="AH119" s="19"/>
      <c r="AI119" s="19"/>
      <c r="AJ119" s="19"/>
    </row>
    <row r="120" spans="1:36" ht="25" customHeight="1">
      <c r="A120" s="322" t="s">
        <v>166</v>
      </c>
      <c r="B120" s="367">
        <v>100</v>
      </c>
      <c r="C120" s="368"/>
      <c r="D120" s="368" t="str">
        <f t="shared" si="0"/>
        <v/>
      </c>
      <c r="E120" s="368" t="str">
        <f t="shared" si="0"/>
        <v/>
      </c>
      <c r="F120" s="367">
        <f t="shared" si="26"/>
        <v>99.83</v>
      </c>
      <c r="G120" s="367">
        <f>IF(B120="","",IFERROR(B120+H120,"NA"))</f>
        <v>100.17</v>
      </c>
      <c r="H120" s="357">
        <f t="shared" si="21"/>
        <v>0.17</v>
      </c>
      <c r="I120" s="19"/>
      <c r="J120" s="34"/>
      <c r="K120" s="191" t="str">
        <f>IF(OR(C120="NA",C120=""), "",COUNTA(C120:E120))</f>
        <v/>
      </c>
      <c r="L120" s="192" t="str">
        <f>IF(ISTEXT(C120)=TRUE, INDEX(C120:E120,MODE(MATCH(C120:E120,C120:E120,0))),IF(C120="","",IF(C120="NA","NA",AVERAGE(C120:E120))))</f>
        <v/>
      </c>
      <c r="M120" s="193"/>
      <c r="N120" s="193"/>
      <c r="O120" s="194" t="str">
        <f>IF(OR(ISTEXT(C120)=TRUE, C120=""),"",STDEV(C120:E120))</f>
        <v/>
      </c>
      <c r="P120" s="194"/>
      <c r="Q120" s="241">
        <v>1E-4</v>
      </c>
      <c r="R120" s="241"/>
      <c r="S120" s="241">
        <f>'ACC CAL WITH GB - Method 6'!L103</f>
        <v>9.6000000000000009E-3</v>
      </c>
      <c r="T120" s="195"/>
      <c r="U120" s="195"/>
      <c r="V120" s="195"/>
      <c r="W120" s="195"/>
      <c r="X120" s="195"/>
      <c r="Y120" s="343"/>
      <c r="Z120" s="337">
        <v>0.16</v>
      </c>
      <c r="AA120" s="337">
        <v>0.16</v>
      </c>
      <c r="AB120" s="337">
        <v>0.17</v>
      </c>
      <c r="AC120" s="337">
        <v>0.17</v>
      </c>
      <c r="AD120" s="337">
        <f t="shared" si="25"/>
        <v>0.17</v>
      </c>
      <c r="AE120" s="19"/>
      <c r="AF120" s="19"/>
      <c r="AG120" s="19"/>
      <c r="AH120" s="19"/>
      <c r="AI120" s="19"/>
      <c r="AJ120" s="19"/>
    </row>
    <row r="121" spans="1:36" ht="25" customHeight="1">
      <c r="A121" s="322" t="s">
        <v>167</v>
      </c>
      <c r="B121" s="367">
        <v>100</v>
      </c>
      <c r="C121" s="368"/>
      <c r="D121" s="368" t="str">
        <f t="shared" si="0"/>
        <v/>
      </c>
      <c r="E121" s="368" t="str">
        <f t="shared" si="0"/>
        <v/>
      </c>
      <c r="F121" s="367">
        <f t="shared" si="26"/>
        <v>99.32</v>
      </c>
      <c r="G121" s="367">
        <f>IF(B121="","",IFERROR(B121+H121,"NA"))</f>
        <v>100.68</v>
      </c>
      <c r="H121" s="357">
        <f t="shared" si="21"/>
        <v>0.68</v>
      </c>
      <c r="I121" s="19"/>
      <c r="J121" s="34"/>
      <c r="K121" s="191" t="str">
        <f>IF(OR(C121="NA",C121=""), "",COUNTA(C121:E121))</f>
        <v/>
      </c>
      <c r="L121" s="192" t="str">
        <f>IF(ISTEXT(C121)=TRUE, INDEX(C121:E121,MODE(MATCH(C121:E121,C121:E121,0))),IF(C121="","",IF(C121="NA","NA",AVERAGE(C121:E121))))</f>
        <v/>
      </c>
      <c r="M121" s="193"/>
      <c r="N121" s="193"/>
      <c r="O121" s="194" t="str">
        <f>IF(OR(ISTEXT(C121)=TRUE, C121=""),"",STDEV(C121:E121))</f>
        <v/>
      </c>
      <c r="P121" s="194"/>
      <c r="Q121" s="241">
        <v>1E-4</v>
      </c>
      <c r="R121" s="241"/>
      <c r="S121" s="241">
        <f>'ACC CAL WITH GB - Method 6'!L104</f>
        <v>1.7399999999999999E-2</v>
      </c>
      <c r="T121" s="195"/>
      <c r="U121" s="195"/>
      <c r="V121" s="195"/>
      <c r="W121" s="195"/>
      <c r="X121" s="195"/>
      <c r="Y121" s="343"/>
      <c r="Z121" s="337">
        <v>0.68</v>
      </c>
      <c r="AA121" s="337">
        <v>0.68</v>
      </c>
      <c r="AB121" s="337">
        <v>0.68</v>
      </c>
      <c r="AC121" s="337">
        <v>0.68</v>
      </c>
      <c r="AD121" s="337">
        <f t="shared" si="25"/>
        <v>0.68</v>
      </c>
      <c r="AE121" s="19"/>
      <c r="AF121" s="19"/>
      <c r="AG121" s="19"/>
      <c r="AH121" s="19"/>
      <c r="AI121" s="19"/>
      <c r="AJ121" s="19"/>
    </row>
    <row r="122" spans="1:36" ht="26.15" customHeight="1">
      <c r="A122" s="328"/>
      <c r="C122" s="230"/>
      <c r="D122" s="329"/>
      <c r="E122" s="329"/>
      <c r="H122" s="213"/>
      <c r="I122" s="214"/>
      <c r="J122" s="215"/>
      <c r="Z122" s="34"/>
      <c r="AA122" s="34"/>
      <c r="AB122" s="34"/>
      <c r="AC122" s="34"/>
      <c r="AD122" s="345"/>
      <c r="AE122" s="164"/>
      <c r="AF122" s="19"/>
      <c r="AG122" s="19"/>
      <c r="AH122" s="19"/>
      <c r="AI122" s="19"/>
      <c r="AJ122" s="19"/>
    </row>
    <row r="123" spans="1:36" s="231" customFormat="1" ht="19.75" customHeight="1">
      <c r="A123" s="76" t="str">
        <f>IF(B14="8845A","Range 750 V","Range 1000 V")</f>
        <v>Range 1000 V</v>
      </c>
      <c r="B123" s="151"/>
      <c r="C123" s="230"/>
      <c r="D123" s="331"/>
      <c r="E123" s="331"/>
      <c r="F123" s="151"/>
      <c r="H123" s="53"/>
      <c r="I123" s="32"/>
      <c r="J123" s="232"/>
      <c r="K123" s="233"/>
      <c r="L123" s="234"/>
      <c r="M123" s="234"/>
      <c r="N123" s="234"/>
      <c r="O123" s="234"/>
      <c r="P123" s="234"/>
      <c r="Q123" s="234"/>
      <c r="R123" s="234"/>
      <c r="S123" s="234"/>
      <c r="T123" s="234"/>
      <c r="U123" s="234"/>
      <c r="V123" s="234"/>
      <c r="W123" s="234"/>
      <c r="X123" s="234"/>
      <c r="Y123" s="234"/>
      <c r="Z123" s="332"/>
      <c r="AA123" s="332"/>
      <c r="AB123" s="332"/>
      <c r="AC123" s="332"/>
      <c r="AD123" s="283"/>
    </row>
    <row r="124" spans="1:36" s="226" customFormat="1" ht="5.15" customHeight="1">
      <c r="A124" s="288"/>
      <c r="B124" s="225"/>
      <c r="C124" s="333"/>
      <c r="D124" s="225"/>
      <c r="E124" s="225"/>
      <c r="F124" s="225"/>
      <c r="H124" s="54"/>
      <c r="I124" s="227"/>
      <c r="J124" s="228"/>
      <c r="K124" s="229"/>
      <c r="L124" s="229"/>
      <c r="M124" s="229"/>
      <c r="N124" s="229"/>
      <c r="O124" s="229"/>
      <c r="P124" s="229"/>
      <c r="Q124" s="229"/>
      <c r="R124" s="229"/>
      <c r="S124" s="229"/>
      <c r="T124" s="229"/>
      <c r="U124" s="229"/>
      <c r="V124" s="229"/>
      <c r="W124" s="229"/>
      <c r="X124" s="229"/>
      <c r="Y124" s="229"/>
      <c r="Z124" s="334"/>
      <c r="AA124" s="334"/>
      <c r="AB124" s="334"/>
      <c r="AC124" s="334"/>
      <c r="AD124" s="335"/>
    </row>
    <row r="125" spans="1:36" ht="23.65" customHeight="1">
      <c r="A125" s="614" t="s">
        <v>163</v>
      </c>
      <c r="B125" s="616" t="s">
        <v>132</v>
      </c>
      <c r="C125" s="326"/>
      <c r="D125" s="327" t="s">
        <v>14</v>
      </c>
      <c r="E125" s="327"/>
      <c r="F125" s="616" t="s">
        <v>2</v>
      </c>
      <c r="G125" s="616" t="s">
        <v>3</v>
      </c>
      <c r="H125" s="627" t="s">
        <v>29</v>
      </c>
      <c r="I125" s="19"/>
      <c r="J125" s="33"/>
      <c r="K125" s="616" t="s">
        <v>98</v>
      </c>
      <c r="L125" s="616" t="s">
        <v>99</v>
      </c>
      <c r="M125" s="163"/>
      <c r="N125" s="163"/>
      <c r="O125" s="622" t="s">
        <v>113</v>
      </c>
      <c r="P125" s="623"/>
      <c r="Q125" s="623"/>
      <c r="R125" s="623"/>
      <c r="S125" s="623"/>
      <c r="T125" s="623"/>
      <c r="U125" s="623"/>
      <c r="V125" s="623"/>
      <c r="W125" s="623"/>
      <c r="X125" s="624"/>
      <c r="Y125" s="336"/>
      <c r="Z125" s="337"/>
      <c r="AA125" s="337" t="s">
        <v>149</v>
      </c>
      <c r="AB125" s="337"/>
      <c r="AC125" s="337" t="s">
        <v>150</v>
      </c>
      <c r="AD125" s="290"/>
      <c r="AE125" s="19"/>
      <c r="AF125" s="19"/>
      <c r="AG125" s="19"/>
      <c r="AH125" s="19"/>
      <c r="AI125" s="19"/>
      <c r="AJ125" s="19"/>
    </row>
    <row r="126" spans="1:36" ht="23.65" customHeight="1" thickBot="1">
      <c r="A126" s="615"/>
      <c r="B126" s="617"/>
      <c r="C126" s="198">
        <v>1</v>
      </c>
      <c r="D126" s="198">
        <v>2</v>
      </c>
      <c r="E126" s="198">
        <v>3</v>
      </c>
      <c r="F126" s="629"/>
      <c r="G126" s="617"/>
      <c r="H126" s="628"/>
      <c r="I126" s="19"/>
      <c r="J126" s="34"/>
      <c r="K126" s="625"/>
      <c r="L126" s="617"/>
      <c r="M126" s="163"/>
      <c r="N126" s="163"/>
      <c r="O126" s="199" t="s">
        <v>100</v>
      </c>
      <c r="P126" s="200" t="s">
        <v>101</v>
      </c>
      <c r="Q126" s="199" t="s">
        <v>102</v>
      </c>
      <c r="R126" s="200" t="s">
        <v>103</v>
      </c>
      <c r="S126" s="199" t="s">
        <v>219</v>
      </c>
      <c r="T126" s="199" t="s">
        <v>105</v>
      </c>
      <c r="U126" s="202" t="s">
        <v>106</v>
      </c>
      <c r="V126" s="202" t="s">
        <v>107</v>
      </c>
      <c r="W126" s="202" t="s">
        <v>108</v>
      </c>
      <c r="X126" s="203" t="s">
        <v>109</v>
      </c>
      <c r="Y126" s="336"/>
      <c r="Z126" s="338" t="s">
        <v>141</v>
      </c>
      <c r="AA126" s="338" t="s">
        <v>151</v>
      </c>
      <c r="AB126" s="338" t="s">
        <v>141</v>
      </c>
      <c r="AC126" s="338" t="s">
        <v>151</v>
      </c>
      <c r="AD126" s="338" t="s">
        <v>152</v>
      </c>
      <c r="AE126" s="19"/>
      <c r="AF126" s="19"/>
      <c r="AG126" s="19"/>
      <c r="AH126" s="19"/>
      <c r="AI126" s="19"/>
      <c r="AJ126" s="19"/>
    </row>
    <row r="127" spans="1:36" ht="25" customHeight="1" thickTop="1">
      <c r="A127" s="322" t="s">
        <v>172</v>
      </c>
      <c r="B127" s="358">
        <f>IF(B$14="8845A",750,1000)</f>
        <v>1000</v>
      </c>
      <c r="C127" s="359"/>
      <c r="D127" s="359" t="str">
        <f t="shared" si="0"/>
        <v/>
      </c>
      <c r="E127" s="359" t="str">
        <f t="shared" si="0"/>
        <v/>
      </c>
      <c r="F127" s="358">
        <f t="shared" ref="F127:F132" si="27">IF(B127="","",IFERROR(B127-H127,"NA"))</f>
        <v>999.1</v>
      </c>
      <c r="G127" s="358">
        <f t="shared" ref="G127:G132" si="28">IF(B127="","",IFERROR(B127+H127,"NA"))</f>
        <v>1000.9</v>
      </c>
      <c r="H127" s="360">
        <f t="shared" si="21"/>
        <v>0.9</v>
      </c>
      <c r="I127" s="19"/>
      <c r="J127" s="34"/>
      <c r="K127" s="191" t="str">
        <f t="shared" ref="K127:K132" si="29">IF(OR(C127="NA",C127=""), "",COUNTA(C127:E127))</f>
        <v/>
      </c>
      <c r="L127" s="192" t="str">
        <f t="shared" ref="L127:L132" si="30">IF(ISTEXT(C127)=TRUE, INDEX(C127:E127,MODE(MATCH(C127:E127,C127:E127,0))),IF(C127="","",IF(C127="NA","NA",AVERAGE(C127:E127))))</f>
        <v/>
      </c>
      <c r="M127" s="193"/>
      <c r="N127" s="193"/>
      <c r="O127" s="194" t="str">
        <f t="shared" ref="O127:O132" si="31">IF(OR(ISTEXT(C127)=TRUE, C127=""),"",STDEV(C127:E127))</f>
        <v/>
      </c>
      <c r="P127" s="194"/>
      <c r="Q127" s="241">
        <v>1E-3</v>
      </c>
      <c r="R127" s="241"/>
      <c r="S127" s="241">
        <f>'ACC CAL WITH GB - Method 6'!L110</f>
        <v>7.3499999999999996E-2</v>
      </c>
      <c r="T127" s="195"/>
      <c r="U127" s="195"/>
      <c r="V127" s="195"/>
      <c r="W127" s="195"/>
      <c r="X127" s="195"/>
      <c r="Y127" s="343"/>
      <c r="Z127" s="337">
        <v>0.6</v>
      </c>
      <c r="AA127" s="337">
        <v>0.8</v>
      </c>
      <c r="AB127" s="337">
        <v>0.67500000000000004</v>
      </c>
      <c r="AC127" s="337">
        <v>0.9</v>
      </c>
      <c r="AD127" s="337">
        <f t="shared" ref="AD127:AD132" si="32">IF(AD$31=1,Z127,IF(AD$31=2,AB127,IF(AD$31=3,AA127,AC127)))</f>
        <v>0.9</v>
      </c>
      <c r="AE127" s="19"/>
      <c r="AF127" s="19"/>
      <c r="AG127" s="19"/>
      <c r="AH127" s="19"/>
      <c r="AI127" s="19"/>
      <c r="AJ127" s="19"/>
    </row>
    <row r="128" spans="1:36" ht="25" customHeight="1">
      <c r="A128" s="322" t="s">
        <v>173</v>
      </c>
      <c r="B128" s="358">
        <f t="shared" ref="B128:B129" si="33">IF(B$14="8845A",750,1000)</f>
        <v>1000</v>
      </c>
      <c r="C128" s="359"/>
      <c r="D128" s="359" t="str">
        <f t="shared" si="0"/>
        <v/>
      </c>
      <c r="E128" s="359" t="str">
        <f t="shared" si="0"/>
        <v/>
      </c>
      <c r="F128" s="358">
        <f t="shared" si="27"/>
        <v>999.1</v>
      </c>
      <c r="G128" s="358">
        <f t="shared" si="28"/>
        <v>1000.9</v>
      </c>
      <c r="H128" s="360">
        <f t="shared" si="21"/>
        <v>0.9</v>
      </c>
      <c r="I128" s="19"/>
      <c r="J128" s="34"/>
      <c r="K128" s="191" t="str">
        <f t="shared" si="29"/>
        <v/>
      </c>
      <c r="L128" s="192" t="str">
        <f t="shared" si="30"/>
        <v/>
      </c>
      <c r="M128" s="193"/>
      <c r="N128" s="193"/>
      <c r="O128" s="194" t="str">
        <f t="shared" si="31"/>
        <v/>
      </c>
      <c r="P128" s="194"/>
      <c r="Q128" s="241">
        <v>1E-3</v>
      </c>
      <c r="R128" s="241"/>
      <c r="S128" s="241">
        <f>'ACC CAL WITH GB - Method 6'!L111</f>
        <v>7.3499999999999996E-2</v>
      </c>
      <c r="T128" s="195"/>
      <c r="U128" s="195"/>
      <c r="V128" s="195"/>
      <c r="W128" s="195"/>
      <c r="X128" s="195"/>
      <c r="Y128" s="343"/>
      <c r="Z128" s="337">
        <v>0.6</v>
      </c>
      <c r="AA128" s="337">
        <v>0.8</v>
      </c>
      <c r="AB128" s="337">
        <v>0.67500000000000004</v>
      </c>
      <c r="AC128" s="337">
        <v>0.9</v>
      </c>
      <c r="AD128" s="337">
        <f t="shared" si="32"/>
        <v>0.9</v>
      </c>
      <c r="AE128" s="19"/>
      <c r="AF128" s="19"/>
      <c r="AG128" s="19"/>
      <c r="AH128" s="19"/>
      <c r="AI128" s="19"/>
      <c r="AJ128" s="19"/>
    </row>
    <row r="129" spans="1:36" ht="25" customHeight="1">
      <c r="A129" s="322" t="s">
        <v>174</v>
      </c>
      <c r="B129" s="358">
        <f t="shared" si="33"/>
        <v>1000</v>
      </c>
      <c r="C129" s="359"/>
      <c r="D129" s="359" t="str">
        <f t="shared" si="0"/>
        <v/>
      </c>
      <c r="E129" s="359" t="str">
        <f t="shared" si="0"/>
        <v/>
      </c>
      <c r="F129" s="358">
        <f t="shared" si="27"/>
        <v>999.1</v>
      </c>
      <c r="G129" s="358">
        <f t="shared" si="28"/>
        <v>1000.9</v>
      </c>
      <c r="H129" s="360">
        <f t="shared" si="21"/>
        <v>0.9</v>
      </c>
      <c r="I129" s="19"/>
      <c r="J129" s="34"/>
      <c r="K129" s="191" t="str">
        <f t="shared" si="29"/>
        <v/>
      </c>
      <c r="L129" s="192" t="str">
        <f t="shared" si="30"/>
        <v/>
      </c>
      <c r="M129" s="193"/>
      <c r="N129" s="193"/>
      <c r="O129" s="194" t="str">
        <f t="shared" si="31"/>
        <v/>
      </c>
      <c r="P129" s="194"/>
      <c r="Q129" s="241">
        <v>1E-3</v>
      </c>
      <c r="R129" s="241"/>
      <c r="S129" s="241">
        <f>'ACC CAL WITH GB - Method 6'!L112</f>
        <v>0.156</v>
      </c>
      <c r="T129" s="195"/>
      <c r="U129" s="195"/>
      <c r="V129" s="195"/>
      <c r="W129" s="195"/>
      <c r="X129" s="195"/>
      <c r="Y129" s="343"/>
      <c r="Z129" s="337">
        <v>0.6</v>
      </c>
      <c r="AA129" s="337">
        <v>0.8</v>
      </c>
      <c r="AB129" s="337">
        <v>0.67500000000000004</v>
      </c>
      <c r="AC129" s="337">
        <v>0.9</v>
      </c>
      <c r="AD129" s="337">
        <f t="shared" si="32"/>
        <v>0.9</v>
      </c>
      <c r="AE129" s="19"/>
      <c r="AF129" s="19"/>
      <c r="AG129" s="19"/>
      <c r="AH129" s="19"/>
      <c r="AI129" s="19"/>
      <c r="AJ129" s="19"/>
    </row>
    <row r="130" spans="1:36" ht="25" customHeight="1">
      <c r="A130" s="322" t="s">
        <v>165</v>
      </c>
      <c r="B130" s="358">
        <v>320</v>
      </c>
      <c r="C130" s="359"/>
      <c r="D130" s="359" t="str">
        <f t="shared" si="0"/>
        <v/>
      </c>
      <c r="E130" s="359" t="str">
        <f t="shared" si="0"/>
        <v/>
      </c>
      <c r="F130" s="358">
        <f t="shared" si="27"/>
        <v>319.50799999999998</v>
      </c>
      <c r="G130" s="358">
        <f t="shared" si="28"/>
        <v>320.49200000000002</v>
      </c>
      <c r="H130" s="360">
        <f t="shared" si="21"/>
        <v>0.49199999999999999</v>
      </c>
      <c r="I130" s="19"/>
      <c r="J130" s="34"/>
      <c r="K130" s="191" t="str">
        <f t="shared" si="29"/>
        <v/>
      </c>
      <c r="L130" s="192" t="str">
        <f t="shared" si="30"/>
        <v/>
      </c>
      <c r="M130" s="193"/>
      <c r="N130" s="193"/>
      <c r="O130" s="194" t="str">
        <f t="shared" si="31"/>
        <v/>
      </c>
      <c r="P130" s="194"/>
      <c r="Q130" s="241">
        <v>1E-3</v>
      </c>
      <c r="R130" s="241"/>
      <c r="S130" s="241">
        <f>'ACC CAL WITH GB - Method 6'!L113</f>
        <v>5.3999999999999992E-2</v>
      </c>
      <c r="T130" s="195"/>
      <c r="U130" s="195"/>
      <c r="V130" s="195"/>
      <c r="W130" s="195"/>
      <c r="X130" s="195"/>
      <c r="Y130" s="343"/>
      <c r="Z130" s="337">
        <v>0.38500000000000001</v>
      </c>
      <c r="AA130" s="337">
        <v>0.46</v>
      </c>
      <c r="AB130" s="337">
        <v>0.41699999999999998</v>
      </c>
      <c r="AC130" s="337">
        <v>0.49199999999999999</v>
      </c>
      <c r="AD130" s="337">
        <f t="shared" si="32"/>
        <v>0.49199999999999999</v>
      </c>
      <c r="AE130" s="19"/>
      <c r="AF130" s="19"/>
      <c r="AG130" s="19"/>
      <c r="AH130" s="19"/>
      <c r="AI130" s="19"/>
      <c r="AJ130" s="19"/>
    </row>
    <row r="131" spans="1:36" ht="25" customHeight="1">
      <c r="A131" s="322" t="s">
        <v>166</v>
      </c>
      <c r="B131" s="358">
        <v>320</v>
      </c>
      <c r="C131" s="359"/>
      <c r="D131" s="359" t="str">
        <f t="shared" si="0"/>
        <v/>
      </c>
      <c r="E131" s="359" t="str">
        <f t="shared" si="0"/>
        <v/>
      </c>
      <c r="F131" s="358">
        <f t="shared" si="27"/>
        <v>319.11599999999999</v>
      </c>
      <c r="G131" s="358">
        <f t="shared" si="28"/>
        <v>320.88400000000001</v>
      </c>
      <c r="H131" s="360">
        <f t="shared" si="21"/>
        <v>0.88400000000000001</v>
      </c>
      <c r="I131" s="19"/>
      <c r="J131" s="34"/>
      <c r="K131" s="191" t="str">
        <f t="shared" si="29"/>
        <v/>
      </c>
      <c r="L131" s="192" t="str">
        <f t="shared" si="30"/>
        <v/>
      </c>
      <c r="M131" s="193"/>
      <c r="N131" s="193"/>
      <c r="O131" s="194" t="str">
        <f t="shared" si="31"/>
        <v/>
      </c>
      <c r="P131" s="194"/>
      <c r="Q131" s="241">
        <v>1E-3</v>
      </c>
      <c r="R131" s="241"/>
      <c r="S131" s="241">
        <f>'ACC CAL WITH GB - Method 6'!L114</f>
        <v>0.15084</v>
      </c>
      <c r="T131" s="195">
        <v>0.12620000000000001</v>
      </c>
      <c r="U131" s="195"/>
      <c r="V131" s="195"/>
      <c r="W131" s="195"/>
      <c r="X131" s="195"/>
      <c r="Y131" s="343"/>
      <c r="Z131" s="337">
        <v>0.72699999999999998</v>
      </c>
      <c r="AA131" s="337">
        <v>0.85199999999999998</v>
      </c>
      <c r="AB131" s="337">
        <v>0.75900000000000001</v>
      </c>
      <c r="AC131" s="337">
        <v>0.88400000000000001</v>
      </c>
      <c r="AD131" s="337">
        <f t="shared" si="32"/>
        <v>0.88400000000000001</v>
      </c>
      <c r="AE131" s="19"/>
      <c r="AF131" s="19"/>
      <c r="AG131" s="19"/>
      <c r="AH131" s="19"/>
      <c r="AI131" s="19"/>
      <c r="AJ131" s="19"/>
    </row>
    <row r="132" spans="1:36" ht="25" customHeight="1">
      <c r="A132" s="322" t="s">
        <v>167</v>
      </c>
      <c r="B132" s="358">
        <v>320</v>
      </c>
      <c r="C132" s="359"/>
      <c r="D132" s="359" t="str">
        <f t="shared" si="0"/>
        <v/>
      </c>
      <c r="E132" s="359" t="str">
        <f t="shared" si="0"/>
        <v/>
      </c>
      <c r="F132" s="358">
        <f t="shared" si="27"/>
        <v>317.27999999999997</v>
      </c>
      <c r="G132" s="358">
        <f t="shared" si="28"/>
        <v>322.72000000000003</v>
      </c>
      <c r="H132" s="360">
        <f t="shared" si="21"/>
        <v>2.72</v>
      </c>
      <c r="I132" s="19"/>
      <c r="J132" s="34"/>
      <c r="K132" s="191" t="str">
        <f t="shared" si="29"/>
        <v/>
      </c>
      <c r="L132" s="192" t="str">
        <f t="shared" si="30"/>
        <v/>
      </c>
      <c r="M132" s="193"/>
      <c r="N132" s="193"/>
      <c r="O132" s="194" t="str">
        <f t="shared" si="31"/>
        <v/>
      </c>
      <c r="P132" s="194"/>
      <c r="Q132" s="241">
        <v>1E-3</v>
      </c>
      <c r="R132" s="241"/>
      <c r="S132" s="241">
        <f>'ACC CAL WITH GB - Method 6'!L115</f>
        <v>0.55700000000000005</v>
      </c>
      <c r="T132" s="195">
        <v>0.12620000000000001</v>
      </c>
      <c r="U132" s="195"/>
      <c r="V132" s="195"/>
      <c r="W132" s="195"/>
      <c r="X132" s="195"/>
      <c r="Y132" s="343"/>
      <c r="Z132" s="337">
        <v>2.52</v>
      </c>
      <c r="AA132" s="337">
        <v>2.72</v>
      </c>
      <c r="AB132" s="337">
        <v>2.52</v>
      </c>
      <c r="AC132" s="337">
        <v>2.72</v>
      </c>
      <c r="AD132" s="337">
        <f t="shared" si="32"/>
        <v>2.72</v>
      </c>
      <c r="AE132" s="19"/>
      <c r="AF132" s="19"/>
      <c r="AG132" s="19"/>
      <c r="AH132" s="19"/>
      <c r="AI132" s="19"/>
      <c r="AJ132" s="19"/>
    </row>
    <row r="133" spans="1:36" ht="26.15" customHeight="1">
      <c r="C133" s="52"/>
      <c r="Z133" s="34"/>
      <c r="AA133" s="34"/>
      <c r="AB133" s="34"/>
      <c r="AC133" s="34"/>
      <c r="AD133" s="345"/>
      <c r="AE133" s="19"/>
      <c r="AF133" s="19"/>
      <c r="AG133" s="19"/>
      <c r="AH133" s="19"/>
      <c r="AI133" s="19"/>
      <c r="AJ133" s="19"/>
    </row>
    <row r="134" spans="1:36" ht="26.15" customHeight="1">
      <c r="A134" s="328" t="s">
        <v>175</v>
      </c>
      <c r="C134" s="230"/>
      <c r="D134" s="329"/>
      <c r="E134" s="329"/>
      <c r="H134" s="213"/>
      <c r="I134" s="214"/>
      <c r="J134" s="215"/>
      <c r="Z134" s="34"/>
      <c r="AA134" s="34"/>
      <c r="AB134" s="34"/>
      <c r="AC134" s="34"/>
      <c r="AD134" s="34"/>
      <c r="AE134" s="34"/>
      <c r="AF134" s="34"/>
      <c r="AG134" s="19"/>
      <c r="AH134" s="19"/>
      <c r="AI134" s="19"/>
      <c r="AJ134" s="19"/>
    </row>
    <row r="135" spans="1:36" s="231" customFormat="1" ht="1" customHeight="1">
      <c r="A135" s="76"/>
      <c r="B135" s="151"/>
      <c r="C135" s="230"/>
      <c r="D135" s="331"/>
      <c r="E135" s="331"/>
      <c r="F135" s="151"/>
      <c r="H135" s="53"/>
      <c r="I135" s="32"/>
      <c r="J135" s="232"/>
      <c r="K135" s="233"/>
      <c r="L135" s="234"/>
      <c r="M135" s="234"/>
      <c r="N135" s="234"/>
      <c r="O135" s="234"/>
      <c r="P135" s="234"/>
      <c r="Q135" s="234"/>
      <c r="R135" s="234"/>
      <c r="S135" s="234"/>
      <c r="T135" s="234"/>
      <c r="U135" s="234"/>
      <c r="V135" s="234"/>
      <c r="W135" s="234"/>
      <c r="X135" s="234"/>
      <c r="Y135" s="234"/>
      <c r="Z135" s="332"/>
      <c r="AA135" s="332"/>
      <c r="AB135" s="332"/>
      <c r="AC135" s="332"/>
      <c r="AD135" s="283"/>
    </row>
    <row r="136" spans="1:36" s="226" customFormat="1" ht="3.75" customHeight="1">
      <c r="A136" s="288"/>
      <c r="B136" s="225"/>
      <c r="C136" s="333"/>
      <c r="D136" s="225"/>
      <c r="E136" s="225"/>
      <c r="F136" s="225"/>
      <c r="H136" s="54"/>
      <c r="I136" s="227"/>
      <c r="J136" s="228"/>
      <c r="K136" s="229"/>
      <c r="L136" s="229"/>
      <c r="M136" s="229"/>
      <c r="N136" s="229"/>
      <c r="O136" s="229"/>
      <c r="P136" s="229"/>
      <c r="Q136" s="229"/>
      <c r="R136" s="229"/>
      <c r="S136" s="229"/>
      <c r="T136" s="229"/>
      <c r="U136" s="229"/>
      <c r="V136" s="229"/>
      <c r="W136" s="229"/>
      <c r="X136" s="229"/>
      <c r="Y136" s="229"/>
      <c r="Z136" s="334"/>
      <c r="AA136" s="334"/>
      <c r="AB136" s="334"/>
      <c r="AC136" s="334"/>
      <c r="AD136" s="335"/>
    </row>
    <row r="137" spans="1:36" ht="23.65" customHeight="1">
      <c r="A137" s="614" t="s">
        <v>176</v>
      </c>
      <c r="B137" s="616" t="s">
        <v>132</v>
      </c>
      <c r="C137" s="326"/>
      <c r="D137" s="327" t="s">
        <v>14</v>
      </c>
      <c r="E137" s="327"/>
      <c r="F137" s="616" t="s">
        <v>2</v>
      </c>
      <c r="G137" s="616" t="s">
        <v>3</v>
      </c>
      <c r="H137" s="627" t="s">
        <v>29</v>
      </c>
      <c r="I137" s="19"/>
      <c r="J137" s="33"/>
      <c r="K137" s="616" t="s">
        <v>98</v>
      </c>
      <c r="L137" s="616" t="s">
        <v>99</v>
      </c>
      <c r="M137" s="163"/>
      <c r="N137" s="163"/>
      <c r="O137" s="622" t="s">
        <v>113</v>
      </c>
      <c r="P137" s="623"/>
      <c r="Q137" s="623"/>
      <c r="R137" s="623"/>
      <c r="S137" s="623"/>
      <c r="T137" s="623"/>
      <c r="U137" s="623"/>
      <c r="V137" s="623"/>
      <c r="W137" s="623"/>
      <c r="X137" s="624"/>
      <c r="Y137" s="336"/>
      <c r="Z137" s="337"/>
      <c r="AA137" s="337" t="s">
        <v>149</v>
      </c>
      <c r="AB137" s="337"/>
      <c r="AC137" s="337" t="s">
        <v>150</v>
      </c>
      <c r="AD137" s="290"/>
      <c r="AE137" s="19"/>
      <c r="AF137" s="19"/>
      <c r="AG137" s="19"/>
      <c r="AH137" s="19"/>
      <c r="AI137" s="19"/>
      <c r="AJ137" s="19"/>
    </row>
    <row r="138" spans="1:36" ht="23.65" customHeight="1" thickBot="1">
      <c r="A138" s="615"/>
      <c r="B138" s="617"/>
      <c r="C138" s="198">
        <v>1</v>
      </c>
      <c r="D138" s="198">
        <v>2</v>
      </c>
      <c r="E138" s="198">
        <v>3</v>
      </c>
      <c r="F138" s="629"/>
      <c r="G138" s="617"/>
      <c r="H138" s="628"/>
      <c r="I138" s="19"/>
      <c r="J138" s="34"/>
      <c r="K138" s="625"/>
      <c r="L138" s="617"/>
      <c r="M138" s="163"/>
      <c r="N138" s="163"/>
      <c r="O138" s="199" t="s">
        <v>100</v>
      </c>
      <c r="P138" s="200" t="s">
        <v>101</v>
      </c>
      <c r="Q138" s="199" t="s">
        <v>102</v>
      </c>
      <c r="R138" s="200" t="s">
        <v>103</v>
      </c>
      <c r="S138" s="199" t="s">
        <v>219</v>
      </c>
      <c r="T138" s="201" t="s">
        <v>105</v>
      </c>
      <c r="U138" s="202" t="s">
        <v>106</v>
      </c>
      <c r="V138" s="202" t="s">
        <v>107</v>
      </c>
      <c r="W138" s="202" t="s">
        <v>108</v>
      </c>
      <c r="X138" s="203" t="s">
        <v>109</v>
      </c>
      <c r="Y138" s="336"/>
      <c r="Z138" s="338" t="s">
        <v>141</v>
      </c>
      <c r="AA138" s="338" t="s">
        <v>151</v>
      </c>
      <c r="AB138" s="338" t="s">
        <v>141</v>
      </c>
      <c r="AC138" s="338" t="s">
        <v>151</v>
      </c>
      <c r="AD138" s="338" t="s">
        <v>152</v>
      </c>
      <c r="AE138" s="19"/>
      <c r="AF138" s="19"/>
      <c r="AG138" s="19"/>
      <c r="AH138" s="19"/>
      <c r="AI138" s="19"/>
      <c r="AJ138" s="19"/>
    </row>
    <row r="139" spans="1:36" ht="25" customHeight="1" thickTop="1">
      <c r="A139" s="632" t="s">
        <v>177</v>
      </c>
      <c r="B139" s="369">
        <v>10</v>
      </c>
      <c r="C139" s="370"/>
      <c r="D139" s="370" t="str">
        <f t="shared" ref="D139:E188" si="34">IF($C139="","",$C139)</f>
        <v/>
      </c>
      <c r="E139" s="370" t="str">
        <f t="shared" si="34"/>
        <v/>
      </c>
      <c r="F139" s="369">
        <f>IF(B139="","",IFERROR(B139-H139,"NA"))</f>
        <v>9.9969999999999999</v>
      </c>
      <c r="G139" s="369">
        <f>IF(B139="","",IFERROR(B139+H139,"NA"))</f>
        <v>10.003</v>
      </c>
      <c r="H139" s="371">
        <f t="shared" si="21"/>
        <v>3.0000000000000001E-3</v>
      </c>
      <c r="I139" s="19"/>
      <c r="J139" s="34"/>
      <c r="K139" s="191" t="str">
        <f>IF(OR(C139="NA",C139=""), "",COUNTA(C139:E139))</f>
        <v/>
      </c>
      <c r="L139" s="192" t="str">
        <f>IF(ISTEXT(C139)=TRUE, INDEX(C139:E139,MODE(MATCH(C139:E139,C139:E139,0))),IF(C139="","",IF(C139="NA","NA",AVERAGE(C139:E139))))</f>
        <v/>
      </c>
      <c r="M139" s="193"/>
      <c r="N139" s="193"/>
      <c r="O139" s="194" t="str">
        <f>IF(OR(ISTEXT(C139)=TRUE, C139=""),"",STDEV(C139:E139))</f>
        <v/>
      </c>
      <c r="P139" s="194"/>
      <c r="Q139" s="241">
        <v>1.0000000000000001E-5</v>
      </c>
      <c r="R139" s="241"/>
      <c r="S139" s="241">
        <f>'ACC CAL WITH GB - Method 6'!L122</f>
        <v>1.1000000000000001E-6</v>
      </c>
      <c r="T139" s="195"/>
      <c r="U139" s="195"/>
      <c r="V139" s="195"/>
      <c r="W139" s="195"/>
      <c r="X139" s="195"/>
      <c r="Y139" s="343"/>
      <c r="Z139" s="337">
        <v>3.0000000000000001E-3</v>
      </c>
      <c r="AA139" s="337">
        <v>3.0000000000000001E-3</v>
      </c>
      <c r="AB139" s="337">
        <v>3.0000000000000001E-3</v>
      </c>
      <c r="AC139" s="337">
        <v>3.0000000000000001E-3</v>
      </c>
      <c r="AD139" s="337">
        <f t="shared" ref="AD139:AD142" si="35">IF(AD$31=1,Z139,IF(AD$31=2,AB139,IF(AD$31=3,AA139,AC139)))</f>
        <v>3.0000000000000001E-3</v>
      </c>
      <c r="AE139" s="19"/>
      <c r="AF139" s="19"/>
      <c r="AG139" s="19"/>
      <c r="AH139" s="19"/>
      <c r="AI139" s="19"/>
      <c r="AJ139" s="19"/>
    </row>
    <row r="140" spans="1:36" ht="25" customHeight="1">
      <c r="A140" s="633"/>
      <c r="B140" s="369">
        <v>40</v>
      </c>
      <c r="C140" s="370"/>
      <c r="D140" s="370" t="str">
        <f t="shared" si="34"/>
        <v/>
      </c>
      <c r="E140" s="370" t="str">
        <f t="shared" si="34"/>
        <v/>
      </c>
      <c r="F140" s="369">
        <f>IF(B140="","",IFERROR(B140-H140,"NA"))</f>
        <v>39.996000000000002</v>
      </c>
      <c r="G140" s="369">
        <f>IF(B140="","",IFERROR(B140+H140,"NA"))</f>
        <v>40.003999999999998</v>
      </c>
      <c r="H140" s="371">
        <f t="shared" si="21"/>
        <v>4.0000000000000001E-3</v>
      </c>
      <c r="I140" s="19"/>
      <c r="J140" s="34"/>
      <c r="K140" s="191" t="str">
        <f>IF(OR(C140="NA",C140=""), "",COUNTA(C140:E140))</f>
        <v/>
      </c>
      <c r="L140" s="192" t="str">
        <f>IF(ISTEXT(C140)=TRUE, INDEX(C140:E140,MODE(MATCH(C140:E140,C140:E140,0))),IF(C140="","",IF(C140="NA","NA",AVERAGE(C140:E140))))</f>
        <v/>
      </c>
      <c r="M140" s="193"/>
      <c r="N140" s="193"/>
      <c r="O140" s="194" t="str">
        <f>IF(OR(ISTEXT(C140)=TRUE, C140=""),"",STDEV(C140:E140))</f>
        <v/>
      </c>
      <c r="P140" s="194"/>
      <c r="Q140" s="241">
        <v>1.0000000000000001E-5</v>
      </c>
      <c r="R140" s="241"/>
      <c r="S140" s="241">
        <f>'ACC CAL WITH GB - Method 6'!L123</f>
        <v>4.4000000000000002E-6</v>
      </c>
      <c r="T140" s="195"/>
      <c r="U140" s="195"/>
      <c r="V140" s="195"/>
      <c r="W140" s="195"/>
      <c r="X140" s="195"/>
      <c r="Y140" s="343"/>
      <c r="Z140" s="337">
        <v>4.0000000000000001E-3</v>
      </c>
      <c r="AA140" s="337">
        <v>4.0000000000000001E-3</v>
      </c>
      <c r="AB140" s="337">
        <v>4.0000000000000001E-3</v>
      </c>
      <c r="AC140" s="337">
        <v>4.0000000000000001E-3</v>
      </c>
      <c r="AD140" s="337">
        <f t="shared" si="35"/>
        <v>4.0000000000000001E-3</v>
      </c>
      <c r="AE140" s="19"/>
      <c r="AF140" s="19"/>
      <c r="AG140" s="19"/>
      <c r="AH140" s="19"/>
      <c r="AI140" s="19"/>
      <c r="AJ140" s="19"/>
    </row>
    <row r="141" spans="1:36" ht="25" customHeight="1">
      <c r="A141" s="612" t="s">
        <v>178</v>
      </c>
      <c r="B141" s="372">
        <v>300</v>
      </c>
      <c r="C141" s="373"/>
      <c r="D141" s="373" t="str">
        <f t="shared" si="34"/>
        <v/>
      </c>
      <c r="E141" s="373" t="str">
        <f t="shared" si="34"/>
        <v/>
      </c>
      <c r="F141" s="372">
        <f>IF(B141="","",IFERROR(B141-H141,"NA"))</f>
        <v>299.97000000000003</v>
      </c>
      <c r="G141" s="372">
        <f>IF(B141="","",IFERROR(B141+H141,"NA"))</f>
        <v>300.02999999999997</v>
      </c>
      <c r="H141" s="374">
        <f t="shared" si="21"/>
        <v>0.03</v>
      </c>
      <c r="I141" s="19"/>
      <c r="J141" s="34"/>
      <c r="K141" s="191" t="str">
        <f>IF(OR(C141="NA",C141=""), "",COUNTA(C141:E141))</f>
        <v/>
      </c>
      <c r="L141" s="192" t="str">
        <f>IF(ISTEXT(C141)=TRUE, INDEX(C141:E141,MODE(MATCH(C141:E141,C141:E141,0))),IF(C141="","",IF(C141="NA","NA",AVERAGE(C141:E141))))</f>
        <v/>
      </c>
      <c r="M141" s="193"/>
      <c r="N141" s="193"/>
      <c r="O141" s="194" t="str">
        <f>IF(OR(ISTEXT(C141)=TRUE, C141=""),"",STDEV(C141:E141))</f>
        <v/>
      </c>
      <c r="P141" s="194"/>
      <c r="Q141" s="241">
        <v>1E-4</v>
      </c>
      <c r="R141" s="241"/>
      <c r="S141" s="241">
        <f>'ACC CAL WITH GB - Method 6'!L124</f>
        <v>3.3000000000000003E-5</v>
      </c>
      <c r="T141" s="195"/>
      <c r="U141" s="195"/>
      <c r="V141" s="195"/>
      <c r="W141" s="195"/>
      <c r="X141" s="195"/>
      <c r="Y141" s="343"/>
      <c r="Z141" s="337">
        <v>0.03</v>
      </c>
      <c r="AA141" s="337">
        <v>0.03</v>
      </c>
      <c r="AB141" s="337">
        <v>0.03</v>
      </c>
      <c r="AC141" s="337">
        <v>0.03</v>
      </c>
      <c r="AD141" s="337">
        <f t="shared" si="35"/>
        <v>0.03</v>
      </c>
      <c r="AE141" s="19"/>
      <c r="AF141" s="19"/>
      <c r="AG141" s="19"/>
      <c r="AH141" s="19"/>
      <c r="AI141" s="19"/>
      <c r="AJ141" s="19"/>
    </row>
    <row r="142" spans="1:36" ht="25" customHeight="1">
      <c r="A142" s="613"/>
      <c r="B142" s="375">
        <v>1</v>
      </c>
      <c r="C142" s="376"/>
      <c r="D142" s="376" t="str">
        <f t="shared" si="34"/>
        <v/>
      </c>
      <c r="E142" s="376" t="str">
        <f t="shared" si="34"/>
        <v/>
      </c>
      <c r="F142" s="375">
        <f>IF(B142="","",IFERROR(B142-H142,"NA"))</f>
        <v>0.99990000000000001</v>
      </c>
      <c r="G142" s="375">
        <f>IF(B142="","",IFERROR(B142+H142,"NA"))</f>
        <v>1.0001</v>
      </c>
      <c r="H142" s="377">
        <f t="shared" si="21"/>
        <v>1E-4</v>
      </c>
      <c r="I142" s="19"/>
      <c r="J142" s="34"/>
      <c r="K142" s="191" t="str">
        <f>IF(OR(C142="NA",C142=""), "",COUNTA(C142:E142))</f>
        <v/>
      </c>
      <c r="L142" s="192" t="str">
        <f>IF(ISTEXT(C142)=TRUE, INDEX(C142:E142,MODE(MATCH(C142:E142,C142:E142,0))),IF(C142="","",IF(C142="NA","NA",AVERAGE(C142:E142))))</f>
        <v/>
      </c>
      <c r="M142" s="193"/>
      <c r="N142" s="193"/>
      <c r="O142" s="194" t="str">
        <f>IF(OR(ISTEXT(C142)=TRUE, C142=""),"",STDEV(C142:E142))</f>
        <v/>
      </c>
      <c r="P142" s="194"/>
      <c r="Q142" s="241">
        <v>9.9999999999999995E-7</v>
      </c>
      <c r="R142" s="241"/>
      <c r="S142" s="241">
        <f>'ACC CAL WITH GB - Method 6'!L125</f>
        <v>1.1000000000000001E-7</v>
      </c>
      <c r="T142" s="195"/>
      <c r="U142" s="195"/>
      <c r="V142" s="195"/>
      <c r="W142" s="195"/>
      <c r="X142" s="195"/>
      <c r="Y142" s="343"/>
      <c r="Z142" s="337"/>
      <c r="AA142" s="337">
        <v>1E-4</v>
      </c>
      <c r="AB142" s="337"/>
      <c r="AC142" s="337">
        <v>1E-4</v>
      </c>
      <c r="AD142" s="337">
        <f t="shared" si="35"/>
        <v>1E-4</v>
      </c>
      <c r="AE142" s="19"/>
      <c r="AF142" s="19"/>
      <c r="AG142" s="19"/>
      <c r="AH142" s="19"/>
      <c r="AI142" s="19"/>
      <c r="AJ142" s="19"/>
    </row>
    <row r="143" spans="1:36" ht="26.15" customHeight="1">
      <c r="A143" s="318"/>
      <c r="C143" s="52"/>
      <c r="Z143" s="34"/>
      <c r="AA143" s="34"/>
      <c r="AB143" s="34"/>
      <c r="AC143" s="34"/>
      <c r="AD143" s="290"/>
      <c r="AE143" s="19"/>
      <c r="AF143" s="19"/>
      <c r="AG143" s="19"/>
      <c r="AH143" s="19"/>
      <c r="AI143" s="19"/>
      <c r="AJ143" s="19"/>
    </row>
    <row r="144" spans="1:36" ht="25.75" customHeight="1">
      <c r="A144" s="328" t="s">
        <v>179</v>
      </c>
      <c r="C144" s="230"/>
      <c r="D144" s="329"/>
      <c r="E144" s="329"/>
      <c r="H144" s="213"/>
      <c r="I144" s="214"/>
      <c r="J144" s="215"/>
      <c r="Z144" s="34"/>
      <c r="AA144" s="34"/>
      <c r="AB144" s="34"/>
      <c r="AC144" s="34"/>
      <c r="AD144" s="345"/>
      <c r="AE144" s="19"/>
      <c r="AF144" s="19"/>
      <c r="AG144" s="19"/>
      <c r="AH144" s="19"/>
      <c r="AI144" s="19"/>
      <c r="AJ144" s="19"/>
    </row>
    <row r="145" spans="1:36" s="231" customFormat="1" ht="19.75" customHeight="1">
      <c r="A145" s="76" t="s">
        <v>180</v>
      </c>
      <c r="B145" s="151"/>
      <c r="C145" s="230"/>
      <c r="D145" s="331"/>
      <c r="E145" s="331"/>
      <c r="F145" s="151"/>
      <c r="H145" s="53"/>
      <c r="I145" s="32"/>
      <c r="J145" s="232"/>
      <c r="K145" s="233"/>
      <c r="L145" s="234"/>
      <c r="M145" s="234"/>
      <c r="N145" s="234"/>
      <c r="O145" s="234"/>
      <c r="P145" s="234"/>
      <c r="Q145" s="234"/>
      <c r="R145" s="234"/>
      <c r="S145" s="234"/>
      <c r="T145" s="234"/>
      <c r="U145" s="234"/>
      <c r="V145" s="234"/>
      <c r="W145" s="234"/>
      <c r="X145" s="234"/>
      <c r="Y145" s="234"/>
      <c r="Z145" s="332"/>
      <c r="AA145" s="332"/>
      <c r="AB145" s="332"/>
      <c r="AC145" s="332"/>
      <c r="AD145" s="283"/>
    </row>
    <row r="146" spans="1:36" s="226" customFormat="1" ht="5.15" customHeight="1">
      <c r="A146" s="288"/>
      <c r="B146" s="225"/>
      <c r="C146" s="333"/>
      <c r="D146" s="225"/>
      <c r="E146" s="225"/>
      <c r="F146" s="225"/>
      <c r="H146" s="54"/>
      <c r="I146" s="227"/>
      <c r="J146" s="228"/>
      <c r="K146" s="229"/>
      <c r="L146" s="229"/>
      <c r="M146" s="229"/>
      <c r="N146" s="229"/>
      <c r="O146" s="229"/>
      <c r="P146" s="229"/>
      <c r="Q146" s="229"/>
      <c r="R146" s="229"/>
      <c r="S146" s="229"/>
      <c r="T146" s="229"/>
      <c r="U146" s="229"/>
      <c r="V146" s="229"/>
      <c r="W146" s="229"/>
      <c r="X146" s="229"/>
      <c r="Y146" s="229"/>
      <c r="Z146" s="334"/>
      <c r="AA146" s="334"/>
      <c r="AB146" s="334"/>
      <c r="AC146" s="334"/>
      <c r="AD146" s="335"/>
    </row>
    <row r="147" spans="1:36" ht="23.65" customHeight="1">
      <c r="A147" s="614" t="s">
        <v>131</v>
      </c>
      <c r="B147" s="616" t="s">
        <v>132</v>
      </c>
      <c r="C147" s="326"/>
      <c r="D147" s="327" t="s">
        <v>14</v>
      </c>
      <c r="E147" s="327"/>
      <c r="F147" s="616" t="s">
        <v>2</v>
      </c>
      <c r="G147" s="616" t="s">
        <v>3</v>
      </c>
      <c r="H147" s="627" t="s">
        <v>29</v>
      </c>
      <c r="I147" s="19"/>
      <c r="J147" s="33"/>
      <c r="K147" s="616" t="s">
        <v>98</v>
      </c>
      <c r="L147" s="616" t="s">
        <v>99</v>
      </c>
      <c r="M147" s="163"/>
      <c r="N147" s="163"/>
      <c r="O147" s="622" t="s">
        <v>113</v>
      </c>
      <c r="P147" s="623"/>
      <c r="Q147" s="623"/>
      <c r="R147" s="623"/>
      <c r="S147" s="623"/>
      <c r="T147" s="623"/>
      <c r="U147" s="623"/>
      <c r="V147" s="623"/>
      <c r="W147" s="623"/>
      <c r="X147" s="624"/>
      <c r="Y147" s="336"/>
      <c r="Z147" s="337"/>
      <c r="AA147" s="337" t="s">
        <v>149</v>
      </c>
      <c r="AB147" s="337"/>
      <c r="AC147" s="337" t="s">
        <v>150</v>
      </c>
      <c r="AD147" s="290"/>
      <c r="AE147" s="19"/>
      <c r="AF147" s="19"/>
      <c r="AG147" s="19"/>
      <c r="AH147" s="19"/>
      <c r="AI147" s="19"/>
      <c r="AJ147" s="19"/>
    </row>
    <row r="148" spans="1:36" ht="23.65" customHeight="1" thickBot="1">
      <c r="A148" s="615"/>
      <c r="B148" s="617"/>
      <c r="C148" s="198">
        <v>1</v>
      </c>
      <c r="D148" s="198">
        <v>2</v>
      </c>
      <c r="E148" s="198">
        <v>3</v>
      </c>
      <c r="F148" s="629"/>
      <c r="G148" s="617"/>
      <c r="H148" s="628"/>
      <c r="I148" s="19"/>
      <c r="J148" s="34"/>
      <c r="K148" s="625"/>
      <c r="L148" s="617"/>
      <c r="M148" s="163"/>
      <c r="N148" s="163"/>
      <c r="O148" s="199" t="s">
        <v>100</v>
      </c>
      <c r="P148" s="200" t="s">
        <v>101</v>
      </c>
      <c r="Q148" s="199" t="s">
        <v>102</v>
      </c>
      <c r="R148" s="200" t="s">
        <v>103</v>
      </c>
      <c r="S148" s="199" t="s">
        <v>219</v>
      </c>
      <c r="T148" s="201" t="s">
        <v>105</v>
      </c>
      <c r="U148" s="202" t="s">
        <v>106</v>
      </c>
      <c r="V148" s="202" t="s">
        <v>107</v>
      </c>
      <c r="W148" s="202" t="s">
        <v>108</v>
      </c>
      <c r="X148" s="203" t="s">
        <v>109</v>
      </c>
      <c r="Y148" s="336"/>
      <c r="Z148" s="338" t="s">
        <v>141</v>
      </c>
      <c r="AA148" s="338" t="s">
        <v>151</v>
      </c>
      <c r="AB148" s="338" t="s">
        <v>141</v>
      </c>
      <c r="AC148" s="338" t="s">
        <v>151</v>
      </c>
      <c r="AD148" s="338" t="s">
        <v>152</v>
      </c>
      <c r="AE148" s="19"/>
      <c r="AF148" s="19"/>
      <c r="AG148" s="19"/>
      <c r="AH148" s="19"/>
      <c r="AI148" s="19"/>
      <c r="AJ148" s="19"/>
    </row>
    <row r="149" spans="1:36" ht="25" customHeight="1" thickTop="1">
      <c r="A149" s="634" t="s">
        <v>181</v>
      </c>
      <c r="B149" s="378">
        <v>0</v>
      </c>
      <c r="C149" s="379"/>
      <c r="D149" s="379" t="str">
        <f t="shared" si="34"/>
        <v/>
      </c>
      <c r="E149" s="379" t="str">
        <f t="shared" si="34"/>
        <v/>
      </c>
      <c r="F149" s="378">
        <v>0</v>
      </c>
      <c r="G149" s="378">
        <f>IF(B149="","",IFERROR(B149+H149,"NA"))</f>
        <v>3.0000000000000001E-3</v>
      </c>
      <c r="H149" s="380">
        <f t="shared" si="21"/>
        <v>3.0000000000000001E-3</v>
      </c>
      <c r="I149" s="19"/>
      <c r="J149" s="34"/>
      <c r="K149" s="191" t="str">
        <f t="shared" ref="K149:K212" si="36">IF(OR(C149="NA",C149=""), "",COUNTA(C149:E149))</f>
        <v/>
      </c>
      <c r="L149" s="192" t="str">
        <f t="shared" ref="L149:L212" si="37">IF(ISTEXT(C149)=TRUE, INDEX(C149:E149,MODE(MATCH(C149:E149,C149:E149,0))),IF(C149="","",IF(C149="NA","NA",AVERAGE(C149:E149))))</f>
        <v/>
      </c>
      <c r="M149" s="193"/>
      <c r="N149" s="193"/>
      <c r="O149" s="194" t="str">
        <f t="shared" ref="O149:O212" si="38">IF(OR(ISTEXT(C149)=TRUE, C149=""),"",STDEV(C149:E149))</f>
        <v/>
      </c>
      <c r="P149" s="194"/>
      <c r="Q149" s="241">
        <v>1.0000000000000001E-5</v>
      </c>
      <c r="R149" s="241"/>
      <c r="S149" s="241">
        <f>'ACC CAL WITH GB - Method 6'!L132</f>
        <v>1E-3</v>
      </c>
      <c r="T149" s="195"/>
      <c r="U149" s="195"/>
      <c r="V149" s="195"/>
      <c r="W149" s="195"/>
      <c r="X149" s="195"/>
      <c r="Y149" s="343"/>
      <c r="Z149" s="337"/>
      <c r="AA149" s="337">
        <v>3.0000000000000001E-3</v>
      </c>
      <c r="AB149" s="337"/>
      <c r="AC149" s="337">
        <v>3.0000000000000001E-3</v>
      </c>
      <c r="AD149" s="337">
        <f t="shared" ref="AD149:AD158" si="39">IF(AD$31=1,Z149,IF(AD$31=2,AB149,IF(AD$31=3,AA149,AC149)))</f>
        <v>3.0000000000000001E-3</v>
      </c>
      <c r="AE149" s="19"/>
      <c r="AF149" s="19"/>
      <c r="AG149" s="19"/>
      <c r="AH149" s="19"/>
      <c r="AI149" s="19"/>
      <c r="AJ149" s="19"/>
    </row>
    <row r="150" spans="1:36" ht="25" customHeight="1">
      <c r="A150" s="613"/>
      <c r="B150" s="378">
        <v>10</v>
      </c>
      <c r="C150" s="379"/>
      <c r="D150" s="379" t="str">
        <f t="shared" si="34"/>
        <v/>
      </c>
      <c r="E150" s="379" t="str">
        <f t="shared" si="34"/>
        <v/>
      </c>
      <c r="F150" s="378">
        <f t="shared" ref="F150:F213" si="40">IF(B150="","",IFERROR(B150-H150,"NA"))</f>
        <v>9.9960000000000004</v>
      </c>
      <c r="G150" s="378">
        <f t="shared" ref="G150:G213" si="41">IF(B150="","",IFERROR(B150+H150,"NA"))</f>
        <v>10.004</v>
      </c>
      <c r="H150" s="380">
        <f t="shared" si="21"/>
        <v>4.0000000000000001E-3</v>
      </c>
      <c r="I150" s="19"/>
      <c r="J150" s="34"/>
      <c r="K150" s="191" t="str">
        <f t="shared" si="36"/>
        <v/>
      </c>
      <c r="L150" s="192" t="str">
        <f t="shared" si="37"/>
        <v/>
      </c>
      <c r="M150" s="193"/>
      <c r="N150" s="193"/>
      <c r="O150" s="194" t="str">
        <f t="shared" si="38"/>
        <v/>
      </c>
      <c r="P150" s="194"/>
      <c r="Q150" s="241">
        <v>1.0000000000000001E-5</v>
      </c>
      <c r="R150" s="241"/>
      <c r="S150" s="241">
        <f>'ACC CAL WITH GB - Method 6'!L133</f>
        <v>1.5100000000000001E-3</v>
      </c>
      <c r="T150" s="195"/>
      <c r="U150" s="195"/>
      <c r="V150" s="195"/>
      <c r="W150" s="195"/>
      <c r="X150" s="195"/>
      <c r="Y150" s="343"/>
      <c r="Z150" s="337"/>
      <c r="AA150" s="337">
        <v>3.8E-3</v>
      </c>
      <c r="AB150" s="337"/>
      <c r="AC150" s="337">
        <v>4.0000000000000001E-3</v>
      </c>
      <c r="AD150" s="337">
        <f t="shared" si="39"/>
        <v>4.0000000000000001E-3</v>
      </c>
      <c r="AE150" s="19"/>
      <c r="AF150" s="19"/>
      <c r="AG150" s="19"/>
      <c r="AH150" s="19"/>
      <c r="AI150" s="19"/>
      <c r="AJ150" s="19"/>
    </row>
    <row r="151" spans="1:36" ht="25" customHeight="1">
      <c r="A151" s="612" t="s">
        <v>182</v>
      </c>
      <c r="B151" s="381">
        <v>0</v>
      </c>
      <c r="C151" s="382"/>
      <c r="D151" s="382" t="str">
        <f t="shared" si="34"/>
        <v/>
      </c>
      <c r="E151" s="382" t="str">
        <f t="shared" si="34"/>
        <v/>
      </c>
      <c r="F151" s="381">
        <v>0</v>
      </c>
      <c r="G151" s="381">
        <f t="shared" si="41"/>
        <v>4.0000000000000001E-3</v>
      </c>
      <c r="H151" s="383">
        <f t="shared" si="21"/>
        <v>4.0000000000000001E-3</v>
      </c>
      <c r="I151" s="19"/>
      <c r="J151" s="34"/>
      <c r="K151" s="191" t="str">
        <f t="shared" si="36"/>
        <v/>
      </c>
      <c r="L151" s="192" t="str">
        <f t="shared" si="37"/>
        <v/>
      </c>
      <c r="M151" s="193"/>
      <c r="N151" s="193"/>
      <c r="O151" s="194" t="str">
        <f t="shared" si="38"/>
        <v/>
      </c>
      <c r="P151" s="194"/>
      <c r="Q151" s="241">
        <v>1E-4</v>
      </c>
      <c r="R151" s="241"/>
      <c r="S151" s="241">
        <f>'ACC CAL WITH GB - Method 6'!L134</f>
        <v>1.4E-3</v>
      </c>
      <c r="T151" s="195"/>
      <c r="U151" s="195"/>
      <c r="V151" s="195"/>
      <c r="W151" s="195"/>
      <c r="X151" s="195"/>
      <c r="Y151" s="343"/>
      <c r="Z151" s="337">
        <v>4.0000000000000001E-3</v>
      </c>
      <c r="AA151" s="337">
        <v>4.0000000000000001E-3</v>
      </c>
      <c r="AB151" s="337">
        <v>4.0000000000000001E-3</v>
      </c>
      <c r="AC151" s="337">
        <v>4.0000000000000001E-3</v>
      </c>
      <c r="AD151" s="337">
        <f t="shared" si="39"/>
        <v>4.0000000000000001E-3</v>
      </c>
      <c r="AE151" s="19"/>
      <c r="AF151" s="19"/>
      <c r="AG151" s="19"/>
      <c r="AH151" s="19"/>
      <c r="AI151" s="19"/>
      <c r="AJ151" s="19"/>
    </row>
    <row r="152" spans="1:36" ht="25" customHeight="1">
      <c r="A152" s="613"/>
      <c r="B152" s="381">
        <v>100</v>
      </c>
      <c r="C152" s="382"/>
      <c r="D152" s="382" t="str">
        <f t="shared" si="34"/>
        <v/>
      </c>
      <c r="E152" s="382" t="str">
        <f t="shared" si="34"/>
        <v/>
      </c>
      <c r="F152" s="381">
        <f t="shared" si="40"/>
        <v>99.986000000000004</v>
      </c>
      <c r="G152" s="381">
        <f t="shared" si="41"/>
        <v>100.014</v>
      </c>
      <c r="H152" s="383">
        <f t="shared" si="21"/>
        <v>1.4E-2</v>
      </c>
      <c r="I152" s="19"/>
      <c r="J152" s="34"/>
      <c r="K152" s="191" t="str">
        <f t="shared" si="36"/>
        <v/>
      </c>
      <c r="L152" s="192" t="str">
        <f t="shared" si="37"/>
        <v/>
      </c>
      <c r="M152" s="193"/>
      <c r="N152" s="193"/>
      <c r="O152" s="194" t="str">
        <f t="shared" si="38"/>
        <v/>
      </c>
      <c r="P152" s="194"/>
      <c r="Q152" s="241">
        <v>1E-4</v>
      </c>
      <c r="R152" s="241"/>
      <c r="S152" s="241">
        <f>'ACC CAL WITH GB - Method 6'!L135</f>
        <v>4.5999999999999999E-3</v>
      </c>
      <c r="T152" s="195"/>
      <c r="U152" s="195"/>
      <c r="V152" s="195"/>
      <c r="W152" s="195"/>
      <c r="X152" s="195"/>
      <c r="Y152" s="343"/>
      <c r="Z152" s="337">
        <v>1.2E-2</v>
      </c>
      <c r="AA152" s="337">
        <v>1.2E-2</v>
      </c>
      <c r="AB152" s="337">
        <v>1.4E-2</v>
      </c>
      <c r="AC152" s="337">
        <v>1.4E-2</v>
      </c>
      <c r="AD152" s="337">
        <f t="shared" si="39"/>
        <v>1.4E-2</v>
      </c>
      <c r="AE152" s="19"/>
      <c r="AF152" s="19"/>
      <c r="AG152" s="19"/>
      <c r="AH152" s="19"/>
      <c r="AI152" s="19"/>
      <c r="AJ152" s="19"/>
    </row>
    <row r="153" spans="1:36" ht="25" customHeight="1">
      <c r="A153" s="612" t="s">
        <v>183</v>
      </c>
      <c r="B153" s="384">
        <v>0</v>
      </c>
      <c r="C153" s="385"/>
      <c r="D153" s="385" t="str">
        <f t="shared" si="34"/>
        <v/>
      </c>
      <c r="E153" s="385" t="str">
        <f t="shared" si="34"/>
        <v/>
      </c>
      <c r="F153" s="384">
        <v>0</v>
      </c>
      <c r="G153" s="384">
        <f t="shared" si="41"/>
        <v>1.0000000000000001E-5</v>
      </c>
      <c r="H153" s="386">
        <f t="shared" si="21"/>
        <v>1.0000000000000001E-5</v>
      </c>
      <c r="I153" s="19"/>
      <c r="J153" s="34"/>
      <c r="K153" s="191" t="str">
        <f t="shared" si="36"/>
        <v/>
      </c>
      <c r="L153" s="192" t="str">
        <f t="shared" si="37"/>
        <v/>
      </c>
      <c r="M153" s="193"/>
      <c r="N153" s="193"/>
      <c r="O153" s="194" t="str">
        <f t="shared" si="38"/>
        <v/>
      </c>
      <c r="P153" s="194"/>
      <c r="Q153" s="241">
        <v>9.9999999999999995E-7</v>
      </c>
      <c r="R153" s="241"/>
      <c r="S153" s="241">
        <f>'ACC CAL WITH GB - Method 6'!L136</f>
        <v>1.9999999999999999E-6</v>
      </c>
      <c r="T153" s="195"/>
      <c r="U153" s="195"/>
      <c r="V153" s="195"/>
      <c r="W153" s="195"/>
      <c r="X153" s="195"/>
      <c r="Y153" s="343"/>
      <c r="Z153" s="337">
        <v>1.0000000000000001E-5</v>
      </c>
      <c r="AA153" s="337">
        <v>1.0000000000000001E-5</v>
      </c>
      <c r="AB153" s="337">
        <v>1.0000000000000001E-5</v>
      </c>
      <c r="AC153" s="337">
        <v>1.0000000000000001E-5</v>
      </c>
      <c r="AD153" s="337">
        <f t="shared" si="39"/>
        <v>1.0000000000000001E-5</v>
      </c>
      <c r="AE153" s="19"/>
      <c r="AF153" s="19"/>
      <c r="AG153" s="19"/>
      <c r="AH153" s="19"/>
      <c r="AI153" s="19"/>
      <c r="AJ153" s="19"/>
    </row>
    <row r="154" spans="1:36" ht="25" customHeight="1">
      <c r="A154" s="613"/>
      <c r="B154" s="384">
        <v>1</v>
      </c>
      <c r="C154" s="385"/>
      <c r="D154" s="385" t="str">
        <f t="shared" si="34"/>
        <v/>
      </c>
      <c r="E154" s="385" t="str">
        <f t="shared" si="34"/>
        <v/>
      </c>
      <c r="F154" s="384">
        <f t="shared" si="40"/>
        <v>0.99988999999999995</v>
      </c>
      <c r="G154" s="384">
        <f t="shared" si="41"/>
        <v>1.0001100000000001</v>
      </c>
      <c r="H154" s="386">
        <f t="shared" si="21"/>
        <v>1.1E-4</v>
      </c>
      <c r="I154" s="19"/>
      <c r="J154" s="34"/>
      <c r="K154" s="191" t="str">
        <f t="shared" si="36"/>
        <v/>
      </c>
      <c r="L154" s="192" t="str">
        <f t="shared" si="37"/>
        <v/>
      </c>
      <c r="M154" s="193"/>
      <c r="N154" s="193"/>
      <c r="O154" s="194" t="str">
        <f t="shared" si="38"/>
        <v/>
      </c>
      <c r="P154" s="194"/>
      <c r="Q154" s="241">
        <v>9.9999999999999995E-7</v>
      </c>
      <c r="R154" s="241"/>
      <c r="S154" s="241">
        <f>'ACC CAL WITH GB - Method 6'!L137</f>
        <v>3.3000000000000003E-5</v>
      </c>
      <c r="T154" s="195"/>
      <c r="U154" s="195"/>
      <c r="V154" s="195"/>
      <c r="W154" s="195"/>
      <c r="X154" s="195"/>
      <c r="Y154" s="343"/>
      <c r="Z154" s="337">
        <v>9.0000000000000006E-5</v>
      </c>
      <c r="AA154" s="337">
        <v>9.0000000000000006E-5</v>
      </c>
      <c r="AB154" s="337">
        <v>1.1E-4</v>
      </c>
      <c r="AC154" s="337">
        <v>1.1E-4</v>
      </c>
      <c r="AD154" s="337">
        <f t="shared" si="39"/>
        <v>1.1E-4</v>
      </c>
      <c r="AE154" s="19"/>
      <c r="AF154" s="19"/>
      <c r="AG154" s="19"/>
      <c r="AH154" s="19"/>
      <c r="AI154" s="19"/>
      <c r="AJ154" s="19"/>
    </row>
    <row r="155" spans="1:36" ht="25" customHeight="1">
      <c r="A155" s="612" t="s">
        <v>184</v>
      </c>
      <c r="B155" s="387">
        <v>0</v>
      </c>
      <c r="C155" s="388"/>
      <c r="D155" s="388" t="str">
        <f t="shared" si="34"/>
        <v/>
      </c>
      <c r="E155" s="388" t="str">
        <f t="shared" si="34"/>
        <v/>
      </c>
      <c r="F155" s="387">
        <v>0</v>
      </c>
      <c r="G155" s="387">
        <f t="shared" si="41"/>
        <v>1E-4</v>
      </c>
      <c r="H155" s="389">
        <f t="shared" si="21"/>
        <v>1E-4</v>
      </c>
      <c r="I155" s="19"/>
      <c r="J155" s="34"/>
      <c r="K155" s="191" t="str">
        <f t="shared" si="36"/>
        <v/>
      </c>
      <c r="L155" s="192" t="str">
        <f t="shared" si="37"/>
        <v/>
      </c>
      <c r="M155" s="193"/>
      <c r="N155" s="193"/>
      <c r="O155" s="194" t="str">
        <f t="shared" si="38"/>
        <v/>
      </c>
      <c r="P155" s="194"/>
      <c r="Q155" s="241">
        <v>1.0000000000000001E-5</v>
      </c>
      <c r="R155" s="241"/>
      <c r="S155" s="241">
        <f>'ACC CAL WITH GB - Method 6'!L138</f>
        <v>2.0000000000000002E-5</v>
      </c>
      <c r="T155" s="195"/>
      <c r="U155" s="195"/>
      <c r="V155" s="195"/>
      <c r="W155" s="195"/>
      <c r="X155" s="195"/>
      <c r="Y155" s="343"/>
      <c r="Z155" s="337">
        <v>1E-4</v>
      </c>
      <c r="AA155" s="337">
        <v>1E-4</v>
      </c>
      <c r="AB155" s="337">
        <v>1E-4</v>
      </c>
      <c r="AC155" s="337">
        <v>1E-4</v>
      </c>
      <c r="AD155" s="337">
        <f t="shared" si="39"/>
        <v>1E-4</v>
      </c>
      <c r="AE155" s="19"/>
      <c r="AF155" s="19"/>
      <c r="AG155" s="19"/>
      <c r="AH155" s="19"/>
      <c r="AI155" s="19"/>
      <c r="AJ155" s="19"/>
    </row>
    <row r="156" spans="1:36" ht="25" customHeight="1">
      <c r="A156" s="613"/>
      <c r="B156" s="387">
        <v>10</v>
      </c>
      <c r="C156" s="388"/>
      <c r="D156" s="388" t="str">
        <f t="shared" si="34"/>
        <v/>
      </c>
      <c r="E156" s="388" t="str">
        <f t="shared" si="34"/>
        <v/>
      </c>
      <c r="F156" s="387">
        <f t="shared" si="40"/>
        <v>9.9998900000000006</v>
      </c>
      <c r="G156" s="387">
        <f t="shared" si="41"/>
        <v>10.000109999999999</v>
      </c>
      <c r="H156" s="389">
        <f t="shared" si="21"/>
        <v>1.1E-4</v>
      </c>
      <c r="I156" s="19"/>
      <c r="J156" s="34"/>
      <c r="K156" s="191" t="str">
        <f t="shared" si="36"/>
        <v/>
      </c>
      <c r="L156" s="192" t="str">
        <f t="shared" si="37"/>
        <v/>
      </c>
      <c r="M156" s="193"/>
      <c r="N156" s="193"/>
      <c r="O156" s="194" t="str">
        <f t="shared" si="38"/>
        <v/>
      </c>
      <c r="P156" s="194"/>
      <c r="Q156" s="241">
        <v>1.0000000000000001E-5</v>
      </c>
      <c r="R156" s="241"/>
      <c r="S156" s="241">
        <f>'ACC CAL WITH GB - Method 6'!L139</f>
        <v>2.7E-4</v>
      </c>
      <c r="T156" s="195"/>
      <c r="U156" s="195"/>
      <c r="V156" s="195"/>
      <c r="W156" s="195"/>
      <c r="X156" s="195"/>
      <c r="Y156" s="343"/>
      <c r="Z156" s="337">
        <v>8.9999999999999998E-4</v>
      </c>
      <c r="AA156" s="337">
        <v>8.9999999999999998E-4</v>
      </c>
      <c r="AB156" s="337">
        <v>1.1000000000000001E-3</v>
      </c>
      <c r="AC156" s="337">
        <v>1.1E-4</v>
      </c>
      <c r="AD156" s="337">
        <f t="shared" si="39"/>
        <v>1.1E-4</v>
      </c>
      <c r="AE156" s="19"/>
      <c r="AF156" s="19"/>
      <c r="AG156" s="19"/>
      <c r="AH156" s="19"/>
      <c r="AI156" s="19"/>
      <c r="AJ156" s="19"/>
    </row>
    <row r="157" spans="1:36" ht="25" customHeight="1">
      <c r="A157" s="612" t="s">
        <v>185</v>
      </c>
      <c r="B157" s="390">
        <v>0</v>
      </c>
      <c r="C157" s="391"/>
      <c r="D157" s="391" t="str">
        <f t="shared" si="34"/>
        <v/>
      </c>
      <c r="E157" s="391" t="str">
        <f t="shared" si="34"/>
        <v/>
      </c>
      <c r="F157" s="390">
        <v>0</v>
      </c>
      <c r="G157" s="390">
        <f t="shared" si="41"/>
        <v>1E-3</v>
      </c>
      <c r="H157" s="392">
        <f t="shared" si="21"/>
        <v>1E-3</v>
      </c>
      <c r="I157" s="19"/>
      <c r="J157" s="34"/>
      <c r="K157" s="191" t="str">
        <f t="shared" si="36"/>
        <v/>
      </c>
      <c r="L157" s="192" t="str">
        <f t="shared" si="37"/>
        <v/>
      </c>
      <c r="M157" s="193"/>
      <c r="N157" s="193"/>
      <c r="O157" s="194" t="str">
        <f t="shared" si="38"/>
        <v/>
      </c>
      <c r="P157" s="194"/>
      <c r="Q157" s="241">
        <v>1E-4</v>
      </c>
      <c r="R157" s="241"/>
      <c r="S157" s="241">
        <f>'ACC CAL WITH GB - Method 6'!L140</f>
        <v>2.0000000000000001E-4</v>
      </c>
      <c r="T157" s="195"/>
      <c r="U157" s="195"/>
      <c r="V157" s="195"/>
      <c r="W157" s="195"/>
      <c r="X157" s="195"/>
      <c r="Y157" s="343"/>
      <c r="Z157" s="337">
        <v>1E-3</v>
      </c>
      <c r="AA157" s="337">
        <v>1E-3</v>
      </c>
      <c r="AB157" s="337">
        <v>1E-3</v>
      </c>
      <c r="AC157" s="337">
        <v>1E-3</v>
      </c>
      <c r="AD157" s="337">
        <f t="shared" si="39"/>
        <v>1E-3</v>
      </c>
      <c r="AE157" s="19"/>
      <c r="AF157" s="19"/>
      <c r="AG157" s="19"/>
      <c r="AH157" s="19"/>
      <c r="AI157" s="19"/>
      <c r="AJ157" s="19"/>
    </row>
    <row r="158" spans="1:36" ht="25" customHeight="1">
      <c r="A158" s="613"/>
      <c r="B158" s="390">
        <v>100</v>
      </c>
      <c r="C158" s="391"/>
      <c r="D158" s="391" t="str">
        <f t="shared" si="34"/>
        <v/>
      </c>
      <c r="E158" s="391" t="str">
        <f t="shared" si="34"/>
        <v/>
      </c>
      <c r="F158" s="390">
        <f t="shared" si="40"/>
        <v>99.989000000000004</v>
      </c>
      <c r="G158" s="390">
        <f t="shared" si="41"/>
        <v>100.011</v>
      </c>
      <c r="H158" s="392">
        <f t="shared" si="21"/>
        <v>1.0999999999999999E-2</v>
      </c>
      <c r="I158" s="19"/>
      <c r="J158" s="34"/>
      <c r="K158" s="191" t="str">
        <f t="shared" si="36"/>
        <v/>
      </c>
      <c r="L158" s="192" t="str">
        <f t="shared" si="37"/>
        <v/>
      </c>
      <c r="M158" s="193"/>
      <c r="N158" s="193"/>
      <c r="O158" s="194" t="str">
        <f t="shared" si="38"/>
        <v/>
      </c>
      <c r="P158" s="194"/>
      <c r="Q158" s="241">
        <v>1E-4</v>
      </c>
      <c r="R158" s="241"/>
      <c r="S158" s="241">
        <f>'ACC CAL WITH GB - Method 6'!L141</f>
        <v>3.5000000000000005E-3</v>
      </c>
      <c r="T158" s="195"/>
      <c r="U158" s="195"/>
      <c r="V158" s="195"/>
      <c r="W158" s="195"/>
      <c r="X158" s="195"/>
      <c r="Y158" s="343"/>
      <c r="Z158" s="337">
        <v>8.9999999999999993E-3</v>
      </c>
      <c r="AA158" s="337">
        <v>8.9999999999999993E-3</v>
      </c>
      <c r="AB158" s="337">
        <v>1.0999999999999999E-2</v>
      </c>
      <c r="AC158" s="337">
        <v>1.0999999999999999E-2</v>
      </c>
      <c r="AD158" s="337">
        <f t="shared" si="39"/>
        <v>1.0999999999999999E-2</v>
      </c>
      <c r="AE158" s="19"/>
      <c r="AF158" s="19"/>
      <c r="AG158" s="19"/>
      <c r="AH158" s="19"/>
      <c r="AI158" s="19"/>
      <c r="AJ158" s="19"/>
    </row>
    <row r="159" spans="1:36" ht="26.15" customHeight="1">
      <c r="A159" s="328"/>
      <c r="C159" s="230"/>
      <c r="D159" s="329"/>
      <c r="E159" s="329"/>
      <c r="H159" s="213"/>
      <c r="I159" s="214"/>
      <c r="J159" s="215"/>
      <c r="Z159" s="34"/>
      <c r="AA159" s="34"/>
      <c r="AB159" s="34"/>
      <c r="AC159" s="34"/>
      <c r="AD159" s="345"/>
      <c r="AE159" s="19"/>
      <c r="AF159" s="19"/>
      <c r="AG159" s="19"/>
      <c r="AH159" s="19"/>
      <c r="AI159" s="19"/>
      <c r="AJ159" s="19"/>
    </row>
    <row r="160" spans="1:36" s="231" customFormat="1" ht="19.75" customHeight="1">
      <c r="A160" s="76" t="s">
        <v>186</v>
      </c>
      <c r="B160" s="151"/>
      <c r="C160" s="230"/>
      <c r="D160" s="331"/>
      <c r="E160" s="331"/>
      <c r="F160" s="151"/>
      <c r="H160" s="53"/>
      <c r="I160" s="32"/>
      <c r="J160" s="232"/>
      <c r="K160" s="233"/>
      <c r="L160" s="234"/>
      <c r="M160" s="234"/>
      <c r="N160" s="234"/>
      <c r="O160" s="234"/>
      <c r="P160" s="234"/>
      <c r="Q160" s="234"/>
      <c r="R160" s="234"/>
      <c r="S160" s="234"/>
      <c r="T160" s="234"/>
      <c r="U160" s="234"/>
      <c r="V160" s="234"/>
      <c r="W160" s="234"/>
      <c r="X160" s="234"/>
      <c r="Y160" s="234"/>
      <c r="Z160" s="332"/>
      <c r="AA160" s="332"/>
      <c r="AB160" s="332"/>
      <c r="AC160" s="332"/>
      <c r="AD160" s="283"/>
    </row>
    <row r="161" spans="1:36" s="226" customFormat="1" ht="5.15" customHeight="1">
      <c r="A161" s="288"/>
      <c r="B161" s="225"/>
      <c r="C161" s="333"/>
      <c r="D161" s="225"/>
      <c r="E161" s="225"/>
      <c r="F161" s="225"/>
      <c r="H161" s="54"/>
      <c r="I161" s="227"/>
      <c r="J161" s="228"/>
      <c r="K161" s="229"/>
      <c r="L161" s="229"/>
      <c r="M161" s="229"/>
      <c r="N161" s="229"/>
      <c r="O161" s="229"/>
      <c r="P161" s="229"/>
      <c r="Q161" s="229"/>
      <c r="R161" s="229"/>
      <c r="S161" s="229"/>
      <c r="T161" s="229"/>
      <c r="U161" s="229"/>
      <c r="V161" s="229"/>
      <c r="W161" s="229"/>
      <c r="X161" s="229"/>
      <c r="Y161" s="229"/>
      <c r="Z161" s="334"/>
      <c r="AA161" s="334"/>
      <c r="AB161" s="334"/>
      <c r="AC161" s="334"/>
      <c r="AD161" s="335"/>
    </row>
    <row r="162" spans="1:36" ht="23.65" customHeight="1">
      <c r="A162" s="614" t="s">
        <v>131</v>
      </c>
      <c r="B162" s="616" t="s">
        <v>132</v>
      </c>
      <c r="C162" s="326"/>
      <c r="D162" s="327" t="s">
        <v>14</v>
      </c>
      <c r="E162" s="327"/>
      <c r="F162" s="616" t="s">
        <v>2</v>
      </c>
      <c r="G162" s="616" t="s">
        <v>3</v>
      </c>
      <c r="H162" s="627" t="s">
        <v>29</v>
      </c>
      <c r="I162" s="19"/>
      <c r="J162" s="33"/>
      <c r="K162" s="616" t="s">
        <v>98</v>
      </c>
      <c r="L162" s="616" t="s">
        <v>99</v>
      </c>
      <c r="M162" s="163"/>
      <c r="N162" s="163"/>
      <c r="O162" s="622" t="s">
        <v>113</v>
      </c>
      <c r="P162" s="623"/>
      <c r="Q162" s="623"/>
      <c r="R162" s="623"/>
      <c r="S162" s="623"/>
      <c r="T162" s="623"/>
      <c r="U162" s="623"/>
      <c r="V162" s="623"/>
      <c r="W162" s="623"/>
      <c r="X162" s="624"/>
      <c r="Y162" s="336"/>
      <c r="Z162" s="337"/>
      <c r="AA162" s="337" t="s">
        <v>149</v>
      </c>
      <c r="AB162" s="337"/>
      <c r="AC162" s="337" t="s">
        <v>150</v>
      </c>
      <c r="AD162" s="290"/>
      <c r="AE162" s="19"/>
      <c r="AF162" s="19"/>
      <c r="AG162" s="19"/>
      <c r="AH162" s="19"/>
      <c r="AI162" s="19"/>
      <c r="AJ162" s="19"/>
    </row>
    <row r="163" spans="1:36" ht="23.65" customHeight="1" thickBot="1">
      <c r="A163" s="615"/>
      <c r="B163" s="617"/>
      <c r="C163" s="198">
        <v>1</v>
      </c>
      <c r="D163" s="198">
        <v>2</v>
      </c>
      <c r="E163" s="198">
        <v>3</v>
      </c>
      <c r="F163" s="629"/>
      <c r="G163" s="617"/>
      <c r="H163" s="628"/>
      <c r="I163" s="19"/>
      <c r="J163" s="34"/>
      <c r="K163" s="625"/>
      <c r="L163" s="617"/>
      <c r="M163" s="163"/>
      <c r="N163" s="163"/>
      <c r="O163" s="199" t="s">
        <v>100</v>
      </c>
      <c r="P163" s="200" t="s">
        <v>101</v>
      </c>
      <c r="Q163" s="199" t="s">
        <v>102</v>
      </c>
      <c r="R163" s="200" t="s">
        <v>103</v>
      </c>
      <c r="S163" s="199" t="s">
        <v>219</v>
      </c>
      <c r="T163" s="201" t="s">
        <v>105</v>
      </c>
      <c r="U163" s="202" t="s">
        <v>106</v>
      </c>
      <c r="V163" s="202" t="s">
        <v>107</v>
      </c>
      <c r="W163" s="202" t="s">
        <v>108</v>
      </c>
      <c r="X163" s="203" t="s">
        <v>109</v>
      </c>
      <c r="Y163" s="336"/>
      <c r="Z163" s="338" t="s">
        <v>141</v>
      </c>
      <c r="AA163" s="338" t="s">
        <v>151</v>
      </c>
      <c r="AB163" s="338" t="s">
        <v>141</v>
      </c>
      <c r="AC163" s="338" t="s">
        <v>151</v>
      </c>
      <c r="AD163" s="338" t="s">
        <v>152</v>
      </c>
      <c r="AE163" s="19"/>
      <c r="AF163" s="19"/>
      <c r="AG163" s="19"/>
      <c r="AH163" s="19"/>
      <c r="AI163" s="19"/>
      <c r="AJ163" s="19"/>
    </row>
    <row r="164" spans="1:36" ht="25" customHeight="1" thickTop="1">
      <c r="A164" s="635" t="s">
        <v>182</v>
      </c>
      <c r="B164" s="381">
        <v>0</v>
      </c>
      <c r="C164" s="382"/>
      <c r="D164" s="382" t="str">
        <f t="shared" si="34"/>
        <v/>
      </c>
      <c r="E164" s="382" t="str">
        <f t="shared" si="34"/>
        <v/>
      </c>
      <c r="F164" s="381">
        <v>0</v>
      </c>
      <c r="G164" s="381">
        <f t="shared" ref="G164:G173" si="42">IF(B164="","",IFERROR(B164+H164,"NA"))</f>
        <v>4.0000000000000001E-3</v>
      </c>
      <c r="H164" s="383">
        <f t="shared" ref="H164:H171" si="43">AD164</f>
        <v>4.0000000000000001E-3</v>
      </c>
      <c r="I164" s="19"/>
      <c r="J164" s="34"/>
      <c r="K164" s="191" t="str">
        <f t="shared" ref="K164:K171" si="44">IF(OR(C164="NA",C164=""), "",COUNTA(C164:E164))</f>
        <v/>
      </c>
      <c r="L164" s="192" t="str">
        <f t="shared" ref="L164:L171" si="45">IF(ISTEXT(C164)=TRUE, INDEX(C164:E164,MODE(MATCH(C164:E164,C164:E164,0))),IF(C164="","",IF(C164="NA","NA",AVERAGE(C164:E164))))</f>
        <v/>
      </c>
      <c r="M164" s="193"/>
      <c r="N164" s="193"/>
      <c r="O164" s="194" t="str">
        <f t="shared" ref="O164:O171" si="46">IF(OR(ISTEXT(C164)=TRUE, C164=""),"",STDEV(C164:E164))</f>
        <v/>
      </c>
      <c r="P164" s="194"/>
      <c r="Q164" s="241">
        <v>1E-4</v>
      </c>
      <c r="R164" s="241"/>
      <c r="S164" s="241">
        <f>'ACC CAL WITH GB - Method 6'!L147</f>
        <v>1.4E-3</v>
      </c>
      <c r="T164" s="195"/>
      <c r="U164" s="195"/>
      <c r="V164" s="195"/>
      <c r="W164" s="195"/>
      <c r="X164" s="195"/>
      <c r="Y164" s="343"/>
      <c r="Z164" s="337">
        <v>4.0000000000000001E-3</v>
      </c>
      <c r="AA164" s="337">
        <v>4.0000000000000001E-3</v>
      </c>
      <c r="AB164" s="337">
        <v>4.0000000000000001E-3</v>
      </c>
      <c r="AC164" s="337">
        <v>4.0000000000000001E-3</v>
      </c>
      <c r="AD164" s="337">
        <f t="shared" ref="AD164:AD179" si="47">IF(AD$31=1,Z164,IF(AD$31=2,AB164,IF(AD$31=3,AA164,AC164)))</f>
        <v>4.0000000000000001E-3</v>
      </c>
      <c r="AE164" s="19"/>
      <c r="AF164" s="19"/>
      <c r="AG164" s="19"/>
      <c r="AH164" s="19"/>
      <c r="AI164" s="19"/>
      <c r="AJ164" s="19"/>
    </row>
    <row r="165" spans="1:36" ht="25" customHeight="1">
      <c r="A165" s="636"/>
      <c r="B165" s="381">
        <v>100</v>
      </c>
      <c r="C165" s="382"/>
      <c r="D165" s="382" t="str">
        <f t="shared" si="34"/>
        <v/>
      </c>
      <c r="E165" s="382" t="str">
        <f t="shared" si="34"/>
        <v/>
      </c>
      <c r="F165" s="381">
        <f t="shared" ref="F165" si="48">IF(B165="","",IFERROR(B165-H165,"NA"))</f>
        <v>99.986000000000004</v>
      </c>
      <c r="G165" s="381">
        <f t="shared" si="42"/>
        <v>100.014</v>
      </c>
      <c r="H165" s="383">
        <f t="shared" si="43"/>
        <v>1.4E-2</v>
      </c>
      <c r="I165" s="19"/>
      <c r="J165" s="34"/>
      <c r="K165" s="191" t="str">
        <f t="shared" si="44"/>
        <v/>
      </c>
      <c r="L165" s="192" t="str">
        <f t="shared" si="45"/>
        <v/>
      </c>
      <c r="M165" s="193"/>
      <c r="N165" s="193"/>
      <c r="O165" s="194" t="str">
        <f t="shared" si="46"/>
        <v/>
      </c>
      <c r="P165" s="194"/>
      <c r="Q165" s="241">
        <v>1E-4</v>
      </c>
      <c r="R165" s="241"/>
      <c r="S165" s="241">
        <f>'ACC CAL WITH GB - Method 6'!L148</f>
        <v>4.5999999999999999E-3</v>
      </c>
      <c r="T165" s="195"/>
      <c r="U165" s="195"/>
      <c r="V165" s="195"/>
      <c r="W165" s="195"/>
      <c r="X165" s="195"/>
      <c r="Y165" s="343"/>
      <c r="Z165" s="337">
        <v>1.2E-2</v>
      </c>
      <c r="AA165" s="337">
        <v>1.2E-2</v>
      </c>
      <c r="AB165" s="337">
        <v>1.4E-2</v>
      </c>
      <c r="AC165" s="337">
        <v>1.4E-2</v>
      </c>
      <c r="AD165" s="337">
        <f t="shared" si="47"/>
        <v>1.4E-2</v>
      </c>
      <c r="AE165" s="19"/>
      <c r="AF165" s="19"/>
      <c r="AG165" s="19"/>
      <c r="AH165" s="19"/>
      <c r="AI165" s="19"/>
      <c r="AJ165" s="19"/>
    </row>
    <row r="166" spans="1:36" ht="25" customHeight="1">
      <c r="A166" s="612" t="s">
        <v>183</v>
      </c>
      <c r="B166" s="384">
        <v>0</v>
      </c>
      <c r="C166" s="385"/>
      <c r="D166" s="385" t="str">
        <f t="shared" si="34"/>
        <v/>
      </c>
      <c r="E166" s="385" t="str">
        <f t="shared" si="34"/>
        <v/>
      </c>
      <c r="F166" s="384">
        <v>0</v>
      </c>
      <c r="G166" s="384">
        <f t="shared" si="42"/>
        <v>1.0000000000000001E-5</v>
      </c>
      <c r="H166" s="386">
        <f t="shared" si="43"/>
        <v>1.0000000000000001E-5</v>
      </c>
      <c r="I166" s="19"/>
      <c r="J166" s="34"/>
      <c r="K166" s="191" t="str">
        <f t="shared" si="44"/>
        <v/>
      </c>
      <c r="L166" s="192" t="str">
        <f t="shared" si="45"/>
        <v/>
      </c>
      <c r="M166" s="193"/>
      <c r="N166" s="193"/>
      <c r="O166" s="194" t="str">
        <f t="shared" si="46"/>
        <v/>
      </c>
      <c r="P166" s="194"/>
      <c r="Q166" s="241">
        <v>9.9999999999999995E-7</v>
      </c>
      <c r="R166" s="241"/>
      <c r="S166" s="241">
        <f>'ACC CAL WITH GB - Method 6'!L149</f>
        <v>1.9999999999999999E-6</v>
      </c>
      <c r="T166" s="195"/>
      <c r="U166" s="195"/>
      <c r="V166" s="195"/>
      <c r="W166" s="195"/>
      <c r="X166" s="195"/>
      <c r="Y166" s="343"/>
      <c r="Z166" s="337">
        <v>1.0000000000000001E-5</v>
      </c>
      <c r="AA166" s="337">
        <v>1.0000000000000001E-5</v>
      </c>
      <c r="AB166" s="337">
        <v>1.0000000000000001E-5</v>
      </c>
      <c r="AC166" s="337">
        <v>1.0000000000000001E-5</v>
      </c>
      <c r="AD166" s="337">
        <f t="shared" si="47"/>
        <v>1.0000000000000001E-5</v>
      </c>
      <c r="AE166" s="19"/>
      <c r="AF166" s="19"/>
      <c r="AG166" s="19"/>
      <c r="AH166" s="19"/>
      <c r="AI166" s="19"/>
      <c r="AJ166" s="19"/>
    </row>
    <row r="167" spans="1:36" ht="25" customHeight="1">
      <c r="A167" s="613"/>
      <c r="B167" s="384">
        <v>1</v>
      </c>
      <c r="C167" s="385"/>
      <c r="D167" s="385" t="str">
        <f t="shared" si="34"/>
        <v/>
      </c>
      <c r="E167" s="385" t="str">
        <f t="shared" si="34"/>
        <v/>
      </c>
      <c r="F167" s="384">
        <f t="shared" ref="F167" si="49">IF(B167="","",IFERROR(B167-H167,"NA"))</f>
        <v>0.99988999999999995</v>
      </c>
      <c r="G167" s="384">
        <f t="shared" si="42"/>
        <v>1.0001100000000001</v>
      </c>
      <c r="H167" s="386">
        <f t="shared" si="43"/>
        <v>1.1E-4</v>
      </c>
      <c r="I167" s="19"/>
      <c r="J167" s="34"/>
      <c r="K167" s="191" t="str">
        <f t="shared" si="44"/>
        <v/>
      </c>
      <c r="L167" s="192" t="str">
        <f t="shared" si="45"/>
        <v/>
      </c>
      <c r="M167" s="193"/>
      <c r="N167" s="193"/>
      <c r="O167" s="194" t="str">
        <f t="shared" si="46"/>
        <v/>
      </c>
      <c r="P167" s="194"/>
      <c r="Q167" s="241">
        <v>9.9999999999999995E-7</v>
      </c>
      <c r="R167" s="241"/>
      <c r="S167" s="241">
        <f>'ACC CAL WITH GB - Method 6'!L150</f>
        <v>3.3000000000000003E-5</v>
      </c>
      <c r="T167" s="195"/>
      <c r="U167" s="195"/>
      <c r="V167" s="195"/>
      <c r="W167" s="195"/>
      <c r="X167" s="195"/>
      <c r="Y167" s="343"/>
      <c r="Z167" s="337">
        <v>9.0000000000000006E-5</v>
      </c>
      <c r="AA167" s="337">
        <v>9.0000000000000006E-5</v>
      </c>
      <c r="AB167" s="337">
        <v>1.1E-4</v>
      </c>
      <c r="AC167" s="337">
        <v>1.1E-4</v>
      </c>
      <c r="AD167" s="337">
        <f t="shared" si="47"/>
        <v>1.1E-4</v>
      </c>
      <c r="AE167" s="19"/>
      <c r="AF167" s="19"/>
      <c r="AG167" s="19"/>
      <c r="AH167" s="19"/>
      <c r="AI167" s="19"/>
      <c r="AJ167" s="19"/>
    </row>
    <row r="168" spans="1:36" ht="25" customHeight="1">
      <c r="A168" s="612" t="s">
        <v>184</v>
      </c>
      <c r="B168" s="387">
        <v>0</v>
      </c>
      <c r="C168" s="388"/>
      <c r="D168" s="388" t="str">
        <f t="shared" si="34"/>
        <v/>
      </c>
      <c r="E168" s="388" t="str">
        <f t="shared" si="34"/>
        <v/>
      </c>
      <c r="F168" s="387">
        <v>0</v>
      </c>
      <c r="G168" s="387">
        <f t="shared" si="42"/>
        <v>1E-4</v>
      </c>
      <c r="H168" s="389">
        <f t="shared" si="43"/>
        <v>1E-4</v>
      </c>
      <c r="I168" s="19"/>
      <c r="J168" s="34"/>
      <c r="K168" s="191" t="str">
        <f t="shared" si="44"/>
        <v/>
      </c>
      <c r="L168" s="192" t="str">
        <f t="shared" si="45"/>
        <v/>
      </c>
      <c r="M168" s="193"/>
      <c r="N168" s="193"/>
      <c r="O168" s="194" t="str">
        <f t="shared" si="46"/>
        <v/>
      </c>
      <c r="P168" s="194"/>
      <c r="Q168" s="241">
        <v>1.0000000000000001E-5</v>
      </c>
      <c r="R168" s="241"/>
      <c r="S168" s="241">
        <f>'ACC CAL WITH GB - Method 6'!L151</f>
        <v>2.0000000000000002E-5</v>
      </c>
      <c r="T168" s="195"/>
      <c r="U168" s="195"/>
      <c r="V168" s="195"/>
      <c r="W168" s="195"/>
      <c r="X168" s="195"/>
      <c r="Y168" s="343"/>
      <c r="Z168" s="337">
        <v>1E-4</v>
      </c>
      <c r="AA168" s="337">
        <v>1E-4</v>
      </c>
      <c r="AB168" s="337">
        <v>1E-4</v>
      </c>
      <c r="AC168" s="337">
        <v>1E-4</v>
      </c>
      <c r="AD168" s="337">
        <f t="shared" si="47"/>
        <v>1E-4</v>
      </c>
      <c r="AE168" s="19"/>
      <c r="AF168" s="19"/>
      <c r="AG168" s="19"/>
      <c r="AH168" s="19"/>
      <c r="AI168" s="19"/>
      <c r="AJ168" s="19"/>
    </row>
    <row r="169" spans="1:36" ht="25" customHeight="1">
      <c r="A169" s="613"/>
      <c r="B169" s="387">
        <v>10</v>
      </c>
      <c r="C169" s="388"/>
      <c r="D169" s="388" t="str">
        <f t="shared" si="34"/>
        <v/>
      </c>
      <c r="E169" s="388" t="str">
        <f t="shared" si="34"/>
        <v/>
      </c>
      <c r="F169" s="387">
        <f t="shared" ref="F169" si="50">IF(B169="","",IFERROR(B169-H169,"NA"))</f>
        <v>9.9989000000000008</v>
      </c>
      <c r="G169" s="387">
        <f t="shared" si="42"/>
        <v>10.001099999999999</v>
      </c>
      <c r="H169" s="389">
        <f t="shared" si="43"/>
        <v>1.1000000000000001E-3</v>
      </c>
      <c r="I169" s="19"/>
      <c r="J169" s="34"/>
      <c r="K169" s="191" t="str">
        <f t="shared" si="44"/>
        <v/>
      </c>
      <c r="L169" s="192" t="str">
        <f t="shared" si="45"/>
        <v/>
      </c>
      <c r="M169" s="193"/>
      <c r="N169" s="193"/>
      <c r="O169" s="194" t="str">
        <f t="shared" si="46"/>
        <v/>
      </c>
      <c r="P169" s="194"/>
      <c r="Q169" s="241">
        <v>1.0000000000000001E-5</v>
      </c>
      <c r="R169" s="241"/>
      <c r="S169" s="241">
        <f>'ACC CAL WITH GB - Method 6'!L152</f>
        <v>2.7E-4</v>
      </c>
      <c r="T169" s="195"/>
      <c r="U169" s="195"/>
      <c r="V169" s="195"/>
      <c r="W169" s="195"/>
      <c r="X169" s="195"/>
      <c r="Y169" s="343"/>
      <c r="Z169" s="337">
        <v>8.9999999999999998E-4</v>
      </c>
      <c r="AA169" s="337">
        <v>8.9999999999999998E-4</v>
      </c>
      <c r="AB169" s="337">
        <v>1.1000000000000001E-3</v>
      </c>
      <c r="AC169" s="337">
        <v>1.1000000000000001E-3</v>
      </c>
      <c r="AD169" s="337">
        <f t="shared" si="47"/>
        <v>1.1000000000000001E-3</v>
      </c>
      <c r="AE169" s="19"/>
      <c r="AF169" s="19"/>
      <c r="AG169" s="19"/>
      <c r="AH169" s="19"/>
      <c r="AI169" s="19"/>
      <c r="AJ169" s="19"/>
    </row>
    <row r="170" spans="1:36" ht="25" customHeight="1">
      <c r="A170" s="612" t="s">
        <v>185</v>
      </c>
      <c r="B170" s="390">
        <v>0</v>
      </c>
      <c r="C170" s="391"/>
      <c r="D170" s="391" t="str">
        <f t="shared" si="34"/>
        <v/>
      </c>
      <c r="E170" s="391" t="str">
        <f t="shared" si="34"/>
        <v/>
      </c>
      <c r="F170" s="390">
        <v>0</v>
      </c>
      <c r="G170" s="390">
        <f t="shared" si="42"/>
        <v>1E-3</v>
      </c>
      <c r="H170" s="392">
        <f t="shared" si="43"/>
        <v>1E-3</v>
      </c>
      <c r="I170" s="19"/>
      <c r="J170" s="34"/>
      <c r="K170" s="191" t="str">
        <f t="shared" si="44"/>
        <v/>
      </c>
      <c r="L170" s="192" t="str">
        <f t="shared" si="45"/>
        <v/>
      </c>
      <c r="M170" s="193"/>
      <c r="N170" s="193"/>
      <c r="O170" s="194" t="str">
        <f t="shared" si="46"/>
        <v/>
      </c>
      <c r="P170" s="194"/>
      <c r="Q170" s="241">
        <v>1E-4</v>
      </c>
      <c r="R170" s="241"/>
      <c r="S170" s="241">
        <f>'ACC CAL WITH GB - Method 6'!L153</f>
        <v>2.0000000000000001E-4</v>
      </c>
      <c r="T170" s="195"/>
      <c r="U170" s="195"/>
      <c r="V170" s="195"/>
      <c r="W170" s="195"/>
      <c r="X170" s="195"/>
      <c r="Y170" s="343"/>
      <c r="Z170" s="337">
        <v>1E-3</v>
      </c>
      <c r="AA170" s="337">
        <v>1E-3</v>
      </c>
      <c r="AB170" s="337">
        <v>1E-3</v>
      </c>
      <c r="AC170" s="337">
        <v>1E-3</v>
      </c>
      <c r="AD170" s="337">
        <f t="shared" si="47"/>
        <v>1E-3</v>
      </c>
      <c r="AE170" s="19"/>
      <c r="AF170" s="19"/>
      <c r="AG170" s="19"/>
      <c r="AH170" s="19"/>
      <c r="AI170" s="19"/>
      <c r="AJ170" s="19"/>
    </row>
    <row r="171" spans="1:36" ht="25" customHeight="1">
      <c r="A171" s="613"/>
      <c r="B171" s="390">
        <v>100</v>
      </c>
      <c r="C171" s="391"/>
      <c r="D171" s="391" t="str">
        <f t="shared" si="34"/>
        <v/>
      </c>
      <c r="E171" s="391" t="str">
        <f t="shared" si="34"/>
        <v/>
      </c>
      <c r="F171" s="390">
        <f t="shared" ref="F171" si="51">IF(B171="","",IFERROR(B171-H171,"NA"))</f>
        <v>99.989000000000004</v>
      </c>
      <c r="G171" s="390">
        <f t="shared" si="42"/>
        <v>100.011</v>
      </c>
      <c r="H171" s="392">
        <f t="shared" si="43"/>
        <v>1.0999999999999999E-2</v>
      </c>
      <c r="I171" s="19"/>
      <c r="J171" s="34"/>
      <c r="K171" s="191" t="str">
        <f t="shared" si="44"/>
        <v/>
      </c>
      <c r="L171" s="192" t="str">
        <f t="shared" si="45"/>
        <v/>
      </c>
      <c r="M171" s="193"/>
      <c r="N171" s="193"/>
      <c r="O171" s="194" t="str">
        <f t="shared" si="46"/>
        <v/>
      </c>
      <c r="P171" s="194"/>
      <c r="Q171" s="241">
        <v>1E-4</v>
      </c>
      <c r="R171" s="241"/>
      <c r="S171" s="241">
        <f>'ACC CAL WITH GB - Method 6'!L154</f>
        <v>3.5000000000000005E-3</v>
      </c>
      <c r="T171" s="195"/>
      <c r="U171" s="195"/>
      <c r="V171" s="195"/>
      <c r="W171" s="195"/>
      <c r="X171" s="195"/>
      <c r="Y171" s="343"/>
      <c r="Z171" s="337">
        <v>8.9999999999999993E-3</v>
      </c>
      <c r="AA171" s="337">
        <v>8.9999999999999993E-3</v>
      </c>
      <c r="AB171" s="337">
        <v>1.0999999999999999E-2</v>
      </c>
      <c r="AC171" s="337">
        <v>1.0999999999999999E-2</v>
      </c>
      <c r="AD171" s="337">
        <f t="shared" si="47"/>
        <v>1.0999999999999999E-2</v>
      </c>
      <c r="AE171" s="19"/>
      <c r="AF171" s="19"/>
      <c r="AG171" s="19"/>
      <c r="AH171" s="19"/>
      <c r="AI171" s="19"/>
      <c r="AJ171" s="19"/>
    </row>
    <row r="172" spans="1:36" ht="25" customHeight="1">
      <c r="A172" s="612" t="s">
        <v>187</v>
      </c>
      <c r="B172" s="393">
        <v>0</v>
      </c>
      <c r="C172" s="394"/>
      <c r="D172" s="394" t="str">
        <f t="shared" si="34"/>
        <v/>
      </c>
      <c r="E172" s="394" t="str">
        <f t="shared" si="34"/>
        <v/>
      </c>
      <c r="F172" s="393">
        <v>0</v>
      </c>
      <c r="G172" s="393">
        <f t="shared" si="42"/>
        <v>1.0000000000000001E-5</v>
      </c>
      <c r="H172" s="395">
        <f t="shared" si="21"/>
        <v>1.0000000000000001E-5</v>
      </c>
      <c r="I172" s="19"/>
      <c r="J172" s="34"/>
      <c r="K172" s="191" t="str">
        <f t="shared" si="36"/>
        <v/>
      </c>
      <c r="L172" s="192" t="str">
        <f t="shared" si="37"/>
        <v/>
      </c>
      <c r="M172" s="193"/>
      <c r="N172" s="193"/>
      <c r="O172" s="194" t="str">
        <f t="shared" si="38"/>
        <v/>
      </c>
      <c r="P172" s="194"/>
      <c r="Q172" s="241">
        <v>9.9999999999999995E-7</v>
      </c>
      <c r="R172" s="241"/>
      <c r="S172" s="241">
        <f>'ACC CAL WITH GB - Method 6'!L155</f>
        <v>1.9999999999999999E-6</v>
      </c>
      <c r="T172" s="195"/>
      <c r="U172" s="195"/>
      <c r="V172" s="195"/>
      <c r="W172" s="195"/>
      <c r="X172" s="195"/>
      <c r="Y172" s="343"/>
      <c r="Z172" s="337">
        <v>1.0000000000000001E-5</v>
      </c>
      <c r="AA172" s="337">
        <v>1.0000000000000001E-5</v>
      </c>
      <c r="AB172" s="337">
        <v>1.0000000000000001E-5</v>
      </c>
      <c r="AC172" s="337">
        <v>1.0000000000000001E-5</v>
      </c>
      <c r="AD172" s="337">
        <f t="shared" si="47"/>
        <v>1.0000000000000001E-5</v>
      </c>
      <c r="AE172" s="19"/>
      <c r="AF172" s="19"/>
      <c r="AG172" s="19"/>
      <c r="AH172" s="19"/>
      <c r="AI172" s="19"/>
      <c r="AJ172" s="19"/>
    </row>
    <row r="173" spans="1:36" ht="25" customHeight="1">
      <c r="A173" s="613"/>
      <c r="B173" s="393">
        <v>1</v>
      </c>
      <c r="C173" s="394"/>
      <c r="D173" s="394" t="str">
        <f t="shared" si="34"/>
        <v/>
      </c>
      <c r="E173" s="394" t="str">
        <f t="shared" si="34"/>
        <v/>
      </c>
      <c r="F173" s="393">
        <f t="shared" ref="F173" si="52">IF(B173="","",IFERROR(B173-H173,"NA"))</f>
        <v>0.99988999999999995</v>
      </c>
      <c r="G173" s="393">
        <f t="shared" si="42"/>
        <v>1.0001100000000001</v>
      </c>
      <c r="H173" s="395">
        <f t="shared" si="21"/>
        <v>1.1E-4</v>
      </c>
      <c r="I173" s="19"/>
      <c r="J173" s="34"/>
      <c r="K173" s="191" t="str">
        <f t="shared" si="36"/>
        <v/>
      </c>
      <c r="L173" s="192" t="str">
        <f t="shared" si="37"/>
        <v/>
      </c>
      <c r="M173" s="193"/>
      <c r="N173" s="193"/>
      <c r="O173" s="194" t="str">
        <f t="shared" si="38"/>
        <v/>
      </c>
      <c r="P173" s="194"/>
      <c r="Q173" s="241">
        <v>9.9999999999999995E-7</v>
      </c>
      <c r="R173" s="241"/>
      <c r="S173" s="241">
        <f>'ACC CAL WITH GB - Method 6'!L156</f>
        <v>1.0899999999999999E-4</v>
      </c>
      <c r="T173" s="195"/>
      <c r="U173" s="195"/>
      <c r="V173" s="195"/>
      <c r="W173" s="195"/>
      <c r="X173" s="195"/>
      <c r="Y173" s="343"/>
      <c r="Z173" s="337">
        <v>9.0000000000000006E-5</v>
      </c>
      <c r="AA173" s="337">
        <v>9.0000000000000006E-5</v>
      </c>
      <c r="AB173" s="337">
        <v>1.1E-4</v>
      </c>
      <c r="AC173" s="337">
        <v>1.1E-4</v>
      </c>
      <c r="AD173" s="337">
        <f t="shared" si="47"/>
        <v>1.1E-4</v>
      </c>
      <c r="AE173" s="19"/>
      <c r="AF173" s="19"/>
      <c r="AG173" s="19"/>
      <c r="AH173" s="19"/>
      <c r="AI173" s="19"/>
      <c r="AJ173" s="19"/>
    </row>
    <row r="174" spans="1:36" ht="25" customHeight="1">
      <c r="A174" s="612" t="s">
        <v>188</v>
      </c>
      <c r="B174" s="396">
        <v>0</v>
      </c>
      <c r="C174" s="397"/>
      <c r="D174" s="397" t="str">
        <f t="shared" si="34"/>
        <v/>
      </c>
      <c r="E174" s="397" t="str">
        <f t="shared" si="34"/>
        <v/>
      </c>
      <c r="F174" s="396">
        <v>0</v>
      </c>
      <c r="G174" s="396">
        <f t="shared" si="41"/>
        <v>1E-4</v>
      </c>
      <c r="H174" s="398">
        <f t="shared" si="21"/>
        <v>1E-4</v>
      </c>
      <c r="I174" s="19"/>
      <c r="J174" s="34"/>
      <c r="K174" s="191" t="str">
        <f t="shared" si="36"/>
        <v/>
      </c>
      <c r="L174" s="192" t="str">
        <f t="shared" si="37"/>
        <v/>
      </c>
      <c r="M174" s="193"/>
      <c r="N174" s="193"/>
      <c r="O174" s="194" t="str">
        <f t="shared" si="38"/>
        <v/>
      </c>
      <c r="P174" s="194"/>
      <c r="Q174" s="241">
        <v>1.0000000000000001E-5</v>
      </c>
      <c r="R174" s="241"/>
      <c r="S174" s="241">
        <f>'ACC CAL WITH GB - Method 6'!L157</f>
        <v>5.0000000000000002E-5</v>
      </c>
      <c r="T174" s="195"/>
      <c r="U174" s="195"/>
      <c r="V174" s="195"/>
      <c r="W174" s="195"/>
      <c r="X174" s="195"/>
      <c r="Y174" s="343"/>
      <c r="Z174" s="337">
        <v>1E-4</v>
      </c>
      <c r="AA174" s="337">
        <v>1E-4</v>
      </c>
      <c r="AB174" s="337">
        <v>1E-4</v>
      </c>
      <c r="AC174" s="337">
        <v>1E-4</v>
      </c>
      <c r="AD174" s="337">
        <f t="shared" si="47"/>
        <v>1E-4</v>
      </c>
      <c r="AE174" s="19"/>
      <c r="AF174" s="19"/>
      <c r="AG174" s="19"/>
      <c r="AH174" s="19"/>
      <c r="AI174" s="19"/>
      <c r="AJ174" s="19"/>
    </row>
    <row r="175" spans="1:36" ht="25" customHeight="1">
      <c r="A175" s="613"/>
      <c r="B175" s="396">
        <v>10</v>
      </c>
      <c r="C175" s="397"/>
      <c r="D175" s="397" t="str">
        <f t="shared" si="34"/>
        <v/>
      </c>
      <c r="E175" s="397" t="str">
        <f t="shared" si="34"/>
        <v/>
      </c>
      <c r="F175" s="396">
        <f t="shared" si="40"/>
        <v>9.9959000000000007</v>
      </c>
      <c r="G175" s="396">
        <f t="shared" si="41"/>
        <v>10.004099999999999</v>
      </c>
      <c r="H175" s="398">
        <f t="shared" si="21"/>
        <v>4.1000000000000003E-3</v>
      </c>
      <c r="I175" s="19"/>
      <c r="J175" s="34"/>
      <c r="K175" s="191" t="str">
        <f t="shared" si="36"/>
        <v/>
      </c>
      <c r="L175" s="192" t="str">
        <f t="shared" si="37"/>
        <v/>
      </c>
      <c r="M175" s="193"/>
      <c r="N175" s="193"/>
      <c r="O175" s="194" t="str">
        <f t="shared" si="38"/>
        <v/>
      </c>
      <c r="P175" s="194"/>
      <c r="Q175" s="241">
        <v>1.0000000000000001E-5</v>
      </c>
      <c r="R175" s="241"/>
      <c r="S175" s="241">
        <f>'ACC CAL WITH GB - Method 6'!L158</f>
        <v>6.6499999999999997E-3</v>
      </c>
      <c r="T175" s="195"/>
      <c r="U175" s="195"/>
      <c r="V175" s="195"/>
      <c r="W175" s="195"/>
      <c r="X175" s="195"/>
      <c r="Y175" s="343"/>
      <c r="Z175" s="337">
        <v>2.0999999999999999E-3</v>
      </c>
      <c r="AA175" s="337">
        <v>2.0999999999999999E-3</v>
      </c>
      <c r="AB175" s="337">
        <v>4.1000000000000003E-3</v>
      </c>
      <c r="AC175" s="337">
        <v>4.1000000000000003E-3</v>
      </c>
      <c r="AD175" s="337">
        <f t="shared" si="47"/>
        <v>4.1000000000000003E-3</v>
      </c>
      <c r="AE175" s="19"/>
      <c r="AF175" s="19"/>
      <c r="AG175" s="19"/>
      <c r="AH175" s="19"/>
      <c r="AI175" s="19"/>
      <c r="AJ175" s="19"/>
    </row>
    <row r="176" spans="1:36" ht="25" customHeight="1">
      <c r="A176" s="612" t="s">
        <v>189</v>
      </c>
      <c r="B176" s="399">
        <v>0</v>
      </c>
      <c r="C176" s="400"/>
      <c r="D176" s="400" t="str">
        <f t="shared" si="34"/>
        <v/>
      </c>
      <c r="E176" s="400" t="str">
        <f t="shared" si="34"/>
        <v/>
      </c>
      <c r="F176" s="399">
        <v>0</v>
      </c>
      <c r="G176" s="399">
        <f t="shared" si="41"/>
        <v>0.01</v>
      </c>
      <c r="H176" s="401">
        <f t="shared" si="21"/>
        <v>0.01</v>
      </c>
      <c r="I176" s="19"/>
      <c r="J176" s="34"/>
      <c r="K176" s="191" t="str">
        <f t="shared" si="36"/>
        <v/>
      </c>
      <c r="L176" s="192" t="str">
        <f t="shared" si="37"/>
        <v/>
      </c>
      <c r="M176" s="193"/>
      <c r="N176" s="193"/>
      <c r="O176" s="194" t="str">
        <f t="shared" si="38"/>
        <v/>
      </c>
      <c r="P176" s="194"/>
      <c r="Q176" s="241">
        <v>1E-4</v>
      </c>
      <c r="R176" s="241"/>
      <c r="S176" s="241">
        <f>'ACC CAL WITH GB - Method 6'!L159</f>
        <v>3.0000000000000001E-3</v>
      </c>
      <c r="T176" s="195"/>
      <c r="U176" s="195"/>
      <c r="V176" s="195"/>
      <c r="W176" s="195"/>
      <c r="X176" s="195"/>
      <c r="Y176" s="343"/>
      <c r="Z176" s="337">
        <v>0.01</v>
      </c>
      <c r="AA176" s="337">
        <v>0.01</v>
      </c>
      <c r="AB176" s="337">
        <v>0.01</v>
      </c>
      <c r="AC176" s="337">
        <v>0.01</v>
      </c>
      <c r="AD176" s="337">
        <f t="shared" si="47"/>
        <v>0.01</v>
      </c>
      <c r="AE176" s="19"/>
      <c r="AF176" s="19"/>
      <c r="AG176" s="19"/>
      <c r="AH176" s="19"/>
      <c r="AI176" s="19"/>
      <c r="AJ176" s="19"/>
    </row>
    <row r="177" spans="1:46" ht="25" customHeight="1">
      <c r="A177" s="613"/>
      <c r="B177" s="399">
        <v>100</v>
      </c>
      <c r="C177" s="400"/>
      <c r="D177" s="400" t="str">
        <f t="shared" si="34"/>
        <v/>
      </c>
      <c r="E177" s="400" t="str">
        <f t="shared" si="34"/>
        <v/>
      </c>
      <c r="F177" s="399">
        <f t="shared" si="40"/>
        <v>99.19</v>
      </c>
      <c r="G177" s="399">
        <f t="shared" si="41"/>
        <v>100.81</v>
      </c>
      <c r="H177" s="401">
        <f t="shared" si="21"/>
        <v>0.81</v>
      </c>
      <c r="I177" s="19"/>
      <c r="J177" s="34"/>
      <c r="K177" s="191" t="str">
        <f t="shared" si="36"/>
        <v/>
      </c>
      <c r="L177" s="192" t="str">
        <f t="shared" si="37"/>
        <v/>
      </c>
      <c r="M177" s="193"/>
      <c r="N177" s="193"/>
      <c r="O177" s="194" t="str">
        <f t="shared" si="38"/>
        <v/>
      </c>
      <c r="P177" s="194"/>
      <c r="Q177" s="241">
        <v>1E-4</v>
      </c>
      <c r="R177" s="241"/>
      <c r="S177" s="241">
        <f>'ACC CAL WITH GB - Method 6'!L160</f>
        <v>0.57300000000000006</v>
      </c>
      <c r="T177" s="195"/>
      <c r="U177" s="195"/>
      <c r="V177" s="195"/>
      <c r="W177" s="195"/>
      <c r="X177" s="195"/>
      <c r="Y177" s="343"/>
      <c r="Z177" s="337">
        <v>0.81</v>
      </c>
      <c r="AA177" s="337">
        <v>0.81</v>
      </c>
      <c r="AB177" s="337">
        <v>0.81</v>
      </c>
      <c r="AC177" s="337">
        <v>0.81</v>
      </c>
      <c r="AD177" s="337">
        <f t="shared" si="47"/>
        <v>0.81</v>
      </c>
      <c r="AE177" s="19"/>
      <c r="AF177" s="19"/>
      <c r="AG177" s="19"/>
      <c r="AH177" s="19"/>
      <c r="AI177" s="19"/>
      <c r="AJ177" s="19"/>
    </row>
    <row r="178" spans="1:46" ht="25" customHeight="1">
      <c r="A178" s="612" t="s">
        <v>190</v>
      </c>
      <c r="B178" s="402">
        <v>0</v>
      </c>
      <c r="C178" s="403"/>
      <c r="D178" s="403" t="str">
        <f t="shared" si="34"/>
        <v/>
      </c>
      <c r="E178" s="403" t="str">
        <f t="shared" si="34"/>
        <v/>
      </c>
      <c r="F178" s="402">
        <v>0</v>
      </c>
      <c r="G178" s="402">
        <f t="shared" si="41"/>
        <v>1E-4</v>
      </c>
      <c r="H178" s="404">
        <f t="shared" si="21"/>
        <v>1E-4</v>
      </c>
      <c r="I178" s="19"/>
      <c r="J178" s="34"/>
      <c r="K178" s="191" t="str">
        <f t="shared" si="36"/>
        <v/>
      </c>
      <c r="L178" s="192" t="str">
        <f t="shared" si="37"/>
        <v/>
      </c>
      <c r="M178" s="193"/>
      <c r="N178" s="193"/>
      <c r="O178" s="194" t="str">
        <f t="shared" si="38"/>
        <v/>
      </c>
      <c r="P178" s="194"/>
      <c r="Q178" s="241">
        <v>9.9999999999999995E-7</v>
      </c>
      <c r="R178" s="241"/>
      <c r="S178" s="241">
        <f>'ACC CAL WITH GB - Method 6'!L161</f>
        <v>5.0000000000000001E-4</v>
      </c>
      <c r="T178" s="195"/>
      <c r="U178" s="195"/>
      <c r="V178" s="195"/>
      <c r="W178" s="195"/>
      <c r="X178" s="195"/>
      <c r="Y178" s="343"/>
      <c r="Z178" s="337"/>
      <c r="AA178" s="337">
        <v>1E-4</v>
      </c>
      <c r="AB178" s="337"/>
      <c r="AC178" s="337">
        <v>1E-4</v>
      </c>
      <c r="AD178" s="337">
        <f t="shared" si="47"/>
        <v>1E-4</v>
      </c>
      <c r="AE178" s="19"/>
      <c r="AF178" s="19"/>
      <c r="AG178" s="19"/>
      <c r="AH178" s="19"/>
      <c r="AI178" s="19"/>
      <c r="AJ178" s="19"/>
    </row>
    <row r="179" spans="1:46" ht="25" customHeight="1">
      <c r="A179" s="613"/>
      <c r="B179" s="402">
        <v>1</v>
      </c>
      <c r="C179" s="403"/>
      <c r="D179" s="403" t="str">
        <f t="shared" si="34"/>
        <v/>
      </c>
      <c r="E179" s="403" t="str">
        <f t="shared" si="34"/>
        <v/>
      </c>
      <c r="F179" s="402">
        <f t="shared" si="40"/>
        <v>0.97989999999999999</v>
      </c>
      <c r="G179" s="402">
        <f t="shared" si="41"/>
        <v>1.0201</v>
      </c>
      <c r="H179" s="404">
        <f t="shared" si="21"/>
        <v>2.01E-2</v>
      </c>
      <c r="I179" s="19"/>
      <c r="J179" s="34"/>
      <c r="K179" s="191" t="str">
        <f t="shared" si="36"/>
        <v/>
      </c>
      <c r="L179" s="192" t="str">
        <f t="shared" si="37"/>
        <v/>
      </c>
      <c r="M179" s="193"/>
      <c r="N179" s="193"/>
      <c r="O179" s="194" t="str">
        <f t="shared" si="38"/>
        <v/>
      </c>
      <c r="P179" s="194"/>
      <c r="Q179" s="241">
        <v>9.9999999999999995E-7</v>
      </c>
      <c r="R179" s="241"/>
      <c r="S179" s="241">
        <f>'ACC CAL WITH GB - Method 6'!L162</f>
        <v>1.55E-2</v>
      </c>
      <c r="T179" s="195"/>
      <c r="U179" s="195"/>
      <c r="V179" s="195"/>
      <c r="W179" s="195"/>
      <c r="X179" s="195"/>
      <c r="Y179" s="343"/>
      <c r="Z179" s="337"/>
      <c r="AA179" s="337">
        <v>1.5100000000000001E-2</v>
      </c>
      <c r="AB179" s="337"/>
      <c r="AC179" s="337">
        <v>2.01E-2</v>
      </c>
      <c r="AD179" s="337">
        <f t="shared" si="47"/>
        <v>2.01E-2</v>
      </c>
      <c r="AE179" s="19"/>
      <c r="AF179" s="19"/>
      <c r="AG179" s="19"/>
      <c r="AH179" s="19"/>
      <c r="AI179" s="19"/>
      <c r="AJ179" s="19"/>
    </row>
    <row r="180" spans="1:46" ht="26.15" customHeight="1">
      <c r="A180" s="318"/>
      <c r="C180" s="52"/>
      <c r="Z180" s="34"/>
      <c r="AA180" s="34"/>
      <c r="AB180" s="34"/>
      <c r="AC180" s="34"/>
      <c r="AD180" s="290"/>
      <c r="AE180" s="19"/>
      <c r="AF180" s="19"/>
      <c r="AG180" s="19"/>
      <c r="AH180" s="19"/>
      <c r="AI180" s="19"/>
      <c r="AJ180" s="19"/>
    </row>
    <row r="181" spans="1:46" ht="26.15" customHeight="1">
      <c r="A181" s="328" t="s">
        <v>191</v>
      </c>
      <c r="C181" s="230"/>
      <c r="D181" s="329"/>
      <c r="E181" s="329"/>
      <c r="H181" s="213"/>
      <c r="I181" s="214"/>
      <c r="J181" s="215"/>
      <c r="Z181" s="34"/>
      <c r="AA181" s="34"/>
      <c r="AB181" s="34"/>
      <c r="AC181" s="34"/>
      <c r="AD181" s="345"/>
      <c r="AE181" s="19"/>
      <c r="AF181" s="19"/>
      <c r="AG181" s="19"/>
      <c r="AH181" s="19"/>
      <c r="AI181" s="19"/>
      <c r="AJ181" s="19"/>
    </row>
    <row r="182" spans="1:46" s="231" customFormat="1" ht="4.4000000000000004" customHeight="1">
      <c r="A182" s="76"/>
      <c r="B182" s="151"/>
      <c r="C182" s="230"/>
      <c r="D182" s="331"/>
      <c r="E182" s="331"/>
      <c r="F182" s="151"/>
      <c r="H182" s="53"/>
      <c r="I182" s="32"/>
      <c r="J182" s="232"/>
      <c r="K182" s="233"/>
      <c r="L182" s="234"/>
      <c r="M182" s="234"/>
      <c r="N182" s="234"/>
      <c r="O182" s="234"/>
      <c r="P182" s="234"/>
      <c r="Q182" s="234"/>
      <c r="R182" s="234"/>
      <c r="S182" s="234"/>
      <c r="T182" s="234"/>
      <c r="U182" s="234"/>
      <c r="V182" s="234"/>
      <c r="W182" s="234"/>
      <c r="X182" s="234"/>
      <c r="Y182" s="234"/>
      <c r="Z182" s="332"/>
      <c r="AA182" s="332"/>
      <c r="AB182" s="332"/>
      <c r="AC182" s="332"/>
      <c r="AD182" s="283"/>
    </row>
    <row r="183" spans="1:46" s="226" customFormat="1" ht="0.65" customHeight="1">
      <c r="A183" s="288"/>
      <c r="B183" s="225"/>
      <c r="C183" s="333"/>
      <c r="D183" s="225"/>
      <c r="E183" s="225"/>
      <c r="F183" s="225"/>
      <c r="H183" s="54"/>
      <c r="I183" s="227"/>
      <c r="J183" s="228"/>
      <c r="K183" s="229"/>
      <c r="L183" s="229"/>
      <c r="M183" s="229"/>
      <c r="N183" s="229"/>
      <c r="O183" s="229"/>
      <c r="P183" s="229"/>
      <c r="Q183" s="229"/>
      <c r="R183" s="229"/>
      <c r="S183" s="229"/>
      <c r="T183" s="229"/>
      <c r="U183" s="229"/>
      <c r="V183" s="229"/>
      <c r="W183" s="229"/>
      <c r="X183" s="229"/>
      <c r="Y183" s="229"/>
      <c r="Z183" s="334"/>
      <c r="AA183" s="334"/>
      <c r="AB183" s="334"/>
      <c r="AC183" s="334"/>
      <c r="AD183" s="335"/>
    </row>
    <row r="184" spans="1:46" ht="23.65" customHeight="1">
      <c r="A184" s="614" t="s">
        <v>131</v>
      </c>
      <c r="B184" s="616" t="s">
        <v>132</v>
      </c>
      <c r="C184" s="326"/>
      <c r="D184" s="327" t="s">
        <v>14</v>
      </c>
      <c r="E184" s="327"/>
      <c r="F184" s="616" t="s">
        <v>2</v>
      </c>
      <c r="G184" s="616" t="s">
        <v>3</v>
      </c>
      <c r="H184" s="627" t="s">
        <v>29</v>
      </c>
      <c r="I184" s="19"/>
      <c r="J184" s="33"/>
      <c r="K184" s="616" t="s">
        <v>98</v>
      </c>
      <c r="L184" s="616" t="s">
        <v>99</v>
      </c>
      <c r="M184" s="163"/>
      <c r="N184" s="163"/>
      <c r="O184" s="622" t="s">
        <v>113</v>
      </c>
      <c r="P184" s="623"/>
      <c r="Q184" s="623"/>
      <c r="R184" s="623"/>
      <c r="S184" s="623"/>
      <c r="T184" s="623"/>
      <c r="U184" s="623"/>
      <c r="V184" s="623"/>
      <c r="W184" s="623"/>
      <c r="X184" s="624"/>
      <c r="Y184" s="336"/>
      <c r="Z184" s="337"/>
      <c r="AA184" s="337" t="s">
        <v>149</v>
      </c>
      <c r="AB184" s="337"/>
      <c r="AC184" s="337" t="s">
        <v>150</v>
      </c>
      <c r="AD184" s="290"/>
      <c r="AE184" s="19"/>
      <c r="AF184" s="19"/>
      <c r="AG184" s="19"/>
      <c r="AH184" s="19"/>
      <c r="AI184" s="19"/>
      <c r="AJ184" s="19"/>
    </row>
    <row r="185" spans="1:46" ht="23.65" customHeight="1" thickBot="1">
      <c r="A185" s="615"/>
      <c r="B185" s="617"/>
      <c r="C185" s="198">
        <v>1</v>
      </c>
      <c r="D185" s="198">
        <v>2</v>
      </c>
      <c r="E185" s="198">
        <v>3</v>
      </c>
      <c r="F185" s="629"/>
      <c r="G185" s="617"/>
      <c r="H185" s="628"/>
      <c r="I185" s="19"/>
      <c r="J185" s="34"/>
      <c r="K185" s="625"/>
      <c r="L185" s="617"/>
      <c r="M185" s="163"/>
      <c r="N185" s="163"/>
      <c r="O185" s="199" t="s">
        <v>100</v>
      </c>
      <c r="P185" s="200" t="s">
        <v>101</v>
      </c>
      <c r="Q185" s="199" t="s">
        <v>102</v>
      </c>
      <c r="R185" s="200" t="s">
        <v>103</v>
      </c>
      <c r="S185" s="199" t="s">
        <v>219</v>
      </c>
      <c r="T185" s="201" t="s">
        <v>105</v>
      </c>
      <c r="U185" s="202" t="s">
        <v>106</v>
      </c>
      <c r="V185" s="202" t="s">
        <v>107</v>
      </c>
      <c r="W185" s="202" t="s">
        <v>108</v>
      </c>
      <c r="X185" s="203" t="s">
        <v>109</v>
      </c>
      <c r="Y185" s="336"/>
      <c r="Z185" s="338" t="s">
        <v>141</v>
      </c>
      <c r="AA185" s="338" t="s">
        <v>151</v>
      </c>
      <c r="AB185" s="338" t="s">
        <v>141</v>
      </c>
      <c r="AC185" s="338" t="s">
        <v>151</v>
      </c>
      <c r="AD185" s="338" t="s">
        <v>152</v>
      </c>
      <c r="AE185" s="19"/>
      <c r="AF185" s="19"/>
      <c r="AG185" s="19"/>
      <c r="AH185" s="19"/>
      <c r="AI185" s="19"/>
      <c r="AJ185" s="19"/>
    </row>
    <row r="186" spans="1:46" ht="25" customHeight="1" thickTop="1">
      <c r="A186" s="322" t="s">
        <v>192</v>
      </c>
      <c r="B186" s="350">
        <v>10</v>
      </c>
      <c r="C186" s="351"/>
      <c r="D186" s="351" t="str">
        <f t="shared" si="34"/>
        <v/>
      </c>
      <c r="E186" s="351" t="str">
        <f t="shared" si="34"/>
        <v/>
      </c>
      <c r="F186" s="350">
        <f t="shared" si="40"/>
        <v>9.9997100000000003</v>
      </c>
      <c r="G186" s="350">
        <f t="shared" si="41"/>
        <v>10.00029</v>
      </c>
      <c r="H186" s="352">
        <f t="shared" si="21"/>
        <v>2.9E-4</v>
      </c>
      <c r="I186" s="19"/>
      <c r="J186" s="34"/>
      <c r="K186" s="191" t="str">
        <f t="shared" si="36"/>
        <v/>
      </c>
      <c r="L186" s="192" t="str">
        <f t="shared" si="37"/>
        <v/>
      </c>
      <c r="M186" s="193"/>
      <c r="N186" s="193"/>
      <c r="O186" s="194" t="str">
        <f t="shared" si="38"/>
        <v/>
      </c>
      <c r="P186" s="194"/>
      <c r="Q186" s="241">
        <v>1.0000000000000001E-5</v>
      </c>
      <c r="R186" s="241"/>
      <c r="S186" s="241">
        <f>'ACC CAL WITH GB - Method 6'!L169</f>
        <v>3.2500000000000004E-5</v>
      </c>
      <c r="T186" s="195"/>
      <c r="U186" s="195"/>
      <c r="V186" s="195"/>
      <c r="W186" s="195"/>
      <c r="X186" s="195"/>
      <c r="Y186" s="343"/>
      <c r="Z186" s="337">
        <v>2.5000000000000001E-4</v>
      </c>
      <c r="AA186" s="337">
        <v>2.3000000000000001E-4</v>
      </c>
      <c r="AB186" s="337">
        <v>4.0000000000000002E-4</v>
      </c>
      <c r="AC186" s="337">
        <v>2.9E-4</v>
      </c>
      <c r="AD186" s="337">
        <f t="shared" ref="AD186:AD188" si="53">IF(AD$31=1,Z186,IF(AD$31=2,AB186,IF(AD$31=3,AA186,AC186)))</f>
        <v>2.9E-4</v>
      </c>
      <c r="AE186" s="19"/>
      <c r="AF186" s="19"/>
      <c r="AG186" s="19"/>
      <c r="AH186" s="19"/>
      <c r="AI186" s="19"/>
      <c r="AJ186" s="19"/>
    </row>
    <row r="187" spans="1:46" ht="25" customHeight="1">
      <c r="A187" s="322" t="s">
        <v>193</v>
      </c>
      <c r="B187" s="384">
        <v>1</v>
      </c>
      <c r="C187" s="385"/>
      <c r="D187" s="385" t="str">
        <f t="shared" si="34"/>
        <v/>
      </c>
      <c r="E187" s="385" t="str">
        <f t="shared" si="34"/>
        <v/>
      </c>
      <c r="F187" s="384">
        <f t="shared" si="40"/>
        <v>0.99988999999999995</v>
      </c>
      <c r="G187" s="384">
        <f t="shared" si="41"/>
        <v>1.0001100000000001</v>
      </c>
      <c r="H187" s="386">
        <f t="shared" si="21"/>
        <v>1.1E-4</v>
      </c>
      <c r="I187" s="19"/>
      <c r="J187" s="34"/>
      <c r="K187" s="191" t="str">
        <f t="shared" si="36"/>
        <v/>
      </c>
      <c r="L187" s="192" t="str">
        <f t="shared" si="37"/>
        <v/>
      </c>
      <c r="M187" s="193"/>
      <c r="N187" s="193"/>
      <c r="O187" s="194" t="str">
        <f t="shared" si="38"/>
        <v/>
      </c>
      <c r="P187" s="194"/>
      <c r="Q187" s="241">
        <v>9.9999999999999995E-7</v>
      </c>
      <c r="R187" s="241"/>
      <c r="S187" s="241">
        <f>'ACC CAL WITH GB - Method 6'!L170</f>
        <v>3.3000000000000003E-5</v>
      </c>
      <c r="T187" s="195"/>
      <c r="U187" s="195"/>
      <c r="V187" s="195"/>
      <c r="W187" s="195"/>
      <c r="X187" s="195"/>
      <c r="Y187" s="343"/>
      <c r="Z187" s="337">
        <v>9.0000000000000006E-5</v>
      </c>
      <c r="AA187" s="337">
        <v>9.0000000000000006E-5</v>
      </c>
      <c r="AB187" s="337">
        <v>1.1E-4</v>
      </c>
      <c r="AC187" s="337">
        <v>1.1E-4</v>
      </c>
      <c r="AD187" s="337">
        <f t="shared" si="53"/>
        <v>1.1E-4</v>
      </c>
      <c r="AE187" s="19"/>
      <c r="AF187" s="19"/>
      <c r="AG187" s="19"/>
      <c r="AH187" s="19"/>
      <c r="AI187" s="19"/>
      <c r="AJ187" s="19"/>
    </row>
    <row r="188" spans="1:46" ht="25" customHeight="1">
      <c r="A188" s="322" t="s">
        <v>194</v>
      </c>
      <c r="B188" s="405">
        <v>100</v>
      </c>
      <c r="C188" s="406"/>
      <c r="D188" s="406" t="str">
        <f t="shared" si="34"/>
        <v/>
      </c>
      <c r="E188" s="406" t="str">
        <f t="shared" si="34"/>
        <v/>
      </c>
      <c r="F188" s="405">
        <f t="shared" si="40"/>
        <v>99.944999999999993</v>
      </c>
      <c r="G188" s="405">
        <f t="shared" si="41"/>
        <v>100.05500000000001</v>
      </c>
      <c r="H188" s="407">
        <f t="shared" si="21"/>
        <v>5.5E-2</v>
      </c>
      <c r="I188" s="19"/>
      <c r="J188" s="34"/>
      <c r="K188" s="191" t="str">
        <f t="shared" si="36"/>
        <v/>
      </c>
      <c r="L188" s="192" t="str">
        <f t="shared" si="37"/>
        <v/>
      </c>
      <c r="M188" s="193"/>
      <c r="N188" s="193"/>
      <c r="O188" s="194" t="str">
        <f t="shared" si="38"/>
        <v/>
      </c>
      <c r="P188" s="194"/>
      <c r="Q188" s="241">
        <v>1E-4</v>
      </c>
      <c r="R188" s="241"/>
      <c r="S188" s="241">
        <f>'ACC CAL WITH GB - Method 6'!L171</f>
        <v>5.8000000000000005E-3</v>
      </c>
      <c r="T188" s="195"/>
      <c r="U188" s="195"/>
      <c r="V188" s="195"/>
      <c r="W188" s="195"/>
      <c r="X188" s="195"/>
      <c r="Y188" s="343"/>
      <c r="Z188" s="337">
        <v>3.5000000000000003E-2</v>
      </c>
      <c r="AA188" s="337">
        <v>3.5000000000000003E-2</v>
      </c>
      <c r="AB188" s="337">
        <v>5.5E-2</v>
      </c>
      <c r="AC188" s="337">
        <v>5.5E-2</v>
      </c>
      <c r="AD188" s="337">
        <f t="shared" si="53"/>
        <v>5.5E-2</v>
      </c>
      <c r="AE188" s="19"/>
      <c r="AF188" s="19"/>
      <c r="AG188" s="19"/>
      <c r="AH188" s="19"/>
      <c r="AI188" s="19"/>
      <c r="AJ188" s="19"/>
    </row>
    <row r="189" spans="1:46" ht="25" customHeight="1">
      <c r="A189" s="408"/>
      <c r="B189" s="409"/>
      <c r="C189" s="409"/>
      <c r="D189" s="409"/>
      <c r="E189" s="409"/>
      <c r="F189" s="409"/>
      <c r="G189" s="409"/>
      <c r="H189" s="409"/>
      <c r="I189" s="409"/>
      <c r="J189" s="409"/>
      <c r="K189" s="409"/>
      <c r="L189" s="409"/>
      <c r="M189" s="409"/>
      <c r="N189" s="409"/>
      <c r="O189" s="409"/>
      <c r="P189" s="409"/>
      <c r="Q189" s="409"/>
      <c r="R189" s="409"/>
      <c r="S189" s="409"/>
      <c r="T189" s="409"/>
      <c r="U189" s="409"/>
      <c r="V189" s="409"/>
      <c r="W189" s="409"/>
      <c r="X189" s="409"/>
      <c r="Y189" s="409"/>
      <c r="Z189" s="409"/>
      <c r="AA189" s="409"/>
      <c r="AB189" s="409"/>
      <c r="AC189" s="409"/>
      <c r="AD189" s="409"/>
      <c r="AE189" s="409"/>
      <c r="AF189" s="409"/>
      <c r="AG189" s="409"/>
      <c r="AH189" s="409"/>
      <c r="AI189" s="409"/>
      <c r="AJ189" s="409"/>
      <c r="AK189" s="409"/>
      <c r="AL189" s="409"/>
      <c r="AM189" s="409"/>
      <c r="AN189" s="409"/>
      <c r="AO189" s="409"/>
      <c r="AP189" s="409"/>
      <c r="AQ189" s="409"/>
      <c r="AR189" s="409"/>
      <c r="AS189" s="409"/>
      <c r="AT189" s="409"/>
    </row>
    <row r="190" spans="1:46" ht="26.15" customHeight="1">
      <c r="A190" s="328" t="s">
        <v>195</v>
      </c>
      <c r="C190" s="230"/>
      <c r="D190" s="329"/>
      <c r="E190" s="329"/>
      <c r="H190" s="213"/>
      <c r="I190" s="214"/>
      <c r="J190" s="215"/>
      <c r="Z190" s="34"/>
      <c r="AA190" s="34"/>
      <c r="AB190" s="34"/>
      <c r="AC190" s="34"/>
      <c r="AD190" s="345"/>
      <c r="AE190" s="19"/>
      <c r="AF190" s="19"/>
      <c r="AG190" s="19"/>
      <c r="AH190" s="19"/>
      <c r="AI190" s="19"/>
      <c r="AJ190" s="19"/>
    </row>
    <row r="191" spans="1:46" s="231" customFormat="1" ht="4.4000000000000004" customHeight="1">
      <c r="A191" s="76"/>
      <c r="B191" s="151"/>
      <c r="C191" s="230"/>
      <c r="D191" s="331"/>
      <c r="E191" s="331"/>
      <c r="F191" s="151"/>
      <c r="H191" s="53"/>
      <c r="I191" s="32"/>
      <c r="J191" s="232"/>
      <c r="K191" s="233"/>
      <c r="L191" s="234"/>
      <c r="M191" s="234"/>
      <c r="N191" s="234"/>
      <c r="O191" s="234"/>
      <c r="P191" s="234"/>
      <c r="Q191" s="234"/>
      <c r="R191" s="234"/>
      <c r="S191" s="234"/>
      <c r="T191" s="234"/>
      <c r="U191" s="234"/>
      <c r="V191" s="234"/>
      <c r="W191" s="234"/>
      <c r="X191" s="234"/>
      <c r="Y191" s="234"/>
      <c r="Z191" s="332"/>
      <c r="AA191" s="332"/>
      <c r="AB191" s="332"/>
      <c r="AC191" s="332"/>
      <c r="AD191" s="283"/>
    </row>
    <row r="192" spans="1:46" s="226" customFormat="1" ht="0.65" customHeight="1">
      <c r="A192" s="288"/>
      <c r="B192" s="225"/>
      <c r="C192" s="333"/>
      <c r="D192" s="225"/>
      <c r="E192" s="225"/>
      <c r="F192" s="225"/>
      <c r="H192" s="54"/>
      <c r="I192" s="227"/>
      <c r="J192" s="228"/>
      <c r="K192" s="229"/>
      <c r="L192" s="229"/>
      <c r="M192" s="229"/>
      <c r="N192" s="229"/>
      <c r="O192" s="229"/>
      <c r="P192" s="229"/>
      <c r="Q192" s="229"/>
      <c r="R192" s="229"/>
      <c r="S192" s="229"/>
      <c r="T192" s="229"/>
      <c r="U192" s="229"/>
      <c r="V192" s="229"/>
      <c r="W192" s="229"/>
      <c r="X192" s="229"/>
      <c r="Y192" s="229"/>
      <c r="Z192" s="334"/>
      <c r="AA192" s="334"/>
      <c r="AB192" s="334"/>
      <c r="AC192" s="334"/>
      <c r="AD192" s="335"/>
    </row>
    <row r="193" spans="1:39" ht="23.65" customHeight="1">
      <c r="A193" s="614" t="s">
        <v>131</v>
      </c>
      <c r="B193" s="616" t="s">
        <v>132</v>
      </c>
      <c r="C193" s="326"/>
      <c r="D193" s="327" t="s">
        <v>14</v>
      </c>
      <c r="E193" s="327"/>
      <c r="F193" s="616" t="s">
        <v>2</v>
      </c>
      <c r="G193" s="616" t="s">
        <v>3</v>
      </c>
      <c r="H193" s="627" t="s">
        <v>29</v>
      </c>
      <c r="I193" s="19"/>
      <c r="J193" s="33"/>
      <c r="K193" s="616" t="s">
        <v>98</v>
      </c>
      <c r="L193" s="616" t="s">
        <v>99</v>
      </c>
      <c r="M193" s="163"/>
      <c r="N193" s="163"/>
      <c r="O193" s="622" t="s">
        <v>113</v>
      </c>
      <c r="P193" s="623"/>
      <c r="Q193" s="623"/>
      <c r="R193" s="623"/>
      <c r="S193" s="623"/>
      <c r="T193" s="623"/>
      <c r="U193" s="623"/>
      <c r="V193" s="623"/>
      <c r="W193" s="623"/>
      <c r="X193" s="624"/>
      <c r="Y193" s="336"/>
      <c r="Z193" s="337"/>
      <c r="AA193" s="337" t="s">
        <v>149</v>
      </c>
      <c r="AB193" s="337"/>
      <c r="AC193" s="337" t="s">
        <v>150</v>
      </c>
      <c r="AD193" s="290"/>
      <c r="AE193" s="19"/>
      <c r="AF193" s="19"/>
      <c r="AG193" s="19"/>
      <c r="AH193" s="19"/>
      <c r="AI193" s="19"/>
      <c r="AJ193" s="19"/>
    </row>
    <row r="194" spans="1:39" ht="23.65" customHeight="1" thickBot="1">
      <c r="A194" s="615"/>
      <c r="B194" s="617"/>
      <c r="C194" s="198">
        <v>1</v>
      </c>
      <c r="D194" s="198">
        <v>2</v>
      </c>
      <c r="E194" s="198">
        <v>3</v>
      </c>
      <c r="F194" s="629"/>
      <c r="G194" s="617"/>
      <c r="H194" s="628"/>
      <c r="I194" s="19"/>
      <c r="J194" s="34"/>
      <c r="K194" s="625"/>
      <c r="L194" s="617"/>
      <c r="M194" s="163"/>
      <c r="N194" s="163"/>
      <c r="O194" s="199" t="s">
        <v>100</v>
      </c>
      <c r="P194" s="200" t="s">
        <v>101</v>
      </c>
      <c r="Q194" s="199" t="s">
        <v>102</v>
      </c>
      <c r="R194" s="200" t="s">
        <v>103</v>
      </c>
      <c r="S194" s="199" t="s">
        <v>219</v>
      </c>
      <c r="T194" s="201" t="s">
        <v>105</v>
      </c>
      <c r="U194" s="202" t="s">
        <v>106</v>
      </c>
      <c r="V194" s="202" t="s">
        <v>107</v>
      </c>
      <c r="W194" s="202" t="s">
        <v>108</v>
      </c>
      <c r="X194" s="203" t="s">
        <v>109</v>
      </c>
      <c r="Y194" s="336"/>
      <c r="Z194" s="338" t="s">
        <v>141</v>
      </c>
      <c r="AA194" s="338" t="s">
        <v>151</v>
      </c>
      <c r="AB194" s="338" t="s">
        <v>141</v>
      </c>
      <c r="AC194" s="338" t="s">
        <v>151</v>
      </c>
      <c r="AD194" s="338" t="s">
        <v>152</v>
      </c>
      <c r="AE194" s="19"/>
      <c r="AF194" s="19"/>
      <c r="AG194" s="19"/>
      <c r="AH194" s="19"/>
      <c r="AI194" s="19"/>
      <c r="AJ194" s="19"/>
    </row>
    <row r="195" spans="1:39" ht="25" customHeight="1" thickTop="1">
      <c r="A195" s="634" t="s">
        <v>196</v>
      </c>
      <c r="B195" s="410">
        <v>0</v>
      </c>
      <c r="C195" s="411"/>
      <c r="D195" s="411" t="str">
        <f t="shared" ref="D195:E204" si="54">IF($C195="","",$C195)</f>
        <v/>
      </c>
      <c r="E195" s="411" t="str">
        <f t="shared" si="54"/>
        <v/>
      </c>
      <c r="F195" s="410">
        <v>0</v>
      </c>
      <c r="G195" s="410">
        <f t="shared" si="41"/>
        <v>2.5000000000000001E-2</v>
      </c>
      <c r="H195" s="412">
        <f>AD195</f>
        <v>2.5000000000000001E-2</v>
      </c>
      <c r="I195" s="19"/>
      <c r="J195" s="34"/>
      <c r="K195" s="191" t="str">
        <f t="shared" si="36"/>
        <v/>
      </c>
      <c r="L195" s="192" t="str">
        <f t="shared" si="37"/>
        <v/>
      </c>
      <c r="M195" s="193"/>
      <c r="N195" s="193"/>
      <c r="O195" s="194" t="str">
        <f t="shared" si="38"/>
        <v/>
      </c>
      <c r="P195" s="194"/>
      <c r="Q195" s="241">
        <v>1E-3</v>
      </c>
      <c r="R195" s="241"/>
      <c r="S195" s="241">
        <f>'ACC CAL WITH GB - Method 6'!L178</f>
        <v>0</v>
      </c>
      <c r="T195" s="195"/>
      <c r="U195" s="195"/>
      <c r="V195" s="195"/>
      <c r="W195" s="195"/>
      <c r="X195" s="195"/>
      <c r="Y195" s="413"/>
      <c r="Z195" s="34"/>
      <c r="AA195" s="337">
        <v>2.5000000000000001E-2</v>
      </c>
      <c r="AB195" s="34"/>
      <c r="AC195" s="337">
        <v>2.5000000000000001E-2</v>
      </c>
      <c r="AD195" s="337">
        <f>IF(AD$31=1,Z195,IF(AD$31=2,AB195,IF(AD$31=3,AA195,AC195)))</f>
        <v>2.5000000000000001E-2</v>
      </c>
      <c r="AE195" s="19"/>
      <c r="AF195" s="19"/>
      <c r="AG195" s="19"/>
      <c r="AH195" s="19"/>
      <c r="AI195" s="19"/>
      <c r="AJ195" s="19"/>
    </row>
    <row r="196" spans="1:39" ht="25" customHeight="1">
      <c r="A196" s="613"/>
      <c r="B196" s="410">
        <v>1</v>
      </c>
      <c r="C196" s="411"/>
      <c r="D196" s="411" t="str">
        <f t="shared" si="54"/>
        <v/>
      </c>
      <c r="E196" s="411" t="str">
        <f t="shared" si="54"/>
        <v/>
      </c>
      <c r="F196" s="410">
        <f t="shared" si="40"/>
        <v>0.95499999999999996</v>
      </c>
      <c r="G196" s="410">
        <f t="shared" si="41"/>
        <v>1.0449999999999999</v>
      </c>
      <c r="H196" s="412">
        <f>AD196</f>
        <v>4.4999999999999998E-2</v>
      </c>
      <c r="I196" s="19"/>
      <c r="J196" s="34"/>
      <c r="K196" s="191" t="str">
        <f t="shared" si="36"/>
        <v/>
      </c>
      <c r="L196" s="192" t="str">
        <f t="shared" si="37"/>
        <v/>
      </c>
      <c r="M196" s="193"/>
      <c r="N196" s="193"/>
      <c r="O196" s="194" t="str">
        <f t="shared" si="38"/>
        <v/>
      </c>
      <c r="P196" s="194"/>
      <c r="Q196" s="241">
        <v>1E-3</v>
      </c>
      <c r="R196" s="241"/>
      <c r="S196" s="241">
        <f>'ACC CAL WITH GB - Method 6'!L179</f>
        <v>6.6E-3</v>
      </c>
      <c r="T196" s="195"/>
      <c r="U196" s="195"/>
      <c r="V196" s="195"/>
      <c r="W196" s="195"/>
      <c r="X196" s="195"/>
      <c r="Y196" s="413"/>
      <c r="Z196" s="34"/>
      <c r="AA196" s="337">
        <v>4.4999999999999998E-2</v>
      </c>
      <c r="AB196" s="34"/>
      <c r="AC196" s="337">
        <v>4.4999999999999998E-2</v>
      </c>
      <c r="AD196" s="337">
        <f t="shared" ref="AD196:AD204" si="55">IF(AD$31=1,Z196,IF(AD$31=2,AB196,IF(AD$31=3,AA196,AC196)))</f>
        <v>4.4999999999999998E-2</v>
      </c>
      <c r="AE196" s="19"/>
      <c r="AF196" s="19"/>
      <c r="AG196" s="19"/>
      <c r="AH196" s="19"/>
      <c r="AI196" s="19"/>
      <c r="AJ196" s="19"/>
    </row>
    <row r="197" spans="1:39" ht="25" customHeight="1">
      <c r="A197" s="322" t="s">
        <v>197</v>
      </c>
      <c r="B197" s="414">
        <v>10</v>
      </c>
      <c r="C197" s="415"/>
      <c r="D197" s="415" t="str">
        <f t="shared" si="54"/>
        <v/>
      </c>
      <c r="E197" s="415" t="str">
        <f t="shared" si="54"/>
        <v/>
      </c>
      <c r="F197" s="414">
        <f t="shared" si="40"/>
        <v>9.85</v>
      </c>
      <c r="G197" s="414">
        <f t="shared" si="41"/>
        <v>10.15</v>
      </c>
      <c r="H197" s="416">
        <f t="shared" si="21"/>
        <v>0.15</v>
      </c>
      <c r="I197" s="19"/>
      <c r="J197" s="34"/>
      <c r="K197" s="191" t="str">
        <f t="shared" si="36"/>
        <v/>
      </c>
      <c r="L197" s="192" t="str">
        <f t="shared" si="37"/>
        <v/>
      </c>
      <c r="M197" s="193"/>
      <c r="N197" s="193"/>
      <c r="O197" s="194" t="str">
        <f t="shared" si="38"/>
        <v/>
      </c>
      <c r="P197" s="194"/>
      <c r="Q197" s="241">
        <v>0.01</v>
      </c>
      <c r="R197" s="241"/>
      <c r="S197" s="241">
        <f>'ACC CAL WITH GB - Method 6'!L180</f>
        <v>2.3999999999999997E-2</v>
      </c>
      <c r="T197" s="195"/>
      <c r="U197" s="195"/>
      <c r="V197" s="195"/>
      <c r="W197" s="195"/>
      <c r="X197" s="195"/>
      <c r="Y197" s="413"/>
      <c r="Z197" s="34"/>
      <c r="AA197" s="337">
        <v>0.15</v>
      </c>
      <c r="AB197" s="34"/>
      <c r="AC197" s="337">
        <v>0.15</v>
      </c>
      <c r="AD197" s="337">
        <f t="shared" si="55"/>
        <v>0.15</v>
      </c>
      <c r="AE197" s="19"/>
      <c r="AF197" s="19"/>
      <c r="AG197" s="19"/>
      <c r="AH197" s="19"/>
      <c r="AI197" s="19"/>
      <c r="AJ197" s="19"/>
    </row>
    <row r="198" spans="1:39" ht="25" customHeight="1">
      <c r="A198" s="322" t="s">
        <v>198</v>
      </c>
      <c r="B198" s="417">
        <v>100</v>
      </c>
      <c r="C198" s="418"/>
      <c r="D198" s="418" t="str">
        <f t="shared" si="54"/>
        <v/>
      </c>
      <c r="E198" s="418" t="str">
        <f t="shared" si="54"/>
        <v/>
      </c>
      <c r="F198" s="417">
        <f t="shared" si="40"/>
        <v>98.5</v>
      </c>
      <c r="G198" s="417">
        <f t="shared" si="41"/>
        <v>101.5</v>
      </c>
      <c r="H198" s="419">
        <f t="shared" si="21"/>
        <v>1.5</v>
      </c>
      <c r="I198" s="19"/>
      <c r="J198" s="34"/>
      <c r="K198" s="191" t="str">
        <f t="shared" si="36"/>
        <v/>
      </c>
      <c r="L198" s="192" t="str">
        <f t="shared" si="37"/>
        <v/>
      </c>
      <c r="M198" s="193"/>
      <c r="N198" s="193"/>
      <c r="O198" s="194" t="str">
        <f t="shared" si="38"/>
        <v/>
      </c>
      <c r="P198" s="194"/>
      <c r="Q198" s="241">
        <v>0.1</v>
      </c>
      <c r="R198" s="241"/>
      <c r="S198" s="241">
        <f>'ACC CAL WITH GB - Method 6'!L181</f>
        <v>0.18</v>
      </c>
      <c r="T198" s="195"/>
      <c r="U198" s="195"/>
      <c r="V198" s="195"/>
      <c r="W198" s="195"/>
      <c r="X198" s="195"/>
      <c r="Y198" s="413"/>
      <c r="Z198" s="34"/>
      <c r="AA198" s="337">
        <v>1.5</v>
      </c>
      <c r="AB198" s="34"/>
      <c r="AC198" s="337">
        <v>1.5</v>
      </c>
      <c r="AD198" s="337">
        <f t="shared" si="55"/>
        <v>1.5</v>
      </c>
      <c r="AE198" s="19"/>
      <c r="AF198" s="19"/>
      <c r="AG198" s="19"/>
      <c r="AH198" s="19"/>
      <c r="AI198" s="19"/>
      <c r="AJ198" s="19"/>
    </row>
    <row r="199" spans="1:39" ht="25" customHeight="1">
      <c r="A199" s="420" t="s">
        <v>199</v>
      </c>
      <c r="B199" s="421">
        <v>1</v>
      </c>
      <c r="C199" s="422"/>
      <c r="D199" s="422" t="str">
        <f t="shared" si="54"/>
        <v/>
      </c>
      <c r="E199" s="422" t="str">
        <f t="shared" si="54"/>
        <v/>
      </c>
      <c r="F199" s="421">
        <f t="shared" si="40"/>
        <v>0.98499999999999999</v>
      </c>
      <c r="G199" s="421">
        <f t="shared" si="41"/>
        <v>1.0149999999999999</v>
      </c>
      <c r="H199" s="423">
        <f t="shared" si="21"/>
        <v>1.4999999999999999E-2</v>
      </c>
      <c r="I199" s="19"/>
      <c r="J199" s="34"/>
      <c r="K199" s="191" t="str">
        <f t="shared" si="36"/>
        <v/>
      </c>
      <c r="L199" s="192" t="str">
        <f t="shared" si="37"/>
        <v/>
      </c>
      <c r="M199" s="193"/>
      <c r="N199" s="193"/>
      <c r="O199" s="194" t="str">
        <f t="shared" si="38"/>
        <v/>
      </c>
      <c r="P199" s="194"/>
      <c r="Q199" s="241">
        <v>1E-3</v>
      </c>
      <c r="R199" s="241"/>
      <c r="S199" s="241">
        <f>'ACC CAL WITH GB - Method 6'!L182</f>
        <v>1.6000000000000001E-3</v>
      </c>
      <c r="T199" s="195"/>
      <c r="U199" s="195"/>
      <c r="V199" s="195"/>
      <c r="W199" s="195"/>
      <c r="X199" s="195"/>
      <c r="Y199" s="413"/>
      <c r="Z199" s="34"/>
      <c r="AA199" s="337">
        <v>1.4999999999999999E-2</v>
      </c>
      <c r="AB199" s="34"/>
      <c r="AC199" s="337">
        <v>1.4999999999999999E-2</v>
      </c>
      <c r="AD199" s="337">
        <f t="shared" si="55"/>
        <v>1.4999999999999999E-2</v>
      </c>
      <c r="AE199" s="19"/>
      <c r="AF199" s="19"/>
      <c r="AG199" s="19"/>
      <c r="AH199" s="19"/>
      <c r="AI199" s="19"/>
      <c r="AJ199" s="19"/>
    </row>
    <row r="200" spans="1:39" ht="25" customHeight="1">
      <c r="A200" s="420" t="s">
        <v>200</v>
      </c>
      <c r="B200" s="424">
        <v>10</v>
      </c>
      <c r="C200" s="425"/>
      <c r="D200" s="425" t="str">
        <f t="shared" si="54"/>
        <v/>
      </c>
      <c r="E200" s="425" t="str">
        <f t="shared" si="54"/>
        <v/>
      </c>
      <c r="F200" s="424">
        <f t="shared" si="40"/>
        <v>9.85</v>
      </c>
      <c r="G200" s="424">
        <f t="shared" si="41"/>
        <v>10.15</v>
      </c>
      <c r="H200" s="426">
        <f t="shared" si="21"/>
        <v>0.15</v>
      </c>
      <c r="I200" s="19"/>
      <c r="J200" s="34"/>
      <c r="K200" s="191" t="str">
        <f t="shared" si="36"/>
        <v/>
      </c>
      <c r="L200" s="192" t="str">
        <f t="shared" si="37"/>
        <v/>
      </c>
      <c r="M200" s="193"/>
      <c r="N200" s="193"/>
      <c r="O200" s="194" t="str">
        <f t="shared" si="38"/>
        <v/>
      </c>
      <c r="P200" s="194"/>
      <c r="Q200" s="241">
        <v>0.01</v>
      </c>
      <c r="R200" s="241"/>
      <c r="S200" s="241">
        <f>'ACC CAL WITH GB - Method 6'!L183</f>
        <v>2.3E-2</v>
      </c>
      <c r="T200" s="195"/>
      <c r="U200" s="195"/>
      <c r="V200" s="195"/>
      <c r="W200" s="195"/>
      <c r="X200" s="195"/>
      <c r="Y200" s="413"/>
      <c r="Z200" s="34"/>
      <c r="AA200" s="337">
        <v>0.15</v>
      </c>
      <c r="AB200" s="34"/>
      <c r="AC200" s="337">
        <v>0.15</v>
      </c>
      <c r="AD200" s="337">
        <f t="shared" si="55"/>
        <v>0.15</v>
      </c>
      <c r="AE200" s="19"/>
      <c r="AF200" s="19"/>
      <c r="AG200" s="19"/>
      <c r="AH200" s="19"/>
      <c r="AI200" s="19"/>
      <c r="AJ200" s="19"/>
    </row>
    <row r="201" spans="1:39" ht="25" customHeight="1">
      <c r="A201" s="420" t="s">
        <v>201</v>
      </c>
      <c r="B201" s="427">
        <v>100</v>
      </c>
      <c r="C201" s="428"/>
      <c r="D201" s="428" t="str">
        <f t="shared" si="54"/>
        <v/>
      </c>
      <c r="E201" s="428" t="str">
        <f t="shared" si="54"/>
        <v/>
      </c>
      <c r="F201" s="427">
        <f t="shared" si="40"/>
        <v>98.5</v>
      </c>
      <c r="G201" s="427">
        <f t="shared" si="41"/>
        <v>101.5</v>
      </c>
      <c r="H201" s="429">
        <f t="shared" si="21"/>
        <v>1.5</v>
      </c>
      <c r="I201" s="19"/>
      <c r="J201" s="34"/>
      <c r="K201" s="191" t="str">
        <f t="shared" si="36"/>
        <v/>
      </c>
      <c r="L201" s="192" t="str">
        <f t="shared" si="37"/>
        <v/>
      </c>
      <c r="M201" s="193"/>
      <c r="N201" s="193"/>
      <c r="O201" s="194" t="str">
        <f t="shared" si="38"/>
        <v/>
      </c>
      <c r="P201" s="194"/>
      <c r="Q201" s="241">
        <v>0.1</v>
      </c>
      <c r="R201" s="241"/>
      <c r="S201" s="241">
        <f>'ACC CAL WITH GB - Method 6'!L184</f>
        <v>0.18</v>
      </c>
      <c r="T201" s="195"/>
      <c r="U201" s="195"/>
      <c r="V201" s="195"/>
      <c r="W201" s="195"/>
      <c r="X201" s="195"/>
      <c r="Y201" s="413"/>
      <c r="Z201" s="34"/>
      <c r="AA201" s="337">
        <v>1.5</v>
      </c>
      <c r="AB201" s="34"/>
      <c r="AC201" s="337">
        <v>1.5</v>
      </c>
      <c r="AD201" s="337">
        <f t="shared" si="55"/>
        <v>1.5</v>
      </c>
      <c r="AE201" s="19"/>
      <c r="AF201" s="19"/>
      <c r="AG201" s="19"/>
      <c r="AH201" s="19"/>
      <c r="AI201" s="19"/>
      <c r="AJ201" s="19"/>
    </row>
    <row r="202" spans="1:39" ht="25" customHeight="1">
      <c r="A202" s="322" t="s">
        <v>202</v>
      </c>
      <c r="B202" s="430">
        <v>1</v>
      </c>
      <c r="C202" s="431"/>
      <c r="D202" s="431" t="str">
        <f t="shared" si="54"/>
        <v/>
      </c>
      <c r="E202" s="431" t="str">
        <f t="shared" si="54"/>
        <v/>
      </c>
      <c r="F202" s="430">
        <f t="shared" si="40"/>
        <v>0.98499999999999999</v>
      </c>
      <c r="G202" s="430">
        <f t="shared" si="41"/>
        <v>1.0149999999999999</v>
      </c>
      <c r="H202" s="432">
        <f t="shared" si="21"/>
        <v>1.4999999999999999E-2</v>
      </c>
      <c r="I202" s="19"/>
      <c r="J202" s="34"/>
      <c r="K202" s="191" t="str">
        <f t="shared" si="36"/>
        <v/>
      </c>
      <c r="L202" s="192" t="str">
        <f t="shared" si="37"/>
        <v/>
      </c>
      <c r="M202" s="193"/>
      <c r="N202" s="193"/>
      <c r="O202" s="194" t="str">
        <f t="shared" si="38"/>
        <v/>
      </c>
      <c r="P202" s="194"/>
      <c r="Q202" s="241">
        <v>1E-3</v>
      </c>
      <c r="R202" s="241"/>
      <c r="S202" s="241">
        <f>'ACC CAL WITH GB - Method 6'!L185</f>
        <v>2.8999999999999998E-3</v>
      </c>
      <c r="T202" s="195"/>
      <c r="U202" s="195"/>
      <c r="V202" s="195"/>
      <c r="W202" s="195"/>
      <c r="X202" s="195"/>
      <c r="Y202" s="413"/>
      <c r="Z202" s="34"/>
      <c r="AA202" s="337">
        <v>1.4999999999999999E-2</v>
      </c>
      <c r="AB202" s="34"/>
      <c r="AC202" s="337">
        <v>1.4999999999999999E-2</v>
      </c>
      <c r="AD202" s="337">
        <f t="shared" si="55"/>
        <v>1.4999999999999999E-2</v>
      </c>
      <c r="AE202" s="19"/>
      <c r="AF202" s="19"/>
      <c r="AG202" s="19"/>
      <c r="AH202" s="19"/>
      <c r="AI202" s="19"/>
      <c r="AJ202" s="19"/>
    </row>
    <row r="203" spans="1:39" ht="25" customHeight="1">
      <c r="A203" s="322" t="s">
        <v>203</v>
      </c>
      <c r="B203" s="433">
        <v>10</v>
      </c>
      <c r="C203" s="434"/>
      <c r="D203" s="434" t="str">
        <f t="shared" si="54"/>
        <v/>
      </c>
      <c r="E203" s="434" t="str">
        <f t="shared" si="54"/>
        <v/>
      </c>
      <c r="F203" s="433">
        <f t="shared" si="40"/>
        <v>9.85</v>
      </c>
      <c r="G203" s="433">
        <f t="shared" si="41"/>
        <v>10.15</v>
      </c>
      <c r="H203" s="435">
        <f t="shared" si="21"/>
        <v>0.15</v>
      </c>
      <c r="I203" s="19"/>
      <c r="J203" s="34"/>
      <c r="K203" s="191" t="str">
        <f t="shared" si="36"/>
        <v/>
      </c>
      <c r="L203" s="192" t="str">
        <f t="shared" si="37"/>
        <v/>
      </c>
      <c r="M203" s="193"/>
      <c r="N203" s="193"/>
      <c r="O203" s="194" t="str">
        <f t="shared" si="38"/>
        <v/>
      </c>
      <c r="P203" s="194"/>
      <c r="Q203" s="241">
        <v>0.01</v>
      </c>
      <c r="R203" s="241"/>
      <c r="S203" s="241">
        <f>'ACC CAL WITH GB - Method 6'!L186</f>
        <v>0.03</v>
      </c>
      <c r="T203" s="195"/>
      <c r="U203" s="195"/>
      <c r="V203" s="195"/>
      <c r="W203" s="195"/>
      <c r="X203" s="195"/>
      <c r="Y203" s="413"/>
      <c r="Z203" s="34"/>
      <c r="AA203" s="337">
        <v>0.15</v>
      </c>
      <c r="AB203" s="34"/>
      <c r="AC203" s="337">
        <v>0.15</v>
      </c>
      <c r="AD203" s="337">
        <f t="shared" si="55"/>
        <v>0.15</v>
      </c>
      <c r="AE203" s="19"/>
      <c r="AF203" s="19"/>
      <c r="AG203" s="19"/>
      <c r="AH203" s="19"/>
      <c r="AI203" s="19"/>
      <c r="AJ203" s="19"/>
    </row>
    <row r="204" spans="1:39" ht="24.4" customHeight="1">
      <c r="A204" s="322" t="s">
        <v>204</v>
      </c>
      <c r="B204" s="436">
        <v>100</v>
      </c>
      <c r="C204" s="437"/>
      <c r="D204" s="437" t="str">
        <f t="shared" si="54"/>
        <v/>
      </c>
      <c r="E204" s="437" t="str">
        <f t="shared" si="54"/>
        <v/>
      </c>
      <c r="F204" s="436">
        <f t="shared" si="40"/>
        <v>95.8</v>
      </c>
      <c r="G204" s="436">
        <f t="shared" si="41"/>
        <v>104.2</v>
      </c>
      <c r="H204" s="438">
        <f t="shared" si="21"/>
        <v>4.2</v>
      </c>
      <c r="I204" s="19"/>
      <c r="J204" s="34"/>
      <c r="K204" s="191" t="str">
        <f t="shared" si="36"/>
        <v/>
      </c>
      <c r="L204" s="192" t="str">
        <f t="shared" si="37"/>
        <v/>
      </c>
      <c r="M204" s="193"/>
      <c r="N204" s="193"/>
      <c r="O204" s="194" t="str">
        <f t="shared" si="38"/>
        <v/>
      </c>
      <c r="P204" s="194"/>
      <c r="Q204" s="241">
        <v>0.1</v>
      </c>
      <c r="R204" s="241"/>
      <c r="S204" s="241">
        <f>'ACC CAL WITH GB - Method 6'!L187</f>
        <v>0.27</v>
      </c>
      <c r="T204" s="195"/>
      <c r="U204" s="195"/>
      <c r="V204" s="195"/>
      <c r="W204" s="195"/>
      <c r="X204" s="195"/>
      <c r="Y204" s="413"/>
      <c r="Z204" s="34"/>
      <c r="AA204" s="337">
        <v>4.2</v>
      </c>
      <c r="AB204" s="34"/>
      <c r="AC204" s="337">
        <v>4.2</v>
      </c>
      <c r="AD204" s="337">
        <f t="shared" si="55"/>
        <v>4.2</v>
      </c>
      <c r="AE204" s="19"/>
      <c r="AF204" s="19"/>
      <c r="AG204" s="19"/>
      <c r="AH204" s="19"/>
      <c r="AI204" s="19"/>
      <c r="AJ204" s="19"/>
    </row>
    <row r="205" spans="1:39" ht="24.4" customHeight="1">
      <c r="A205" s="408"/>
      <c r="B205" s="408"/>
      <c r="C205" s="408"/>
      <c r="D205" s="408"/>
      <c r="E205" s="408"/>
      <c r="F205" s="408"/>
      <c r="G205" s="408"/>
      <c r="H205" s="408"/>
      <c r="I205" s="408"/>
      <c r="J205" s="408"/>
      <c r="K205" s="408"/>
      <c r="L205" s="408"/>
      <c r="M205" s="408"/>
      <c r="N205" s="408"/>
      <c r="O205" s="408"/>
      <c r="P205" s="408"/>
      <c r="Q205" s="408"/>
      <c r="R205" s="408"/>
      <c r="S205" s="408"/>
      <c r="T205" s="408"/>
      <c r="U205" s="408"/>
      <c r="V205" s="408"/>
      <c r="W205" s="408"/>
      <c r="X205" s="408"/>
      <c r="Y205" s="408"/>
      <c r="Z205" s="408"/>
      <c r="AA205" s="408"/>
      <c r="AB205" s="408"/>
      <c r="AC205" s="408"/>
      <c r="AD205" s="408"/>
      <c r="AE205" s="408"/>
      <c r="AF205" s="408"/>
      <c r="AG205" s="408"/>
      <c r="AH205" s="408"/>
      <c r="AI205" s="408"/>
      <c r="AJ205" s="408"/>
      <c r="AK205" s="408"/>
      <c r="AL205" s="408"/>
      <c r="AM205" s="408"/>
    </row>
    <row r="206" spans="1:39" ht="28.15" customHeight="1">
      <c r="A206" s="328" t="s">
        <v>205</v>
      </c>
      <c r="C206" s="230"/>
      <c r="D206" s="329"/>
      <c r="E206" s="329"/>
      <c r="H206" s="213"/>
      <c r="I206" s="214"/>
      <c r="J206" s="215"/>
      <c r="Z206" s="34"/>
      <c r="AA206" s="34"/>
      <c r="AB206" s="34"/>
      <c r="AC206" s="34"/>
      <c r="AD206" s="345"/>
      <c r="AE206" s="19"/>
      <c r="AF206" s="19"/>
      <c r="AG206" s="19"/>
      <c r="AH206" s="19"/>
      <c r="AI206" s="19"/>
      <c r="AJ206" s="19"/>
    </row>
    <row r="207" spans="1:39" s="231" customFormat="1" ht="19.899999999999999" customHeight="1">
      <c r="A207" s="76" t="s">
        <v>206</v>
      </c>
      <c r="B207" s="151"/>
      <c r="C207" s="230"/>
      <c r="D207" s="331"/>
      <c r="E207" s="331"/>
      <c r="F207" s="151"/>
      <c r="H207" s="53"/>
      <c r="I207" s="32"/>
      <c r="J207" s="232"/>
      <c r="K207" s="233"/>
      <c r="L207" s="234"/>
      <c r="M207" s="234"/>
      <c r="N207" s="234"/>
      <c r="O207" s="234"/>
      <c r="P207" s="234"/>
      <c r="Q207" s="234"/>
      <c r="R207" s="234"/>
      <c r="S207" s="234"/>
      <c r="T207" s="234"/>
      <c r="U207" s="234"/>
      <c r="V207" s="234"/>
      <c r="W207" s="234"/>
      <c r="X207" s="234"/>
      <c r="Y207" s="234"/>
      <c r="Z207" s="332"/>
      <c r="AA207" s="332"/>
      <c r="AB207" s="332"/>
      <c r="AC207" s="332"/>
      <c r="AD207" s="283"/>
    </row>
    <row r="208" spans="1:39" s="226" customFormat="1" ht="5.9" customHeight="1">
      <c r="A208" s="288"/>
      <c r="B208" s="225"/>
      <c r="C208" s="333"/>
      <c r="D208" s="225"/>
      <c r="E208" s="225"/>
      <c r="F208" s="225"/>
      <c r="H208" s="54"/>
      <c r="I208" s="227"/>
      <c r="J208" s="228"/>
      <c r="K208" s="229"/>
      <c r="L208" s="229"/>
      <c r="M208" s="229"/>
      <c r="N208" s="229"/>
      <c r="O208" s="229"/>
      <c r="P208" s="229"/>
      <c r="Q208" s="229"/>
      <c r="R208" s="229"/>
      <c r="S208" s="229"/>
      <c r="T208" s="229"/>
      <c r="U208" s="229"/>
      <c r="V208" s="229"/>
      <c r="W208" s="229"/>
      <c r="X208" s="229"/>
      <c r="Y208" s="229"/>
      <c r="Z208" s="334"/>
      <c r="AA208" s="334"/>
      <c r="AB208" s="334"/>
      <c r="AC208" s="334"/>
      <c r="AD208" s="335"/>
    </row>
    <row r="209" spans="1:36" ht="20.9" customHeight="1">
      <c r="A209" s="614" t="s">
        <v>207</v>
      </c>
      <c r="B209" s="616" t="s">
        <v>132</v>
      </c>
      <c r="C209" s="326"/>
      <c r="D209" s="327" t="s">
        <v>14</v>
      </c>
      <c r="E209" s="327"/>
      <c r="F209" s="616" t="s">
        <v>2</v>
      </c>
      <c r="G209" s="616" t="s">
        <v>3</v>
      </c>
      <c r="H209" s="627" t="s">
        <v>29</v>
      </c>
      <c r="I209" s="19"/>
      <c r="J209" s="33"/>
      <c r="K209" s="616" t="s">
        <v>98</v>
      </c>
      <c r="L209" s="616" t="s">
        <v>99</v>
      </c>
      <c r="M209" s="163"/>
      <c r="N209" s="163"/>
      <c r="O209" s="622" t="s">
        <v>113</v>
      </c>
      <c r="P209" s="623"/>
      <c r="Q209" s="623"/>
      <c r="R209" s="623"/>
      <c r="S209" s="623"/>
      <c r="T209" s="623"/>
      <c r="U209" s="623"/>
      <c r="V209" s="623"/>
      <c r="W209" s="623"/>
      <c r="X209" s="624"/>
      <c r="Y209" s="336"/>
      <c r="Z209" s="337"/>
      <c r="AA209" s="337" t="s">
        <v>149</v>
      </c>
      <c r="AB209" s="337"/>
      <c r="AC209" s="337" t="s">
        <v>150</v>
      </c>
      <c r="AD209" s="290"/>
      <c r="AE209" s="19"/>
      <c r="AF209" s="19"/>
      <c r="AG209" s="19"/>
      <c r="AH209" s="19"/>
      <c r="AI209" s="19"/>
      <c r="AJ209" s="19"/>
    </row>
    <row r="210" spans="1:36" ht="20.9" customHeight="1" thickBot="1">
      <c r="A210" s="615"/>
      <c r="B210" s="617"/>
      <c r="C210" s="198">
        <v>1</v>
      </c>
      <c r="D210" s="198">
        <v>2</v>
      </c>
      <c r="E210" s="198">
        <v>3</v>
      </c>
      <c r="F210" s="629"/>
      <c r="G210" s="617"/>
      <c r="H210" s="628"/>
      <c r="I210" s="19"/>
      <c r="J210" s="34"/>
      <c r="K210" s="625"/>
      <c r="L210" s="617"/>
      <c r="M210" s="163"/>
      <c r="N210" s="163"/>
      <c r="O210" s="199" t="s">
        <v>100</v>
      </c>
      <c r="P210" s="200" t="s">
        <v>101</v>
      </c>
      <c r="Q210" s="199" t="s">
        <v>102</v>
      </c>
      <c r="R210" s="200" t="s">
        <v>103</v>
      </c>
      <c r="S210" s="199" t="s">
        <v>219</v>
      </c>
      <c r="T210" s="201" t="s">
        <v>105</v>
      </c>
      <c r="U210" s="202" t="s">
        <v>106</v>
      </c>
      <c r="V210" s="202" t="s">
        <v>107</v>
      </c>
      <c r="W210" s="202" t="s">
        <v>108</v>
      </c>
      <c r="X210" s="203" t="s">
        <v>109</v>
      </c>
      <c r="Y210" s="336"/>
      <c r="Z210" s="338" t="s">
        <v>141</v>
      </c>
      <c r="AA210" s="338" t="s">
        <v>151</v>
      </c>
      <c r="AB210" s="338" t="s">
        <v>141</v>
      </c>
      <c r="AC210" s="338" t="s">
        <v>151</v>
      </c>
      <c r="AD210" s="338" t="s">
        <v>152</v>
      </c>
      <c r="AE210" s="19"/>
      <c r="AF210" s="19"/>
      <c r="AG210" s="19"/>
      <c r="AH210" s="19"/>
      <c r="AI210" s="19"/>
      <c r="AJ210" s="19"/>
    </row>
    <row r="211" spans="1:36" ht="25" customHeight="1" thickTop="1">
      <c r="A211" s="439">
        <v>0</v>
      </c>
      <c r="B211" s="440">
        <v>0</v>
      </c>
      <c r="C211" s="441"/>
      <c r="D211" s="441" t="str">
        <f t="shared" ref="D211:E297" si="56">IF($C211="","",$C211)</f>
        <v/>
      </c>
      <c r="E211" s="441" t="str">
        <f t="shared" si="56"/>
        <v/>
      </c>
      <c r="F211" s="440">
        <f t="shared" si="40"/>
        <v>-2.5000000000000001E-2</v>
      </c>
      <c r="G211" s="440">
        <f t="shared" si="41"/>
        <v>2.5000000000000001E-2</v>
      </c>
      <c r="H211" s="442">
        <f t="shared" si="21"/>
        <v>2.5000000000000001E-2</v>
      </c>
      <c r="I211" s="19"/>
      <c r="J211" s="34"/>
      <c r="K211" s="191" t="str">
        <f t="shared" si="36"/>
        <v/>
      </c>
      <c r="L211" s="192" t="str">
        <f t="shared" si="37"/>
        <v/>
      </c>
      <c r="M211" s="193"/>
      <c r="N211" s="193"/>
      <c r="O211" s="194" t="str">
        <f t="shared" si="38"/>
        <v/>
      </c>
      <c r="P211" s="194"/>
      <c r="Q211" s="241">
        <v>1E-4</v>
      </c>
      <c r="R211" s="241"/>
      <c r="S211" s="241">
        <f>'ACC CAL WITH GB - Method 6'!L194</f>
        <v>6.0000000000000001E-3</v>
      </c>
      <c r="T211" s="195"/>
      <c r="U211" s="195"/>
      <c r="V211" s="195"/>
      <c r="W211" s="195"/>
      <c r="X211" s="195"/>
      <c r="Y211" s="343"/>
      <c r="Z211" s="337">
        <v>2.5000000000000001E-2</v>
      </c>
      <c r="AA211" s="337">
        <v>2.5000000000000001E-2</v>
      </c>
      <c r="AB211" s="337">
        <v>2.5000000000000001E-2</v>
      </c>
      <c r="AC211" s="337">
        <v>2.5000000000000001E-2</v>
      </c>
      <c r="AD211" s="337">
        <f t="shared" ref="AD211:AD245" si="57">IF(AD$31=1,Z211,IF(AD$31=2,AB211,IF(AD$31=3,AA211,AC211)))</f>
        <v>2.5000000000000001E-2</v>
      </c>
      <c r="AE211" s="19"/>
      <c r="AF211" s="19"/>
      <c r="AG211" s="19"/>
      <c r="AH211" s="19"/>
      <c r="AI211" s="19"/>
      <c r="AJ211" s="19"/>
    </row>
    <row r="212" spans="1:36" ht="25" customHeight="1">
      <c r="A212" s="439">
        <v>100</v>
      </c>
      <c r="B212" s="440">
        <v>100</v>
      </c>
      <c r="C212" s="441"/>
      <c r="D212" s="441" t="str">
        <f t="shared" si="56"/>
        <v/>
      </c>
      <c r="E212" s="441" t="str">
        <f t="shared" si="56"/>
        <v/>
      </c>
      <c r="F212" s="440">
        <f t="shared" si="40"/>
        <v>99.924999999999997</v>
      </c>
      <c r="G212" s="440">
        <f t="shared" si="41"/>
        <v>100.075</v>
      </c>
      <c r="H212" s="442">
        <f t="shared" si="21"/>
        <v>7.4999999999999997E-2</v>
      </c>
      <c r="I212" s="19"/>
      <c r="J212" s="34"/>
      <c r="K212" s="191" t="str">
        <f t="shared" si="36"/>
        <v/>
      </c>
      <c r="L212" s="192" t="str">
        <f t="shared" si="37"/>
        <v/>
      </c>
      <c r="M212" s="193"/>
      <c r="N212" s="193"/>
      <c r="O212" s="194" t="str">
        <f t="shared" si="38"/>
        <v/>
      </c>
      <c r="P212" s="194"/>
      <c r="Q212" s="241">
        <v>1E-4</v>
      </c>
      <c r="R212" s="241"/>
      <c r="S212" s="241">
        <f>'ACC CAL WITH GB - Method 6'!L195</f>
        <v>1.03E-2</v>
      </c>
      <c r="T212" s="195"/>
      <c r="U212" s="195"/>
      <c r="V212" s="195"/>
      <c r="W212" s="195"/>
      <c r="X212" s="195"/>
      <c r="Y212" s="343"/>
      <c r="Z212" s="337">
        <v>6.5000000000000002E-2</v>
      </c>
      <c r="AA212" s="337">
        <v>6.5000000000000002E-2</v>
      </c>
      <c r="AB212" s="337">
        <v>7.4999999999999997E-2</v>
      </c>
      <c r="AC212" s="337">
        <v>7.4999999999999997E-2</v>
      </c>
      <c r="AD212" s="337">
        <f t="shared" si="57"/>
        <v>7.4999999999999997E-2</v>
      </c>
      <c r="AE212" s="19"/>
      <c r="AF212" s="19"/>
      <c r="AG212" s="19"/>
      <c r="AH212" s="19"/>
      <c r="AI212" s="19"/>
      <c r="AJ212" s="19"/>
    </row>
    <row r="213" spans="1:36" ht="25" customHeight="1">
      <c r="A213" s="439">
        <v>-100</v>
      </c>
      <c r="B213" s="440">
        <v>-100</v>
      </c>
      <c r="C213" s="441"/>
      <c r="D213" s="441" t="str">
        <f t="shared" si="56"/>
        <v/>
      </c>
      <c r="E213" s="441" t="str">
        <f t="shared" si="56"/>
        <v/>
      </c>
      <c r="F213" s="440">
        <f t="shared" si="40"/>
        <v>-100.075</v>
      </c>
      <c r="G213" s="440">
        <f t="shared" si="41"/>
        <v>-99.924999999999997</v>
      </c>
      <c r="H213" s="442">
        <f t="shared" si="21"/>
        <v>7.4999999999999997E-2</v>
      </c>
      <c r="I213" s="19"/>
      <c r="J213" s="34"/>
      <c r="K213" s="191" t="str">
        <f t="shared" ref="K213:K297" si="58">IF(OR(C213="NA",C213=""), "",COUNTA(C213:E213))</f>
        <v/>
      </c>
      <c r="L213" s="192" t="str">
        <f t="shared" ref="L213:L297" si="59">IF(ISTEXT(C213)=TRUE, INDEX(C213:E213,MODE(MATCH(C213:E213,C213:E213,0))),IF(C213="","",IF(C213="NA","NA",AVERAGE(C213:E213))))</f>
        <v/>
      </c>
      <c r="M213" s="193"/>
      <c r="N213" s="193"/>
      <c r="O213" s="194" t="str">
        <f t="shared" ref="O213:O297" si="60">IF(OR(ISTEXT(C213)=TRUE, C213=""),"",STDEV(C213:E213))</f>
        <v/>
      </c>
      <c r="P213" s="194"/>
      <c r="Q213" s="241">
        <v>1E-4</v>
      </c>
      <c r="R213" s="241"/>
      <c r="S213" s="241">
        <f>'ACC CAL WITH GB - Method 6'!L196</f>
        <v>1.03E-2</v>
      </c>
      <c r="T213" s="195"/>
      <c r="U213" s="195"/>
      <c r="V213" s="195"/>
      <c r="W213" s="195"/>
      <c r="X213" s="195"/>
      <c r="Y213" s="343"/>
      <c r="Z213" s="337">
        <v>6.5000000000000002E-2</v>
      </c>
      <c r="AA213" s="337">
        <v>6.5000000000000002E-2</v>
      </c>
      <c r="AB213" s="337">
        <v>7.4999999999999997E-2</v>
      </c>
      <c r="AC213" s="337">
        <v>7.4999999999999997E-2</v>
      </c>
      <c r="AD213" s="337">
        <f t="shared" si="57"/>
        <v>7.4999999999999997E-2</v>
      </c>
      <c r="AE213" s="19"/>
      <c r="AF213" s="19"/>
      <c r="AG213" s="19"/>
      <c r="AH213" s="19"/>
      <c r="AI213" s="19"/>
      <c r="AJ213" s="19"/>
    </row>
    <row r="214" spans="1:36" ht="28.15" customHeight="1">
      <c r="A214" s="328"/>
      <c r="C214" s="230"/>
      <c r="D214" s="329"/>
      <c r="E214" s="329"/>
      <c r="H214" s="213"/>
      <c r="I214" s="214"/>
      <c r="J214" s="215"/>
      <c r="Z214" s="34"/>
      <c r="AA214" s="34"/>
      <c r="AB214" s="34"/>
      <c r="AC214" s="34"/>
      <c r="AD214" s="345"/>
      <c r="AE214" s="19"/>
      <c r="AF214" s="19"/>
      <c r="AG214" s="19"/>
      <c r="AH214" s="19"/>
      <c r="AI214" s="19"/>
      <c r="AJ214" s="19"/>
    </row>
    <row r="215" spans="1:36" s="231" customFormat="1" ht="19.899999999999999" customHeight="1">
      <c r="A215" s="76" t="s">
        <v>208</v>
      </c>
      <c r="B215" s="151"/>
      <c r="C215" s="230"/>
      <c r="D215" s="331"/>
      <c r="E215" s="331"/>
      <c r="F215" s="151"/>
      <c r="H215" s="53"/>
      <c r="I215" s="32"/>
      <c r="J215" s="232"/>
      <c r="K215" s="233"/>
      <c r="L215" s="234"/>
      <c r="M215" s="234"/>
      <c r="N215" s="234"/>
      <c r="O215" s="234"/>
      <c r="P215" s="234"/>
      <c r="Q215" s="234"/>
      <c r="R215" s="234"/>
      <c r="S215" s="234"/>
      <c r="T215" s="234"/>
      <c r="U215" s="234"/>
      <c r="V215" s="234"/>
      <c r="W215" s="234"/>
      <c r="X215" s="234"/>
      <c r="Y215" s="234"/>
      <c r="Z215" s="332"/>
      <c r="AA215" s="332"/>
      <c r="AB215" s="332"/>
      <c r="AC215" s="332"/>
      <c r="AD215" s="283"/>
    </row>
    <row r="216" spans="1:36" s="226" customFormat="1" ht="5.9" customHeight="1">
      <c r="A216" s="288"/>
      <c r="B216" s="225"/>
      <c r="C216" s="333"/>
      <c r="D216" s="225"/>
      <c r="E216" s="225"/>
      <c r="F216" s="225"/>
      <c r="H216" s="54"/>
      <c r="I216" s="227"/>
      <c r="J216" s="228"/>
      <c r="K216" s="229"/>
      <c r="L216" s="229"/>
      <c r="M216" s="229"/>
      <c r="N216" s="229"/>
      <c r="O216" s="229"/>
      <c r="P216" s="229"/>
      <c r="Q216" s="229"/>
      <c r="R216" s="229"/>
      <c r="S216" s="229"/>
      <c r="T216" s="229"/>
      <c r="U216" s="229"/>
      <c r="V216" s="229"/>
      <c r="W216" s="229"/>
      <c r="X216" s="229"/>
      <c r="Y216" s="229"/>
      <c r="Z216" s="334"/>
      <c r="AA216" s="334"/>
      <c r="AB216" s="334"/>
      <c r="AC216" s="334"/>
      <c r="AD216" s="335"/>
    </row>
    <row r="217" spans="1:36" ht="20.9" customHeight="1">
      <c r="A217" s="614" t="s">
        <v>207</v>
      </c>
      <c r="B217" s="616" t="s">
        <v>132</v>
      </c>
      <c r="C217" s="326"/>
      <c r="D217" s="327" t="s">
        <v>14</v>
      </c>
      <c r="E217" s="327"/>
      <c r="F217" s="616" t="s">
        <v>2</v>
      </c>
      <c r="G217" s="616" t="s">
        <v>3</v>
      </c>
      <c r="H217" s="627" t="s">
        <v>29</v>
      </c>
      <c r="I217" s="19"/>
      <c r="J217" s="33"/>
      <c r="K217" s="616" t="s">
        <v>98</v>
      </c>
      <c r="L217" s="616" t="s">
        <v>99</v>
      </c>
      <c r="M217" s="163"/>
      <c r="N217" s="163"/>
      <c r="O217" s="622" t="s">
        <v>113</v>
      </c>
      <c r="P217" s="623"/>
      <c r="Q217" s="623"/>
      <c r="R217" s="623"/>
      <c r="S217" s="623"/>
      <c r="T217" s="623"/>
      <c r="U217" s="623"/>
      <c r="V217" s="623"/>
      <c r="W217" s="623"/>
      <c r="X217" s="624"/>
      <c r="Y217" s="336"/>
      <c r="Z217" s="337"/>
      <c r="AA217" s="337" t="s">
        <v>149</v>
      </c>
      <c r="AB217" s="337"/>
      <c r="AC217" s="337" t="s">
        <v>150</v>
      </c>
      <c r="AD217" s="290"/>
      <c r="AE217" s="19"/>
      <c r="AF217" s="19"/>
      <c r="AG217" s="19"/>
      <c r="AH217" s="19"/>
      <c r="AI217" s="19"/>
      <c r="AJ217" s="19"/>
    </row>
    <row r="218" spans="1:36" ht="20.9" customHeight="1" thickBot="1">
      <c r="A218" s="615"/>
      <c r="B218" s="617"/>
      <c r="C218" s="198">
        <v>1</v>
      </c>
      <c r="D218" s="198">
        <v>2</v>
      </c>
      <c r="E218" s="198">
        <v>3</v>
      </c>
      <c r="F218" s="629"/>
      <c r="G218" s="617"/>
      <c r="H218" s="628"/>
      <c r="I218" s="19"/>
      <c r="J218" s="34"/>
      <c r="K218" s="625"/>
      <c r="L218" s="617"/>
      <c r="M218" s="163"/>
      <c r="N218" s="163"/>
      <c r="O218" s="199" t="s">
        <v>100</v>
      </c>
      <c r="P218" s="200" t="s">
        <v>101</v>
      </c>
      <c r="Q218" s="199" t="s">
        <v>102</v>
      </c>
      <c r="R218" s="200" t="s">
        <v>103</v>
      </c>
      <c r="S218" s="199" t="s">
        <v>219</v>
      </c>
      <c r="T218" s="201" t="s">
        <v>105</v>
      </c>
      <c r="U218" s="202" t="s">
        <v>106</v>
      </c>
      <c r="V218" s="202" t="s">
        <v>107</v>
      </c>
      <c r="W218" s="202" t="s">
        <v>108</v>
      </c>
      <c r="X218" s="203" t="s">
        <v>109</v>
      </c>
      <c r="Y218" s="336"/>
      <c r="Z218" s="338" t="s">
        <v>141</v>
      </c>
      <c r="AA218" s="338" t="s">
        <v>151</v>
      </c>
      <c r="AB218" s="338" t="s">
        <v>141</v>
      </c>
      <c r="AC218" s="338" t="s">
        <v>151</v>
      </c>
      <c r="AD218" s="338" t="s">
        <v>152</v>
      </c>
      <c r="AE218" s="19"/>
      <c r="AF218" s="19"/>
      <c r="AG218" s="19"/>
      <c r="AH218" s="19"/>
      <c r="AI218" s="19"/>
      <c r="AJ218" s="19"/>
    </row>
    <row r="219" spans="1:36" ht="25" customHeight="1" thickTop="1">
      <c r="A219" s="443">
        <v>0</v>
      </c>
      <c r="B219" s="444">
        <v>0</v>
      </c>
      <c r="C219" s="445"/>
      <c r="D219" s="445" t="str">
        <f t="shared" si="56"/>
        <v/>
      </c>
      <c r="E219" s="445" t="str">
        <f t="shared" si="56"/>
        <v/>
      </c>
      <c r="F219" s="444">
        <f t="shared" ref="F219:F297" si="61">IF(B219="","",IFERROR(B219-H219,"NA"))</f>
        <v>-5.0000000000000002E-5</v>
      </c>
      <c r="G219" s="444">
        <f t="shared" ref="G219:G297" si="62">IF(B219="","",IFERROR(B219+H219,"NA"))</f>
        <v>5.0000000000000002E-5</v>
      </c>
      <c r="H219" s="446">
        <f t="shared" si="21"/>
        <v>5.0000000000000002E-5</v>
      </c>
      <c r="I219" s="19"/>
      <c r="J219" s="34"/>
      <c r="K219" s="191" t="str">
        <f t="shared" si="58"/>
        <v/>
      </c>
      <c r="L219" s="192" t="str">
        <f t="shared" si="59"/>
        <v/>
      </c>
      <c r="M219" s="193"/>
      <c r="N219" s="193"/>
      <c r="O219" s="194" t="str">
        <f t="shared" si="60"/>
        <v/>
      </c>
      <c r="P219" s="194"/>
      <c r="Q219" s="241">
        <v>9.9999999999999995E-7</v>
      </c>
      <c r="R219" s="241"/>
      <c r="S219" s="241">
        <f>'ACC CAL WITH GB - Method 6'!L202</f>
        <v>6.9999999999999999E-6</v>
      </c>
      <c r="T219" s="195"/>
      <c r="U219" s="195"/>
      <c r="V219" s="195"/>
      <c r="W219" s="195"/>
      <c r="X219" s="195"/>
      <c r="Y219" s="343"/>
      <c r="Z219" s="337">
        <v>5.0000000000000002E-5</v>
      </c>
      <c r="AA219" s="337">
        <v>5.0000000000000002E-5</v>
      </c>
      <c r="AB219" s="337">
        <v>5.0000000000000002E-5</v>
      </c>
      <c r="AC219" s="337">
        <v>5.0000000000000002E-5</v>
      </c>
      <c r="AD219" s="337">
        <f t="shared" si="57"/>
        <v>5.0000000000000002E-5</v>
      </c>
      <c r="AE219" s="19"/>
      <c r="AF219" s="19"/>
      <c r="AG219" s="19"/>
      <c r="AH219" s="19"/>
      <c r="AI219" s="19"/>
      <c r="AJ219" s="19"/>
    </row>
    <row r="220" spans="1:36" ht="25" customHeight="1">
      <c r="A220" s="443">
        <v>1</v>
      </c>
      <c r="B220" s="444">
        <v>1</v>
      </c>
      <c r="C220" s="445"/>
      <c r="D220" s="445" t="str">
        <f t="shared" si="56"/>
        <v/>
      </c>
      <c r="E220" s="445" t="str">
        <f t="shared" si="56"/>
        <v/>
      </c>
      <c r="F220" s="444">
        <f t="shared" si="61"/>
        <v>0.99944999999999995</v>
      </c>
      <c r="G220" s="444">
        <f t="shared" si="62"/>
        <v>1.0005500000000001</v>
      </c>
      <c r="H220" s="446">
        <f t="shared" si="21"/>
        <v>5.5000000000000003E-4</v>
      </c>
      <c r="I220" s="19"/>
      <c r="J220" s="34"/>
      <c r="K220" s="191" t="str">
        <f t="shared" si="58"/>
        <v/>
      </c>
      <c r="L220" s="192" t="str">
        <f t="shared" si="59"/>
        <v/>
      </c>
      <c r="M220" s="193"/>
      <c r="N220" s="193"/>
      <c r="O220" s="194" t="str">
        <f t="shared" si="60"/>
        <v/>
      </c>
      <c r="P220" s="194"/>
      <c r="Q220" s="241">
        <v>9.9999999999999995E-7</v>
      </c>
      <c r="R220" s="241"/>
      <c r="S220" s="241">
        <f>'ACC CAL WITH GB - Method 6'!L203</f>
        <v>6.3999999999999997E-5</v>
      </c>
      <c r="T220" s="195"/>
      <c r="U220" s="195"/>
      <c r="V220" s="195"/>
      <c r="W220" s="195"/>
      <c r="X220" s="195"/>
      <c r="Y220" s="343"/>
      <c r="Z220" s="337">
        <v>3.5E-4</v>
      </c>
      <c r="AA220" s="337">
        <v>3.5E-4</v>
      </c>
      <c r="AB220" s="337">
        <v>5.5000000000000003E-4</v>
      </c>
      <c r="AC220" s="337">
        <v>5.5000000000000003E-4</v>
      </c>
      <c r="AD220" s="337">
        <f t="shared" si="57"/>
        <v>5.5000000000000003E-4</v>
      </c>
      <c r="AE220" s="19"/>
      <c r="AF220" s="19"/>
      <c r="AG220" s="19"/>
      <c r="AH220" s="19"/>
      <c r="AI220" s="19"/>
      <c r="AJ220" s="19"/>
    </row>
    <row r="221" spans="1:36" ht="25" customHeight="1">
      <c r="A221" s="443">
        <v>-1</v>
      </c>
      <c r="B221" s="444">
        <v>-1</v>
      </c>
      <c r="C221" s="445"/>
      <c r="D221" s="445" t="str">
        <f t="shared" si="56"/>
        <v/>
      </c>
      <c r="E221" s="445" t="str">
        <f t="shared" si="56"/>
        <v/>
      </c>
      <c r="F221" s="444">
        <f t="shared" si="61"/>
        <v>-1.0005500000000001</v>
      </c>
      <c r="G221" s="444">
        <f t="shared" si="62"/>
        <v>-0.99944999999999995</v>
      </c>
      <c r="H221" s="446">
        <f t="shared" si="21"/>
        <v>5.5000000000000003E-4</v>
      </c>
      <c r="I221" s="19"/>
      <c r="J221" s="34"/>
      <c r="K221" s="191" t="str">
        <f t="shared" si="58"/>
        <v/>
      </c>
      <c r="L221" s="192" t="str">
        <f t="shared" si="59"/>
        <v/>
      </c>
      <c r="M221" s="193"/>
      <c r="N221" s="193"/>
      <c r="O221" s="194" t="str">
        <f t="shared" si="60"/>
        <v/>
      </c>
      <c r="P221" s="194"/>
      <c r="Q221" s="241">
        <v>9.9999999999999995E-7</v>
      </c>
      <c r="R221" s="241"/>
      <c r="S221" s="241">
        <f>'ACC CAL WITH GB - Method 6'!L204</f>
        <v>6.3999999999999997E-5</v>
      </c>
      <c r="T221" s="195"/>
      <c r="U221" s="195"/>
      <c r="V221" s="195"/>
      <c r="W221" s="195"/>
      <c r="X221" s="195"/>
      <c r="Y221" s="343"/>
      <c r="Z221" s="337">
        <v>3.5E-4</v>
      </c>
      <c r="AA221" s="337">
        <v>3.5E-4</v>
      </c>
      <c r="AB221" s="337">
        <v>5.5000000000000003E-4</v>
      </c>
      <c r="AC221" s="337">
        <v>5.5000000000000003E-4</v>
      </c>
      <c r="AD221" s="337">
        <f t="shared" si="57"/>
        <v>5.5000000000000003E-4</v>
      </c>
      <c r="AE221" s="19"/>
      <c r="AF221" s="19"/>
      <c r="AG221" s="19"/>
      <c r="AH221" s="19"/>
      <c r="AI221" s="19"/>
      <c r="AJ221" s="19"/>
    </row>
    <row r="222" spans="1:36" ht="28.15" customHeight="1">
      <c r="A222" s="328"/>
      <c r="C222" s="230"/>
      <c r="D222" s="329"/>
      <c r="E222" s="329"/>
      <c r="H222" s="213"/>
      <c r="I222" s="214"/>
      <c r="J222" s="215"/>
      <c r="Z222" s="34"/>
      <c r="AA222" s="34"/>
      <c r="AB222" s="34"/>
      <c r="AC222" s="34"/>
      <c r="AD222" s="345"/>
      <c r="AE222" s="19"/>
      <c r="AF222" s="19"/>
      <c r="AG222" s="19"/>
      <c r="AH222" s="19"/>
      <c r="AI222" s="19"/>
      <c r="AJ222" s="19"/>
    </row>
    <row r="223" spans="1:36" s="231" customFormat="1" ht="19.899999999999999" customHeight="1">
      <c r="A223" s="76" t="s">
        <v>209</v>
      </c>
      <c r="B223" s="151"/>
      <c r="C223" s="230"/>
      <c r="D223" s="331"/>
      <c r="E223" s="331"/>
      <c r="F223" s="151"/>
      <c r="H223" s="53"/>
      <c r="I223" s="32"/>
      <c r="J223" s="232"/>
      <c r="K223" s="233"/>
      <c r="L223" s="234"/>
      <c r="M223" s="234"/>
      <c r="N223" s="234"/>
      <c r="O223" s="234"/>
      <c r="P223" s="234"/>
      <c r="Q223" s="234"/>
      <c r="R223" s="234"/>
      <c r="S223" s="234"/>
      <c r="T223" s="234"/>
      <c r="U223" s="234"/>
      <c r="V223" s="234"/>
      <c r="W223" s="234"/>
      <c r="X223" s="234"/>
      <c r="Y223" s="234"/>
      <c r="Z223" s="332"/>
      <c r="AA223" s="332"/>
      <c r="AB223" s="332"/>
      <c r="AC223" s="332"/>
      <c r="AD223" s="283"/>
    </row>
    <row r="224" spans="1:36" s="226" customFormat="1" ht="5.9" customHeight="1">
      <c r="A224" s="288"/>
      <c r="B224" s="225"/>
      <c r="C224" s="333"/>
      <c r="D224" s="225"/>
      <c r="E224" s="225"/>
      <c r="F224" s="225"/>
      <c r="H224" s="54"/>
      <c r="I224" s="227"/>
      <c r="J224" s="228"/>
      <c r="K224" s="229"/>
      <c r="L224" s="229"/>
      <c r="M224" s="229"/>
      <c r="N224" s="229"/>
      <c r="O224" s="229"/>
      <c r="P224" s="229"/>
      <c r="Q224" s="229"/>
      <c r="R224" s="229"/>
      <c r="S224" s="229"/>
      <c r="T224" s="229"/>
      <c r="U224" s="229"/>
      <c r="V224" s="229"/>
      <c r="W224" s="229"/>
      <c r="X224" s="229"/>
      <c r="Y224" s="229"/>
      <c r="Z224" s="334"/>
      <c r="AA224" s="334"/>
      <c r="AB224" s="334"/>
      <c r="AC224" s="334"/>
      <c r="AD224" s="335"/>
    </row>
    <row r="225" spans="1:36" ht="20.9" customHeight="1">
      <c r="A225" s="614" t="s">
        <v>207</v>
      </c>
      <c r="B225" s="616" t="s">
        <v>132</v>
      </c>
      <c r="C225" s="326"/>
      <c r="D225" s="327" t="s">
        <v>14</v>
      </c>
      <c r="E225" s="327"/>
      <c r="F225" s="616" t="s">
        <v>2</v>
      </c>
      <c r="G225" s="616" t="s">
        <v>3</v>
      </c>
      <c r="H225" s="627" t="s">
        <v>29</v>
      </c>
      <c r="I225" s="19"/>
      <c r="J225" s="33"/>
      <c r="K225" s="616" t="s">
        <v>98</v>
      </c>
      <c r="L225" s="616" t="s">
        <v>99</v>
      </c>
      <c r="M225" s="163"/>
      <c r="N225" s="163"/>
      <c r="O225" s="622" t="s">
        <v>113</v>
      </c>
      <c r="P225" s="623"/>
      <c r="Q225" s="623"/>
      <c r="R225" s="623"/>
      <c r="S225" s="623"/>
      <c r="T225" s="623"/>
      <c r="U225" s="623"/>
      <c r="V225" s="623"/>
      <c r="W225" s="623"/>
      <c r="X225" s="624"/>
      <c r="Y225" s="336"/>
      <c r="Z225" s="337"/>
      <c r="AA225" s="337" t="s">
        <v>149</v>
      </c>
      <c r="AB225" s="337"/>
      <c r="AC225" s="337" t="s">
        <v>150</v>
      </c>
      <c r="AD225" s="290"/>
      <c r="AE225" s="19"/>
      <c r="AF225" s="19"/>
      <c r="AG225" s="19"/>
      <c r="AH225" s="19"/>
      <c r="AI225" s="19"/>
      <c r="AJ225" s="19"/>
    </row>
    <row r="226" spans="1:36" ht="20.9" customHeight="1" thickBot="1">
      <c r="A226" s="615"/>
      <c r="B226" s="617"/>
      <c r="C226" s="198">
        <v>1</v>
      </c>
      <c r="D226" s="198">
        <v>2</v>
      </c>
      <c r="E226" s="198">
        <v>3</v>
      </c>
      <c r="F226" s="629"/>
      <c r="G226" s="617"/>
      <c r="H226" s="628"/>
      <c r="I226" s="19"/>
      <c r="J226" s="34"/>
      <c r="K226" s="625"/>
      <c r="L226" s="617"/>
      <c r="M226" s="163"/>
      <c r="N226" s="163"/>
      <c r="O226" s="199" t="s">
        <v>100</v>
      </c>
      <c r="P226" s="200" t="s">
        <v>101</v>
      </c>
      <c r="Q226" s="199" t="s">
        <v>102</v>
      </c>
      <c r="R226" s="200" t="s">
        <v>103</v>
      </c>
      <c r="S226" s="199" t="s">
        <v>219</v>
      </c>
      <c r="T226" s="201" t="s">
        <v>105</v>
      </c>
      <c r="U226" s="202" t="s">
        <v>106</v>
      </c>
      <c r="V226" s="202" t="s">
        <v>107</v>
      </c>
      <c r="W226" s="202" t="s">
        <v>108</v>
      </c>
      <c r="X226" s="203" t="s">
        <v>109</v>
      </c>
      <c r="Y226" s="336"/>
      <c r="Z226" s="338" t="s">
        <v>141</v>
      </c>
      <c r="AA226" s="338" t="s">
        <v>151</v>
      </c>
      <c r="AB226" s="338" t="s">
        <v>141</v>
      </c>
      <c r="AC226" s="338" t="s">
        <v>151</v>
      </c>
      <c r="AD226" s="338" t="s">
        <v>152</v>
      </c>
      <c r="AE226" s="19"/>
      <c r="AF226" s="19"/>
      <c r="AG226" s="19"/>
      <c r="AH226" s="19"/>
      <c r="AI226" s="19"/>
      <c r="AJ226" s="19"/>
    </row>
    <row r="227" spans="1:36" ht="25" customHeight="1" thickTop="1">
      <c r="A227" s="443">
        <v>0</v>
      </c>
      <c r="B227" s="447">
        <v>0</v>
      </c>
      <c r="C227" s="448"/>
      <c r="D227" s="448" t="str">
        <f t="shared" si="56"/>
        <v/>
      </c>
      <c r="E227" s="448" t="str">
        <f t="shared" si="56"/>
        <v/>
      </c>
      <c r="F227" s="447">
        <f t="shared" si="61"/>
        <v>-2E-3</v>
      </c>
      <c r="G227" s="447">
        <f t="shared" si="62"/>
        <v>2E-3</v>
      </c>
      <c r="H227" s="449">
        <f t="shared" si="21"/>
        <v>2E-3</v>
      </c>
      <c r="I227" s="19"/>
      <c r="J227" s="34"/>
      <c r="K227" s="191" t="str">
        <f t="shared" si="58"/>
        <v/>
      </c>
      <c r="L227" s="192" t="str">
        <f t="shared" si="59"/>
        <v/>
      </c>
      <c r="M227" s="193"/>
      <c r="N227" s="193"/>
      <c r="O227" s="194" t="str">
        <f t="shared" si="60"/>
        <v/>
      </c>
      <c r="P227" s="194"/>
      <c r="Q227" s="241">
        <v>1.0000000000000001E-5</v>
      </c>
      <c r="R227" s="241"/>
      <c r="S227" s="241">
        <f>'ACC CAL WITH GB - Method 6'!L210</f>
        <v>4.0000000000000003E-5</v>
      </c>
      <c r="T227" s="195"/>
      <c r="U227" s="195"/>
      <c r="V227" s="195"/>
      <c r="W227" s="195"/>
      <c r="X227" s="195"/>
      <c r="Y227" s="343"/>
      <c r="Z227" s="337">
        <v>2E-3</v>
      </c>
      <c r="AA227" s="337">
        <v>2E-3</v>
      </c>
      <c r="AB227" s="337">
        <v>2E-3</v>
      </c>
      <c r="AC227" s="337">
        <v>2E-3</v>
      </c>
      <c r="AD227" s="337">
        <f t="shared" si="57"/>
        <v>2E-3</v>
      </c>
      <c r="AE227" s="19"/>
      <c r="AF227" s="19"/>
      <c r="AG227" s="19"/>
      <c r="AH227" s="19"/>
      <c r="AI227" s="19"/>
      <c r="AJ227" s="19"/>
    </row>
    <row r="228" spans="1:36" ht="25" customHeight="1">
      <c r="A228" s="443">
        <v>10</v>
      </c>
      <c r="B228" s="447">
        <v>10</v>
      </c>
      <c r="C228" s="448"/>
      <c r="D228" s="448" t="str">
        <f t="shared" si="56"/>
        <v/>
      </c>
      <c r="E228" s="448" t="str">
        <f t="shared" si="56"/>
        <v/>
      </c>
      <c r="F228" s="447">
        <f t="shared" si="61"/>
        <v>9.9930000000000003</v>
      </c>
      <c r="G228" s="447">
        <f t="shared" si="62"/>
        <v>10.007</v>
      </c>
      <c r="H228" s="449">
        <f t="shared" si="21"/>
        <v>7.0000000000000001E-3</v>
      </c>
      <c r="I228" s="19"/>
      <c r="J228" s="34"/>
      <c r="K228" s="191" t="str">
        <f t="shared" si="58"/>
        <v/>
      </c>
      <c r="L228" s="192" t="str">
        <f t="shared" si="59"/>
        <v/>
      </c>
      <c r="M228" s="193"/>
      <c r="N228" s="193"/>
      <c r="O228" s="194" t="str">
        <f t="shared" si="60"/>
        <v/>
      </c>
      <c r="P228" s="194"/>
      <c r="Q228" s="241">
        <v>1.0000000000000001E-5</v>
      </c>
      <c r="R228" s="241"/>
      <c r="S228" s="241">
        <f>'ACC CAL WITH GB - Method 6'!L211</f>
        <v>8.299999999999999E-4</v>
      </c>
      <c r="T228" s="195"/>
      <c r="U228" s="195"/>
      <c r="V228" s="195"/>
      <c r="W228" s="195"/>
      <c r="X228" s="195"/>
      <c r="Y228" s="343"/>
      <c r="Z228" s="337">
        <v>5.0000000000000001E-3</v>
      </c>
      <c r="AA228" s="337">
        <v>5.0000000000000001E-3</v>
      </c>
      <c r="AB228" s="337">
        <v>7.0000000000000001E-3</v>
      </c>
      <c r="AC228" s="337">
        <v>7.0000000000000001E-3</v>
      </c>
      <c r="AD228" s="337">
        <f t="shared" si="57"/>
        <v>7.0000000000000001E-3</v>
      </c>
      <c r="AE228" s="19"/>
      <c r="AF228" s="19"/>
      <c r="AG228" s="19"/>
      <c r="AH228" s="19"/>
      <c r="AI228" s="19"/>
      <c r="AJ228" s="19"/>
    </row>
    <row r="229" spans="1:36" ht="25" customHeight="1">
      <c r="A229" s="443">
        <v>-10</v>
      </c>
      <c r="B229" s="447">
        <v>-10</v>
      </c>
      <c r="C229" s="448"/>
      <c r="D229" s="448" t="str">
        <f t="shared" si="56"/>
        <v/>
      </c>
      <c r="E229" s="448" t="str">
        <f t="shared" si="56"/>
        <v/>
      </c>
      <c r="F229" s="447">
        <f t="shared" si="61"/>
        <v>-10.007</v>
      </c>
      <c r="G229" s="447">
        <f t="shared" si="62"/>
        <v>-9.9930000000000003</v>
      </c>
      <c r="H229" s="449">
        <f t="shared" si="21"/>
        <v>7.0000000000000001E-3</v>
      </c>
      <c r="I229" s="19"/>
      <c r="J229" s="34"/>
      <c r="K229" s="191" t="str">
        <f t="shared" si="58"/>
        <v/>
      </c>
      <c r="L229" s="192" t="str">
        <f t="shared" si="59"/>
        <v/>
      </c>
      <c r="M229" s="193"/>
      <c r="N229" s="193"/>
      <c r="O229" s="194" t="str">
        <f t="shared" si="60"/>
        <v/>
      </c>
      <c r="P229" s="194"/>
      <c r="Q229" s="241">
        <v>1.0000000000000001E-5</v>
      </c>
      <c r="R229" s="241"/>
      <c r="S229" s="241">
        <f>'ACC CAL WITH GB - Method 6'!L212</f>
        <v>8.299999999999999E-4</v>
      </c>
      <c r="T229" s="195"/>
      <c r="U229" s="195"/>
      <c r="V229" s="195"/>
      <c r="W229" s="195"/>
      <c r="X229" s="195"/>
      <c r="Y229" s="343"/>
      <c r="Z229" s="337">
        <v>5.0000000000000001E-3</v>
      </c>
      <c r="AA229" s="337">
        <v>5.0000000000000001E-3</v>
      </c>
      <c r="AB229" s="337">
        <v>7.0000000000000001E-3</v>
      </c>
      <c r="AC229" s="337">
        <v>7.0000000000000001E-3</v>
      </c>
      <c r="AD229" s="337">
        <f t="shared" si="57"/>
        <v>7.0000000000000001E-3</v>
      </c>
      <c r="AE229" s="19"/>
      <c r="AF229" s="19"/>
      <c r="AG229" s="19"/>
      <c r="AH229" s="19"/>
      <c r="AI229" s="19"/>
      <c r="AJ229" s="19"/>
    </row>
    <row r="230" spans="1:36" ht="28.15" customHeight="1">
      <c r="A230" s="328"/>
      <c r="C230" s="230"/>
      <c r="D230" s="329"/>
      <c r="E230" s="329"/>
      <c r="H230" s="213"/>
      <c r="I230" s="214"/>
      <c r="J230" s="215"/>
      <c r="Z230" s="34"/>
      <c r="AA230" s="34"/>
      <c r="AB230" s="34"/>
      <c r="AC230" s="34"/>
      <c r="AD230" s="345"/>
      <c r="AE230" s="19"/>
      <c r="AF230" s="19"/>
      <c r="AG230" s="19"/>
      <c r="AH230" s="19"/>
      <c r="AI230" s="19"/>
      <c r="AJ230" s="19"/>
    </row>
    <row r="231" spans="1:36" s="231" customFormat="1" ht="19.75" customHeight="1">
      <c r="A231" s="76" t="s">
        <v>210</v>
      </c>
      <c r="B231" s="151"/>
      <c r="C231" s="230"/>
      <c r="D231" s="331"/>
      <c r="E231" s="331"/>
      <c r="F231" s="151"/>
      <c r="H231" s="53"/>
      <c r="I231" s="32"/>
      <c r="J231" s="232"/>
      <c r="K231" s="233"/>
      <c r="L231" s="234"/>
      <c r="M231" s="234"/>
      <c r="N231" s="234"/>
      <c r="O231" s="234"/>
      <c r="P231" s="234"/>
      <c r="Q231" s="234"/>
      <c r="R231" s="234"/>
      <c r="S231" s="234"/>
      <c r="T231" s="234"/>
      <c r="U231" s="234"/>
      <c r="V231" s="234"/>
      <c r="W231" s="234"/>
      <c r="X231" s="234"/>
      <c r="Y231" s="234"/>
      <c r="Z231" s="332"/>
      <c r="AA231" s="332"/>
      <c r="AB231" s="332"/>
      <c r="AC231" s="332"/>
      <c r="AD231" s="283"/>
    </row>
    <row r="232" spans="1:36" s="226" customFormat="1" ht="5.9" customHeight="1">
      <c r="A232" s="288"/>
      <c r="B232" s="225"/>
      <c r="C232" s="333"/>
      <c r="D232" s="225"/>
      <c r="E232" s="225"/>
      <c r="F232" s="225"/>
      <c r="H232" s="54"/>
      <c r="I232" s="227"/>
      <c r="J232" s="228"/>
      <c r="K232" s="229"/>
      <c r="L232" s="229"/>
      <c r="M232" s="229"/>
      <c r="N232" s="229"/>
      <c r="O232" s="229"/>
      <c r="P232" s="229"/>
      <c r="Q232" s="229"/>
      <c r="R232" s="229"/>
      <c r="S232" s="229"/>
      <c r="T232" s="229"/>
      <c r="U232" s="229"/>
      <c r="V232" s="229"/>
      <c r="W232" s="229"/>
      <c r="X232" s="229"/>
      <c r="Y232" s="229"/>
      <c r="Z232" s="334"/>
      <c r="AA232" s="334"/>
      <c r="AB232" s="334"/>
      <c r="AC232" s="334"/>
      <c r="AD232" s="335"/>
    </row>
    <row r="233" spans="1:36" ht="20.9" customHeight="1">
      <c r="A233" s="614" t="s">
        <v>207</v>
      </c>
      <c r="B233" s="616" t="s">
        <v>132</v>
      </c>
      <c r="C233" s="326"/>
      <c r="D233" s="327" t="s">
        <v>14</v>
      </c>
      <c r="E233" s="327"/>
      <c r="F233" s="616" t="s">
        <v>2</v>
      </c>
      <c r="G233" s="616" t="s">
        <v>3</v>
      </c>
      <c r="H233" s="627" t="s">
        <v>29</v>
      </c>
      <c r="I233" s="19"/>
      <c r="J233" s="33"/>
      <c r="K233" s="616" t="s">
        <v>98</v>
      </c>
      <c r="L233" s="616" t="s">
        <v>99</v>
      </c>
      <c r="M233" s="163"/>
      <c r="N233" s="163"/>
      <c r="O233" s="622" t="s">
        <v>113</v>
      </c>
      <c r="P233" s="623"/>
      <c r="Q233" s="623"/>
      <c r="R233" s="623"/>
      <c r="S233" s="623"/>
      <c r="T233" s="623"/>
      <c r="U233" s="623"/>
      <c r="V233" s="623"/>
      <c r="W233" s="623"/>
      <c r="X233" s="624"/>
      <c r="Y233" s="336"/>
      <c r="Z233" s="337"/>
      <c r="AA233" s="337" t="s">
        <v>149</v>
      </c>
      <c r="AB233" s="337"/>
      <c r="AC233" s="337" t="s">
        <v>150</v>
      </c>
      <c r="AD233" s="290"/>
      <c r="AE233" s="19"/>
      <c r="AF233" s="19"/>
      <c r="AG233" s="19"/>
      <c r="AH233" s="19"/>
      <c r="AI233" s="19"/>
      <c r="AJ233" s="19"/>
    </row>
    <row r="234" spans="1:36" ht="20.9" customHeight="1" thickBot="1">
      <c r="A234" s="615"/>
      <c r="B234" s="617"/>
      <c r="C234" s="198">
        <v>1</v>
      </c>
      <c r="D234" s="198">
        <v>2</v>
      </c>
      <c r="E234" s="198">
        <v>3</v>
      </c>
      <c r="F234" s="629"/>
      <c r="G234" s="617"/>
      <c r="H234" s="628"/>
      <c r="I234" s="19"/>
      <c r="J234" s="34"/>
      <c r="K234" s="625"/>
      <c r="L234" s="617"/>
      <c r="M234" s="163"/>
      <c r="N234" s="163"/>
      <c r="O234" s="199" t="s">
        <v>100</v>
      </c>
      <c r="P234" s="200" t="s">
        <v>101</v>
      </c>
      <c r="Q234" s="199" t="s">
        <v>102</v>
      </c>
      <c r="R234" s="200" t="s">
        <v>103</v>
      </c>
      <c r="S234" s="199" t="s">
        <v>219</v>
      </c>
      <c r="T234" s="201" t="s">
        <v>105</v>
      </c>
      <c r="U234" s="202" t="s">
        <v>106</v>
      </c>
      <c r="V234" s="202" t="s">
        <v>107</v>
      </c>
      <c r="W234" s="202" t="s">
        <v>108</v>
      </c>
      <c r="X234" s="203" t="s">
        <v>109</v>
      </c>
      <c r="Y234" s="336"/>
      <c r="Z234" s="338" t="s">
        <v>141</v>
      </c>
      <c r="AA234" s="338" t="s">
        <v>151</v>
      </c>
      <c r="AB234" s="338" t="s">
        <v>141</v>
      </c>
      <c r="AC234" s="338" t="s">
        <v>151</v>
      </c>
      <c r="AD234" s="338" t="s">
        <v>152</v>
      </c>
      <c r="AE234" s="19"/>
      <c r="AF234" s="19"/>
      <c r="AG234" s="19"/>
      <c r="AH234" s="19"/>
      <c r="AI234" s="19"/>
      <c r="AJ234" s="19"/>
    </row>
    <row r="235" spans="1:36" ht="25" customHeight="1" thickTop="1">
      <c r="A235" s="443">
        <v>0</v>
      </c>
      <c r="B235" s="405">
        <v>0</v>
      </c>
      <c r="C235" s="406"/>
      <c r="D235" s="406" t="str">
        <f t="shared" si="56"/>
        <v/>
      </c>
      <c r="E235" s="406" t="str">
        <f t="shared" si="56"/>
        <v/>
      </c>
      <c r="F235" s="405">
        <f t="shared" si="61"/>
        <v>-5.0000000000000001E-3</v>
      </c>
      <c r="G235" s="405">
        <f t="shared" si="62"/>
        <v>5.0000000000000001E-3</v>
      </c>
      <c r="H235" s="407">
        <f t="shared" si="21"/>
        <v>5.0000000000000001E-3</v>
      </c>
      <c r="I235" s="19"/>
      <c r="J235" s="34"/>
      <c r="K235" s="191" t="str">
        <f t="shared" si="58"/>
        <v/>
      </c>
      <c r="L235" s="192" t="str">
        <f t="shared" si="59"/>
        <v/>
      </c>
      <c r="M235" s="193"/>
      <c r="N235" s="193"/>
      <c r="O235" s="194" t="str">
        <f t="shared" si="60"/>
        <v/>
      </c>
      <c r="P235" s="194"/>
      <c r="Q235" s="241">
        <v>1E-4</v>
      </c>
      <c r="R235" s="241"/>
      <c r="S235" s="241">
        <f>'ACC CAL WITH GB - Method 6'!L218</f>
        <v>6.9999999999999999E-4</v>
      </c>
      <c r="T235" s="195"/>
      <c r="U235" s="195"/>
      <c r="V235" s="195"/>
      <c r="W235" s="195"/>
      <c r="X235" s="195"/>
      <c r="Y235" s="343"/>
      <c r="Z235" s="337">
        <v>5.0000000000000001E-3</v>
      </c>
      <c r="AA235" s="337">
        <v>5.0000000000000001E-3</v>
      </c>
      <c r="AB235" s="337">
        <v>5.0000000000000001E-3</v>
      </c>
      <c r="AC235" s="337">
        <v>5.0000000000000001E-3</v>
      </c>
      <c r="AD235" s="337">
        <f t="shared" si="57"/>
        <v>5.0000000000000001E-3</v>
      </c>
      <c r="AE235" s="19"/>
      <c r="AF235" s="19"/>
      <c r="AG235" s="19"/>
      <c r="AH235" s="19"/>
      <c r="AI235" s="19"/>
      <c r="AJ235" s="19"/>
    </row>
    <row r="236" spans="1:36" ht="25" customHeight="1">
      <c r="A236" s="443">
        <v>100</v>
      </c>
      <c r="B236" s="405">
        <v>100</v>
      </c>
      <c r="C236" s="406"/>
      <c r="D236" s="406" t="str">
        <f t="shared" si="56"/>
        <v/>
      </c>
      <c r="E236" s="406" t="str">
        <f t="shared" si="56"/>
        <v/>
      </c>
      <c r="F236" s="405">
        <f t="shared" si="61"/>
        <v>99.944999999999993</v>
      </c>
      <c r="G236" s="405">
        <f t="shared" si="62"/>
        <v>100.05500000000001</v>
      </c>
      <c r="H236" s="407">
        <f t="shared" si="21"/>
        <v>5.5E-2</v>
      </c>
      <c r="I236" s="19"/>
      <c r="J236" s="34"/>
      <c r="K236" s="191" t="str">
        <f t="shared" si="58"/>
        <v/>
      </c>
      <c r="L236" s="192" t="str">
        <f t="shared" si="59"/>
        <v/>
      </c>
      <c r="M236" s="193"/>
      <c r="N236" s="193"/>
      <c r="O236" s="194" t="str">
        <f t="shared" si="60"/>
        <v/>
      </c>
      <c r="P236" s="194"/>
      <c r="Q236" s="241">
        <v>1E-4</v>
      </c>
      <c r="R236" s="241"/>
      <c r="S236" s="241">
        <f>'ACC CAL WITH GB - Method 6'!L219</f>
        <v>5.8000000000000005E-3</v>
      </c>
      <c r="T236" s="195"/>
      <c r="U236" s="195"/>
      <c r="V236" s="195"/>
      <c r="W236" s="195"/>
      <c r="X236" s="195"/>
      <c r="Y236" s="343"/>
      <c r="Z236" s="337">
        <v>3.5000000000000003E-2</v>
      </c>
      <c r="AA236" s="337">
        <v>3.5000000000000003E-2</v>
      </c>
      <c r="AB236" s="337">
        <v>5.5E-2</v>
      </c>
      <c r="AC236" s="337">
        <v>5.5E-2</v>
      </c>
      <c r="AD236" s="337">
        <f t="shared" si="57"/>
        <v>5.5E-2</v>
      </c>
      <c r="AE236" s="19"/>
      <c r="AF236" s="19"/>
      <c r="AG236" s="19"/>
      <c r="AH236" s="19"/>
      <c r="AI236" s="19"/>
      <c r="AJ236" s="19"/>
    </row>
    <row r="237" spans="1:36" ht="25" customHeight="1">
      <c r="A237" s="443">
        <v>-100</v>
      </c>
      <c r="B237" s="405">
        <v>-100</v>
      </c>
      <c r="C237" s="406"/>
      <c r="D237" s="406" t="str">
        <f t="shared" si="56"/>
        <v/>
      </c>
      <c r="E237" s="406" t="str">
        <f t="shared" si="56"/>
        <v/>
      </c>
      <c r="F237" s="405">
        <f t="shared" si="61"/>
        <v>-100.05500000000001</v>
      </c>
      <c r="G237" s="405">
        <f t="shared" si="62"/>
        <v>-99.944999999999993</v>
      </c>
      <c r="H237" s="407">
        <f t="shared" si="21"/>
        <v>5.5E-2</v>
      </c>
      <c r="I237" s="19"/>
      <c r="J237" s="34"/>
      <c r="K237" s="191" t="str">
        <f t="shared" si="58"/>
        <v/>
      </c>
      <c r="L237" s="192" t="str">
        <f t="shared" si="59"/>
        <v/>
      </c>
      <c r="M237" s="193"/>
      <c r="N237" s="193"/>
      <c r="O237" s="194" t="str">
        <f t="shared" si="60"/>
        <v/>
      </c>
      <c r="P237" s="194"/>
      <c r="Q237" s="241">
        <v>1E-4</v>
      </c>
      <c r="R237" s="241"/>
      <c r="S237" s="241">
        <f>'ACC CAL WITH GB - Method 6'!L220</f>
        <v>5.8000000000000005E-3</v>
      </c>
      <c r="T237" s="195"/>
      <c r="U237" s="195"/>
      <c r="V237" s="195"/>
      <c r="W237" s="195"/>
      <c r="X237" s="195"/>
      <c r="Y237" s="343"/>
      <c r="Z237" s="337">
        <v>3.5000000000000003E-2</v>
      </c>
      <c r="AA237" s="337">
        <v>3.5000000000000003E-2</v>
      </c>
      <c r="AB237" s="337">
        <v>5.5E-2</v>
      </c>
      <c r="AC237" s="337">
        <v>5.5E-2</v>
      </c>
      <c r="AD237" s="337">
        <f t="shared" si="57"/>
        <v>5.5E-2</v>
      </c>
      <c r="AE237" s="19"/>
      <c r="AF237" s="19"/>
      <c r="AG237" s="19"/>
      <c r="AH237" s="19"/>
      <c r="AI237" s="19"/>
      <c r="AJ237" s="19"/>
    </row>
    <row r="238" spans="1:36" ht="28.15" customHeight="1">
      <c r="A238" s="450"/>
      <c r="C238" s="230"/>
      <c r="D238" s="329"/>
      <c r="E238" s="329"/>
      <c r="H238" s="213"/>
      <c r="I238" s="214"/>
      <c r="J238" s="215"/>
      <c r="Z238" s="34"/>
      <c r="AA238" s="34"/>
      <c r="AB238" s="34"/>
      <c r="AC238" s="34"/>
      <c r="AD238" s="345"/>
      <c r="AE238" s="19"/>
      <c r="AF238" s="19"/>
      <c r="AG238" s="19"/>
      <c r="AH238" s="19"/>
      <c r="AI238" s="19"/>
      <c r="AJ238" s="19"/>
    </row>
    <row r="239" spans="1:36" s="231" customFormat="1" ht="19.899999999999999" customHeight="1">
      <c r="A239" s="76" t="s">
        <v>211</v>
      </c>
      <c r="B239" s="151"/>
      <c r="C239" s="230"/>
      <c r="D239" s="331"/>
      <c r="E239" s="331"/>
      <c r="F239" s="151"/>
      <c r="H239" s="53"/>
      <c r="I239" s="32"/>
      <c r="J239" s="232"/>
      <c r="K239" s="233"/>
      <c r="L239" s="234"/>
      <c r="M239" s="234"/>
      <c r="N239" s="234"/>
      <c r="O239" s="234"/>
      <c r="P239" s="234"/>
      <c r="Q239" s="234"/>
      <c r="R239" s="234"/>
      <c r="S239" s="234"/>
      <c r="T239" s="234"/>
      <c r="U239" s="234"/>
      <c r="V239" s="234"/>
      <c r="W239" s="234"/>
      <c r="X239" s="234"/>
      <c r="Y239" s="234"/>
      <c r="Z239" s="332"/>
      <c r="AA239" s="332"/>
      <c r="AB239" s="332"/>
      <c r="AC239" s="332"/>
      <c r="AD239" s="283"/>
    </row>
    <row r="240" spans="1:36" s="226" customFormat="1" ht="5.9" customHeight="1">
      <c r="A240" s="288"/>
      <c r="B240" s="225"/>
      <c r="C240" s="333"/>
      <c r="D240" s="225"/>
      <c r="E240" s="225"/>
      <c r="F240" s="225"/>
      <c r="H240" s="54"/>
      <c r="I240" s="227"/>
      <c r="J240" s="228"/>
      <c r="K240" s="229"/>
      <c r="L240" s="229"/>
      <c r="M240" s="229"/>
      <c r="N240" s="229"/>
      <c r="O240" s="229"/>
      <c r="P240" s="229"/>
      <c r="Q240" s="229"/>
      <c r="R240" s="229"/>
      <c r="S240" s="229"/>
      <c r="T240" s="229"/>
      <c r="U240" s="229"/>
      <c r="V240" s="229"/>
      <c r="W240" s="229"/>
      <c r="X240" s="229"/>
      <c r="Y240" s="229"/>
      <c r="Z240" s="334"/>
      <c r="AA240" s="334"/>
      <c r="AB240" s="334"/>
      <c r="AC240" s="334"/>
      <c r="AD240" s="335"/>
    </row>
    <row r="241" spans="1:36" ht="20.9" customHeight="1">
      <c r="A241" s="614" t="s">
        <v>207</v>
      </c>
      <c r="B241" s="616" t="s">
        <v>132</v>
      </c>
      <c r="C241" s="326"/>
      <c r="D241" s="327" t="s">
        <v>14</v>
      </c>
      <c r="E241" s="327"/>
      <c r="F241" s="616" t="s">
        <v>2</v>
      </c>
      <c r="G241" s="616" t="s">
        <v>3</v>
      </c>
      <c r="H241" s="627" t="s">
        <v>29</v>
      </c>
      <c r="I241" s="19"/>
      <c r="J241" s="33"/>
      <c r="K241" s="616" t="s">
        <v>98</v>
      </c>
      <c r="L241" s="616" t="s">
        <v>99</v>
      </c>
      <c r="M241" s="163"/>
      <c r="N241" s="163"/>
      <c r="O241" s="622" t="s">
        <v>113</v>
      </c>
      <c r="P241" s="623"/>
      <c r="Q241" s="623"/>
      <c r="R241" s="623"/>
      <c r="S241" s="623"/>
      <c r="T241" s="623"/>
      <c r="U241" s="623"/>
      <c r="V241" s="623"/>
      <c r="W241" s="623"/>
      <c r="X241" s="624"/>
      <c r="Y241" s="336"/>
      <c r="Z241" s="337"/>
      <c r="AA241" s="337" t="s">
        <v>149</v>
      </c>
      <c r="AB241" s="337"/>
      <c r="AC241" s="337" t="s">
        <v>150</v>
      </c>
      <c r="AD241" s="290"/>
      <c r="AE241" s="19"/>
      <c r="AF241" s="19"/>
      <c r="AG241" s="19"/>
      <c r="AH241" s="19"/>
      <c r="AI241" s="19"/>
      <c r="AJ241" s="19"/>
    </row>
    <row r="242" spans="1:36" ht="20.9" customHeight="1" thickBot="1">
      <c r="A242" s="615"/>
      <c r="B242" s="617"/>
      <c r="C242" s="198">
        <v>1</v>
      </c>
      <c r="D242" s="198">
        <v>2</v>
      </c>
      <c r="E242" s="198">
        <v>3</v>
      </c>
      <c r="F242" s="629"/>
      <c r="G242" s="617"/>
      <c r="H242" s="628"/>
      <c r="I242" s="19"/>
      <c r="J242" s="34"/>
      <c r="K242" s="625"/>
      <c r="L242" s="617"/>
      <c r="M242" s="163"/>
      <c r="N242" s="163"/>
      <c r="O242" s="199" t="s">
        <v>100</v>
      </c>
      <c r="P242" s="200" t="s">
        <v>101</v>
      </c>
      <c r="Q242" s="199" t="s">
        <v>102</v>
      </c>
      <c r="R242" s="200" t="s">
        <v>103</v>
      </c>
      <c r="S242" s="199" t="s">
        <v>219</v>
      </c>
      <c r="T242" s="201" t="s">
        <v>105</v>
      </c>
      <c r="U242" s="202" t="s">
        <v>106</v>
      </c>
      <c r="V242" s="202" t="s">
        <v>107</v>
      </c>
      <c r="W242" s="202" t="s">
        <v>108</v>
      </c>
      <c r="X242" s="203" t="s">
        <v>109</v>
      </c>
      <c r="Y242" s="336"/>
      <c r="Z242" s="338" t="s">
        <v>141</v>
      </c>
      <c r="AA242" s="338" t="s">
        <v>151</v>
      </c>
      <c r="AB242" s="338" t="s">
        <v>141</v>
      </c>
      <c r="AC242" s="338" t="s">
        <v>151</v>
      </c>
      <c r="AD242" s="338" t="s">
        <v>152</v>
      </c>
      <c r="AE242" s="19"/>
      <c r="AF242" s="19"/>
      <c r="AG242" s="19"/>
      <c r="AH242" s="19"/>
      <c r="AI242" s="19"/>
      <c r="AJ242" s="19"/>
    </row>
    <row r="243" spans="1:36" ht="25.9" customHeight="1" thickTop="1">
      <c r="A243" s="443">
        <v>0</v>
      </c>
      <c r="B243" s="451">
        <v>0</v>
      </c>
      <c r="C243" s="452"/>
      <c r="D243" s="452" t="str">
        <f t="shared" si="56"/>
        <v/>
      </c>
      <c r="E243" s="452" t="str">
        <f t="shared" si="56"/>
        <v/>
      </c>
      <c r="F243" s="451">
        <f t="shared" si="61"/>
        <v>-0.02</v>
      </c>
      <c r="G243" s="451">
        <f t="shared" si="62"/>
        <v>0.02</v>
      </c>
      <c r="H243" s="453">
        <f t="shared" si="21"/>
        <v>0.02</v>
      </c>
      <c r="I243" s="19"/>
      <c r="J243" s="34"/>
      <c r="K243" s="191" t="str">
        <f t="shared" si="58"/>
        <v/>
      </c>
      <c r="L243" s="192" t="str">
        <f t="shared" si="59"/>
        <v/>
      </c>
      <c r="M243" s="193"/>
      <c r="N243" s="193"/>
      <c r="O243" s="194" t="str">
        <f t="shared" si="60"/>
        <v/>
      </c>
      <c r="P243" s="194"/>
      <c r="Q243" s="241">
        <v>1E-3</v>
      </c>
      <c r="R243" s="241"/>
      <c r="S243" s="241">
        <f>'ACC CAL WITH GB - Method 6'!L226</f>
        <v>1.2E-2</v>
      </c>
      <c r="T243" s="195"/>
      <c r="U243" s="195"/>
      <c r="V243" s="195"/>
      <c r="W243" s="195"/>
      <c r="X243" s="195"/>
      <c r="Y243" s="343"/>
      <c r="Z243" s="337">
        <v>0.02</v>
      </c>
      <c r="AA243" s="337">
        <v>0.02</v>
      </c>
      <c r="AB243" s="337">
        <v>0.02</v>
      </c>
      <c r="AC243" s="337">
        <v>0.02</v>
      </c>
      <c r="AD243" s="337">
        <f t="shared" si="57"/>
        <v>0.02</v>
      </c>
      <c r="AE243" s="19"/>
      <c r="AF243" s="19"/>
      <c r="AG243" s="19"/>
      <c r="AH243" s="19"/>
      <c r="AI243" s="19"/>
      <c r="AJ243" s="19"/>
    </row>
    <row r="244" spans="1:36" ht="25.9" customHeight="1">
      <c r="A244" s="443">
        <v>400</v>
      </c>
      <c r="B244" s="451">
        <v>400</v>
      </c>
      <c r="C244" s="452"/>
      <c r="D244" s="452" t="str">
        <f t="shared" si="56"/>
        <v/>
      </c>
      <c r="E244" s="452" t="str">
        <f t="shared" si="56"/>
        <v/>
      </c>
      <c r="F244" s="451">
        <f t="shared" si="61"/>
        <v>399.78</v>
      </c>
      <c r="G244" s="451">
        <f t="shared" si="62"/>
        <v>400.22</v>
      </c>
      <c r="H244" s="453">
        <f t="shared" si="21"/>
        <v>0.22</v>
      </c>
      <c r="I244" s="19"/>
      <c r="J244" s="34"/>
      <c r="K244" s="191" t="str">
        <f t="shared" si="58"/>
        <v/>
      </c>
      <c r="L244" s="192" t="str">
        <f t="shared" si="59"/>
        <v/>
      </c>
      <c r="M244" s="193"/>
      <c r="N244" s="193"/>
      <c r="O244" s="194" t="str">
        <f t="shared" si="60"/>
        <v/>
      </c>
      <c r="P244" s="194"/>
      <c r="Q244" s="241">
        <v>1E-3</v>
      </c>
      <c r="R244" s="241"/>
      <c r="S244" s="241">
        <f>'ACC CAL WITH GB - Method 6'!L227</f>
        <v>0.05</v>
      </c>
      <c r="T244" s="195"/>
      <c r="U244" s="195"/>
      <c r="V244" s="195"/>
      <c r="W244" s="195"/>
      <c r="X244" s="195"/>
      <c r="Y244" s="343"/>
      <c r="Z244" s="337">
        <v>0.18</v>
      </c>
      <c r="AA244" s="337">
        <v>0.18</v>
      </c>
      <c r="AB244" s="337">
        <v>0.22</v>
      </c>
      <c r="AC244" s="337">
        <v>0.22</v>
      </c>
      <c r="AD244" s="337">
        <f t="shared" si="57"/>
        <v>0.22</v>
      </c>
      <c r="AE244" s="19"/>
      <c r="AF244" s="19"/>
      <c r="AG244" s="19"/>
      <c r="AH244" s="19"/>
      <c r="AI244" s="19"/>
      <c r="AJ244" s="19"/>
    </row>
    <row r="245" spans="1:36" ht="25.9" customHeight="1">
      <c r="A245" s="443">
        <v>-400</v>
      </c>
      <c r="B245" s="451">
        <v>-400</v>
      </c>
      <c r="C245" s="452"/>
      <c r="D245" s="452" t="str">
        <f t="shared" si="56"/>
        <v/>
      </c>
      <c r="E245" s="452" t="str">
        <f t="shared" si="56"/>
        <v/>
      </c>
      <c r="F245" s="451">
        <f t="shared" si="61"/>
        <v>-400.22</v>
      </c>
      <c r="G245" s="451">
        <f t="shared" si="62"/>
        <v>-399.78</v>
      </c>
      <c r="H245" s="453">
        <f t="shared" si="21"/>
        <v>0.22</v>
      </c>
      <c r="I245" s="19"/>
      <c r="J245" s="34"/>
      <c r="K245" s="191" t="str">
        <f t="shared" si="58"/>
        <v/>
      </c>
      <c r="L245" s="192" t="str">
        <f t="shared" si="59"/>
        <v/>
      </c>
      <c r="M245" s="193"/>
      <c r="N245" s="193"/>
      <c r="O245" s="194" t="str">
        <f t="shared" si="60"/>
        <v/>
      </c>
      <c r="P245" s="194"/>
      <c r="Q245" s="241">
        <v>1E-3</v>
      </c>
      <c r="R245" s="241"/>
      <c r="S245" s="241">
        <f>'ACC CAL WITH GB - Method 6'!L228</f>
        <v>0.05</v>
      </c>
      <c r="T245" s="195"/>
      <c r="U245" s="195"/>
      <c r="V245" s="195"/>
      <c r="W245" s="195"/>
      <c r="X245" s="195"/>
      <c r="Y245" s="343"/>
      <c r="Z245" s="337">
        <v>0.18</v>
      </c>
      <c r="AA245" s="337">
        <v>0.18</v>
      </c>
      <c r="AB245" s="337">
        <v>0.22</v>
      </c>
      <c r="AC245" s="337">
        <v>0.22</v>
      </c>
      <c r="AD245" s="337">
        <f t="shared" si="57"/>
        <v>0.22</v>
      </c>
      <c r="AE245" s="19"/>
      <c r="AF245" s="19"/>
      <c r="AG245" s="19"/>
      <c r="AH245" s="19"/>
      <c r="AI245" s="19"/>
      <c r="AJ245" s="19"/>
    </row>
    <row r="246" spans="1:36" ht="28.15" customHeight="1">
      <c r="A246" s="328"/>
      <c r="C246" s="230"/>
      <c r="D246" s="329"/>
      <c r="E246" s="329"/>
      <c r="H246" s="213"/>
      <c r="I246" s="214"/>
      <c r="J246" s="215"/>
      <c r="Z246" s="34"/>
      <c r="AA246" s="34"/>
      <c r="AB246" s="34"/>
      <c r="AC246" s="34"/>
      <c r="AD246" s="345"/>
      <c r="AE246" s="19"/>
      <c r="AF246" s="19"/>
      <c r="AG246" s="19"/>
      <c r="AH246" s="19"/>
      <c r="AI246" s="19"/>
      <c r="AJ246" s="19"/>
    </row>
    <row r="247" spans="1:36" s="231" customFormat="1" ht="19.899999999999999" customHeight="1">
      <c r="A247" s="454" t="s">
        <v>212</v>
      </c>
      <c r="B247" s="151"/>
      <c r="C247" s="230"/>
      <c r="D247" s="331"/>
      <c r="E247" s="331"/>
      <c r="F247" s="151"/>
      <c r="H247" s="53"/>
      <c r="I247" s="32"/>
      <c r="J247" s="232"/>
      <c r="K247" s="233"/>
      <c r="L247" s="234"/>
      <c r="M247" s="234"/>
      <c r="N247" s="234"/>
      <c r="O247" s="234"/>
      <c r="P247" s="234"/>
      <c r="Q247" s="234"/>
      <c r="R247" s="234"/>
      <c r="S247" s="234"/>
      <c r="T247" s="234"/>
      <c r="U247" s="234"/>
      <c r="V247" s="234"/>
      <c r="W247" s="234"/>
      <c r="X247" s="234"/>
      <c r="Y247" s="234"/>
      <c r="Z247" s="332"/>
      <c r="AA247" s="332"/>
      <c r="AB247" s="332"/>
      <c r="AC247" s="332"/>
      <c r="AD247" s="283"/>
    </row>
    <row r="248" spans="1:36" s="226" customFormat="1" ht="5.9" customHeight="1">
      <c r="A248" s="288"/>
      <c r="B248" s="225"/>
      <c r="C248" s="333"/>
      <c r="D248" s="225"/>
      <c r="E248" s="225"/>
      <c r="F248" s="225"/>
      <c r="H248" s="54"/>
      <c r="I248" s="227"/>
      <c r="J248" s="228"/>
      <c r="K248" s="229"/>
      <c r="L248" s="229"/>
      <c r="M248" s="229"/>
      <c r="N248" s="229"/>
      <c r="O248" s="229"/>
      <c r="P248" s="229"/>
      <c r="Q248" s="229"/>
      <c r="R248" s="229"/>
      <c r="S248" s="229"/>
      <c r="T248" s="229"/>
      <c r="U248" s="229"/>
      <c r="V248" s="229"/>
      <c r="W248" s="229"/>
      <c r="X248" s="229"/>
      <c r="Y248" s="229"/>
      <c r="Z248" s="334"/>
      <c r="AA248" s="334"/>
      <c r="AB248" s="334"/>
      <c r="AC248" s="334"/>
      <c r="AD248" s="335"/>
    </row>
    <row r="249" spans="1:36" ht="20.9" customHeight="1">
      <c r="A249" s="614" t="s">
        <v>207</v>
      </c>
      <c r="B249" s="616" t="s">
        <v>132</v>
      </c>
      <c r="C249" s="326"/>
      <c r="D249" s="327" t="s">
        <v>14</v>
      </c>
      <c r="E249" s="327"/>
      <c r="F249" s="616" t="s">
        <v>2</v>
      </c>
      <c r="G249" s="616" t="s">
        <v>3</v>
      </c>
      <c r="H249" s="627" t="s">
        <v>29</v>
      </c>
      <c r="I249" s="19"/>
      <c r="J249" s="33"/>
      <c r="K249" s="616" t="s">
        <v>98</v>
      </c>
      <c r="L249" s="616" t="s">
        <v>99</v>
      </c>
      <c r="M249" s="163"/>
      <c r="N249" s="163"/>
      <c r="O249" s="622" t="s">
        <v>113</v>
      </c>
      <c r="P249" s="623"/>
      <c r="Q249" s="623"/>
      <c r="R249" s="623"/>
      <c r="S249" s="623"/>
      <c r="T249" s="623"/>
      <c r="U249" s="623"/>
      <c r="V249" s="623"/>
      <c r="W249" s="623"/>
      <c r="X249" s="624"/>
      <c r="Y249" s="336"/>
      <c r="Z249" s="337"/>
      <c r="AA249" s="337" t="s">
        <v>149</v>
      </c>
      <c r="AB249" s="337"/>
      <c r="AC249" s="337" t="s">
        <v>150</v>
      </c>
      <c r="AD249" s="290"/>
      <c r="AE249" s="19"/>
      <c r="AF249" s="19"/>
      <c r="AG249" s="19"/>
      <c r="AH249" s="19"/>
      <c r="AI249" s="19"/>
      <c r="AJ249" s="19"/>
    </row>
    <row r="250" spans="1:36" ht="20.9" customHeight="1" thickBot="1">
      <c r="A250" s="615"/>
      <c r="B250" s="617"/>
      <c r="C250" s="198">
        <v>1</v>
      </c>
      <c r="D250" s="198">
        <v>2</v>
      </c>
      <c r="E250" s="198">
        <v>3</v>
      </c>
      <c r="F250" s="629"/>
      <c r="G250" s="617"/>
      <c r="H250" s="628"/>
      <c r="I250" s="19"/>
      <c r="J250" s="34"/>
      <c r="K250" s="625"/>
      <c r="L250" s="617"/>
      <c r="M250" s="163"/>
      <c r="N250" s="163"/>
      <c r="O250" s="199" t="s">
        <v>100</v>
      </c>
      <c r="P250" s="200" t="s">
        <v>101</v>
      </c>
      <c r="Q250" s="199" t="s">
        <v>102</v>
      </c>
      <c r="R250" s="200" t="s">
        <v>103</v>
      </c>
      <c r="S250" s="199" t="s">
        <v>219</v>
      </c>
      <c r="T250" s="201" t="s">
        <v>105</v>
      </c>
      <c r="U250" s="202" t="s">
        <v>106</v>
      </c>
      <c r="V250" s="202" t="s">
        <v>107</v>
      </c>
      <c r="W250" s="202" t="s">
        <v>108</v>
      </c>
      <c r="X250" s="203" t="s">
        <v>109</v>
      </c>
      <c r="Y250" s="336"/>
      <c r="Z250" s="338" t="s">
        <v>141</v>
      </c>
      <c r="AA250" s="338" t="s">
        <v>151</v>
      </c>
      <c r="AB250" s="338" t="s">
        <v>141</v>
      </c>
      <c r="AC250" s="338" t="s">
        <v>151</v>
      </c>
      <c r="AD250" s="338" t="s">
        <v>152</v>
      </c>
      <c r="AE250" s="19"/>
      <c r="AF250" s="19"/>
      <c r="AG250" s="19"/>
      <c r="AH250" s="19"/>
      <c r="AI250" s="19"/>
      <c r="AJ250" s="19"/>
    </row>
    <row r="251" spans="1:36" ht="25" customHeight="1" thickTop="1">
      <c r="A251" s="455">
        <v>0</v>
      </c>
      <c r="B251" s="456">
        <v>0</v>
      </c>
      <c r="C251" s="457"/>
      <c r="D251" s="457" t="str">
        <f t="shared" si="56"/>
        <v/>
      </c>
      <c r="E251" s="457" t="str">
        <f t="shared" si="56"/>
        <v/>
      </c>
      <c r="F251" s="456">
        <f t="shared" si="61"/>
        <v>-2.0000000000000001E-4</v>
      </c>
      <c r="G251" s="456">
        <f t="shared" si="62"/>
        <v>2.0000000000000001E-4</v>
      </c>
      <c r="H251" s="458">
        <f t="shared" si="21"/>
        <v>2.0000000000000001E-4</v>
      </c>
      <c r="I251" s="19"/>
      <c r="J251" s="34"/>
      <c r="K251" s="191" t="str">
        <f t="shared" si="58"/>
        <v/>
      </c>
      <c r="L251" s="192" t="str">
        <f t="shared" si="59"/>
        <v/>
      </c>
      <c r="M251" s="193"/>
      <c r="N251" s="193"/>
      <c r="O251" s="194" t="str">
        <f t="shared" si="60"/>
        <v/>
      </c>
      <c r="P251" s="194"/>
      <c r="Q251" s="241">
        <v>9.9999999999999995E-7</v>
      </c>
      <c r="R251" s="241"/>
      <c r="S251" s="241">
        <f>'ACC CAL WITH GB - Method 6'!L234</f>
        <v>1.2E-5</v>
      </c>
      <c r="T251" s="195"/>
      <c r="U251" s="195"/>
      <c r="V251" s="195"/>
      <c r="W251" s="195"/>
      <c r="X251" s="195"/>
      <c r="Y251" s="343"/>
      <c r="Z251" s="337">
        <v>2.0000000000000001E-4</v>
      </c>
      <c r="AA251" s="337">
        <v>2.0000000000000001E-4</v>
      </c>
      <c r="AB251" s="337">
        <v>2.0000000000000001E-4</v>
      </c>
      <c r="AC251" s="337">
        <v>2.0000000000000001E-4</v>
      </c>
      <c r="AD251" s="337">
        <f t="shared" ref="AD251:AD269" si="63">IF(AD$31=1,Z251,IF(AD$31=2,AB251,IF(AD$31=3,AA251,AC251)))</f>
        <v>2.0000000000000001E-4</v>
      </c>
      <c r="AE251" s="19"/>
      <c r="AF251" s="19"/>
      <c r="AG251" s="19"/>
      <c r="AH251" s="19"/>
      <c r="AI251" s="19"/>
      <c r="AJ251" s="19"/>
    </row>
    <row r="252" spans="1:36" ht="25" customHeight="1">
      <c r="A252" s="455">
        <v>1</v>
      </c>
      <c r="B252" s="456">
        <v>1</v>
      </c>
      <c r="C252" s="457"/>
      <c r="D252" s="457" t="str">
        <f t="shared" si="56"/>
        <v/>
      </c>
      <c r="E252" s="457" t="str">
        <f t="shared" si="56"/>
        <v/>
      </c>
      <c r="F252" s="456">
        <f t="shared" si="61"/>
        <v>0.99929999999999997</v>
      </c>
      <c r="G252" s="456">
        <f t="shared" si="62"/>
        <v>1.0006999999999999</v>
      </c>
      <c r="H252" s="458">
        <f t="shared" si="21"/>
        <v>6.9999999999999999E-4</v>
      </c>
      <c r="I252" s="19"/>
      <c r="J252" s="34"/>
      <c r="K252" s="191" t="str">
        <f t="shared" si="58"/>
        <v/>
      </c>
      <c r="L252" s="192" t="str">
        <f t="shared" si="59"/>
        <v/>
      </c>
      <c r="M252" s="193"/>
      <c r="N252" s="193"/>
      <c r="O252" s="194" t="str">
        <f t="shared" si="60"/>
        <v/>
      </c>
      <c r="P252" s="194"/>
      <c r="Q252" s="241">
        <v>9.9999999999999995E-7</v>
      </c>
      <c r="R252" s="241"/>
      <c r="S252" s="241">
        <f>'ACC CAL WITH GB - Method 6'!L235</f>
        <v>1.07E-4</v>
      </c>
      <c r="T252" s="195"/>
      <c r="U252" s="195"/>
      <c r="V252" s="195"/>
      <c r="W252" s="195"/>
      <c r="X252" s="195"/>
      <c r="Y252" s="343"/>
      <c r="Z252" s="337">
        <v>1E-3</v>
      </c>
      <c r="AA252" s="337">
        <v>5.9999999999999995E-4</v>
      </c>
      <c r="AB252" s="337">
        <v>6.9999999999999999E-4</v>
      </c>
      <c r="AC252" s="337">
        <v>6.9999999999999999E-4</v>
      </c>
      <c r="AD252" s="337">
        <f t="shared" si="63"/>
        <v>6.9999999999999999E-4</v>
      </c>
      <c r="AE252" s="19"/>
      <c r="AF252" s="19"/>
      <c r="AG252" s="19"/>
      <c r="AH252" s="19"/>
      <c r="AI252" s="19"/>
      <c r="AJ252" s="19"/>
    </row>
    <row r="253" spans="1:36" ht="25" customHeight="1">
      <c r="A253" s="455">
        <v>-1</v>
      </c>
      <c r="B253" s="456">
        <v>-1</v>
      </c>
      <c r="C253" s="457"/>
      <c r="D253" s="457" t="str">
        <f t="shared" si="56"/>
        <v/>
      </c>
      <c r="E253" s="457" t="str">
        <f t="shared" si="56"/>
        <v/>
      </c>
      <c r="F253" s="456">
        <f t="shared" si="61"/>
        <v>-1.0006999999999999</v>
      </c>
      <c r="G253" s="456">
        <f t="shared" si="62"/>
        <v>-0.99929999999999997</v>
      </c>
      <c r="H253" s="458">
        <f t="shared" si="21"/>
        <v>6.9999999999999999E-4</v>
      </c>
      <c r="I253" s="19"/>
      <c r="J253" s="34"/>
      <c r="K253" s="191" t="str">
        <f t="shared" si="58"/>
        <v/>
      </c>
      <c r="L253" s="192" t="str">
        <f t="shared" si="59"/>
        <v/>
      </c>
      <c r="M253" s="193"/>
      <c r="N253" s="193"/>
      <c r="O253" s="194" t="str">
        <f t="shared" si="60"/>
        <v/>
      </c>
      <c r="P253" s="194"/>
      <c r="Q253" s="241">
        <v>9.9999999999999995E-7</v>
      </c>
      <c r="R253" s="241"/>
      <c r="S253" s="241">
        <f>'ACC CAL WITH GB - Method 6'!L236</f>
        <v>1.07E-4</v>
      </c>
      <c r="T253" s="195"/>
      <c r="U253" s="195"/>
      <c r="V253" s="195"/>
      <c r="W253" s="195"/>
      <c r="X253" s="195"/>
      <c r="Y253" s="343"/>
      <c r="Z253" s="337">
        <v>1E-3</v>
      </c>
      <c r="AA253" s="337">
        <v>5.9999999999999995E-4</v>
      </c>
      <c r="AB253" s="337">
        <v>6.9999999999999999E-4</v>
      </c>
      <c r="AC253" s="337">
        <v>6.9999999999999999E-4</v>
      </c>
      <c r="AD253" s="337">
        <f t="shared" si="63"/>
        <v>6.9999999999999999E-4</v>
      </c>
      <c r="AE253" s="19"/>
      <c r="AF253" s="19"/>
      <c r="AG253" s="19"/>
      <c r="AH253" s="19"/>
      <c r="AI253" s="19"/>
      <c r="AJ253" s="19"/>
    </row>
    <row r="254" spans="1:36" ht="28.15" customHeight="1">
      <c r="A254" s="328"/>
      <c r="C254" s="230"/>
      <c r="D254" s="329"/>
      <c r="E254" s="329"/>
      <c r="H254" s="213"/>
      <c r="I254" s="214"/>
      <c r="J254" s="215"/>
      <c r="Z254" s="34"/>
      <c r="AA254" s="34"/>
      <c r="AB254" s="34"/>
      <c r="AC254" s="34"/>
      <c r="AD254" s="345"/>
      <c r="AE254" s="19"/>
      <c r="AF254" s="19"/>
      <c r="AG254" s="19"/>
      <c r="AH254" s="19"/>
      <c r="AI254" s="19"/>
      <c r="AJ254" s="19"/>
    </row>
    <row r="255" spans="1:36" s="231" customFormat="1" ht="19.899999999999999" customHeight="1">
      <c r="A255" s="76" t="s">
        <v>213</v>
      </c>
      <c r="B255" s="151"/>
      <c r="C255" s="230"/>
      <c r="D255" s="331"/>
      <c r="E255" s="331"/>
      <c r="F255" s="151"/>
      <c r="H255" s="53"/>
      <c r="I255" s="32"/>
      <c r="J255" s="232"/>
      <c r="K255" s="233"/>
      <c r="L255" s="234"/>
      <c r="M255" s="234"/>
      <c r="N255" s="234"/>
      <c r="O255" s="234"/>
      <c r="P255" s="234"/>
      <c r="Q255" s="234"/>
      <c r="R255" s="234"/>
      <c r="S255" s="234"/>
      <c r="T255" s="234"/>
      <c r="U255" s="234"/>
      <c r="V255" s="234"/>
      <c r="W255" s="234"/>
      <c r="X255" s="234"/>
      <c r="Y255" s="234"/>
      <c r="Z255" s="332"/>
      <c r="AA255" s="332"/>
      <c r="AB255" s="332"/>
      <c r="AC255" s="332"/>
      <c r="AD255" s="283"/>
    </row>
    <row r="256" spans="1:36" s="226" customFormat="1" ht="5.9" customHeight="1">
      <c r="A256" s="288"/>
      <c r="B256" s="225"/>
      <c r="C256" s="333"/>
      <c r="D256" s="225"/>
      <c r="E256" s="225"/>
      <c r="F256" s="225"/>
      <c r="H256" s="54"/>
      <c r="I256" s="227"/>
      <c r="J256" s="228"/>
      <c r="K256" s="229"/>
      <c r="L256" s="229"/>
      <c r="M256" s="229"/>
      <c r="N256" s="229"/>
      <c r="O256" s="229"/>
      <c r="P256" s="229"/>
      <c r="Q256" s="229"/>
      <c r="R256" s="229"/>
      <c r="S256" s="229"/>
      <c r="T256" s="229"/>
      <c r="U256" s="229"/>
      <c r="V256" s="229"/>
      <c r="W256" s="229"/>
      <c r="X256" s="229"/>
      <c r="Y256" s="229"/>
      <c r="Z256" s="334"/>
      <c r="AA256" s="334"/>
      <c r="AB256" s="334"/>
      <c r="AC256" s="334"/>
      <c r="AD256" s="335"/>
    </row>
    <row r="257" spans="1:36" ht="20.9" customHeight="1">
      <c r="A257" s="614" t="s">
        <v>207</v>
      </c>
      <c r="B257" s="616" t="s">
        <v>132</v>
      </c>
      <c r="C257" s="326"/>
      <c r="D257" s="327" t="s">
        <v>14</v>
      </c>
      <c r="E257" s="327"/>
      <c r="F257" s="616" t="s">
        <v>2</v>
      </c>
      <c r="G257" s="616" t="s">
        <v>3</v>
      </c>
      <c r="H257" s="627" t="s">
        <v>29</v>
      </c>
      <c r="I257" s="19"/>
      <c r="J257" s="33"/>
      <c r="K257" s="616" t="s">
        <v>98</v>
      </c>
      <c r="L257" s="616" t="s">
        <v>99</v>
      </c>
      <c r="M257" s="163"/>
      <c r="N257" s="163"/>
      <c r="O257" s="622" t="s">
        <v>113</v>
      </c>
      <c r="P257" s="623"/>
      <c r="Q257" s="623"/>
      <c r="R257" s="623"/>
      <c r="S257" s="623"/>
      <c r="T257" s="623"/>
      <c r="U257" s="623"/>
      <c r="V257" s="623"/>
      <c r="W257" s="623"/>
      <c r="X257" s="624"/>
      <c r="Y257" s="336"/>
      <c r="Z257" s="337"/>
      <c r="AA257" s="337" t="s">
        <v>149</v>
      </c>
      <c r="AB257" s="337"/>
      <c r="AC257" s="337" t="s">
        <v>150</v>
      </c>
      <c r="AD257" s="290"/>
      <c r="AE257" s="19"/>
      <c r="AF257" s="19"/>
      <c r="AG257" s="19"/>
      <c r="AH257" s="19"/>
      <c r="AI257" s="19"/>
      <c r="AJ257" s="19"/>
    </row>
    <row r="258" spans="1:36" ht="20.9" customHeight="1" thickBot="1">
      <c r="A258" s="615"/>
      <c r="B258" s="617"/>
      <c r="C258" s="198">
        <v>1</v>
      </c>
      <c r="D258" s="198">
        <v>2</v>
      </c>
      <c r="E258" s="198">
        <v>3</v>
      </c>
      <c r="F258" s="629"/>
      <c r="G258" s="617"/>
      <c r="H258" s="628"/>
      <c r="I258" s="19"/>
      <c r="J258" s="34"/>
      <c r="K258" s="625"/>
      <c r="L258" s="617"/>
      <c r="M258" s="163"/>
      <c r="N258" s="163"/>
      <c r="O258" s="199" t="s">
        <v>100</v>
      </c>
      <c r="P258" s="200" t="s">
        <v>101</v>
      </c>
      <c r="Q258" s="199" t="s">
        <v>102</v>
      </c>
      <c r="R258" s="200" t="s">
        <v>103</v>
      </c>
      <c r="S258" s="199" t="s">
        <v>219</v>
      </c>
      <c r="T258" s="201" t="s">
        <v>105</v>
      </c>
      <c r="U258" s="202" t="s">
        <v>106</v>
      </c>
      <c r="V258" s="202" t="s">
        <v>107</v>
      </c>
      <c r="W258" s="202" t="s">
        <v>108</v>
      </c>
      <c r="X258" s="203" t="s">
        <v>109</v>
      </c>
      <c r="Y258" s="336"/>
      <c r="Z258" s="338" t="s">
        <v>141</v>
      </c>
      <c r="AA258" s="338" t="s">
        <v>151</v>
      </c>
      <c r="AB258" s="338" t="s">
        <v>141</v>
      </c>
      <c r="AC258" s="338" t="s">
        <v>151</v>
      </c>
      <c r="AD258" s="338" t="s">
        <v>152</v>
      </c>
      <c r="AE258" s="19"/>
      <c r="AF258" s="19"/>
      <c r="AG258" s="19"/>
      <c r="AH258" s="19"/>
      <c r="AI258" s="19"/>
      <c r="AJ258" s="19"/>
    </row>
    <row r="259" spans="1:36" ht="25" customHeight="1" thickTop="1">
      <c r="A259" s="459">
        <v>0</v>
      </c>
      <c r="B259" s="460">
        <v>0</v>
      </c>
      <c r="C259" s="461"/>
      <c r="D259" s="461" t="str">
        <f t="shared" si="56"/>
        <v/>
      </c>
      <c r="E259" s="461" t="str">
        <f t="shared" si="56"/>
        <v/>
      </c>
      <c r="F259" s="460">
        <f t="shared" si="61"/>
        <v>-5.9999999999999995E-4</v>
      </c>
      <c r="G259" s="460">
        <f t="shared" si="62"/>
        <v>5.9999999999999995E-4</v>
      </c>
      <c r="H259" s="462">
        <f t="shared" si="21"/>
        <v>5.9999999999999995E-4</v>
      </c>
      <c r="I259" s="19"/>
      <c r="J259" s="34"/>
      <c r="K259" s="191" t="str">
        <f t="shared" si="58"/>
        <v/>
      </c>
      <c r="L259" s="192" t="str">
        <f t="shared" si="59"/>
        <v/>
      </c>
      <c r="M259" s="193"/>
      <c r="N259" s="193"/>
      <c r="O259" s="194" t="str">
        <f t="shared" si="60"/>
        <v/>
      </c>
      <c r="P259" s="194"/>
      <c r="Q259" s="241">
        <v>1.0000000000000001E-5</v>
      </c>
      <c r="R259" s="241"/>
      <c r="S259" s="241">
        <f>'ACC CAL WITH GB - Method 6'!L242</f>
        <v>1.2E-5</v>
      </c>
      <c r="T259" s="195"/>
      <c r="U259" s="195"/>
      <c r="V259" s="195"/>
      <c r="W259" s="195"/>
      <c r="X259" s="195"/>
      <c r="Y259" s="343"/>
      <c r="Z259" s="337">
        <v>5.9999999999999995E-4</v>
      </c>
      <c r="AA259" s="337">
        <v>5.9999999999999995E-4</v>
      </c>
      <c r="AB259" s="337">
        <v>5.9999999999999995E-4</v>
      </c>
      <c r="AC259" s="337">
        <v>5.9999999999999995E-4</v>
      </c>
      <c r="AD259" s="337">
        <f t="shared" si="63"/>
        <v>5.9999999999999995E-4</v>
      </c>
      <c r="AE259" s="19"/>
      <c r="AF259" s="19"/>
      <c r="AG259" s="19"/>
      <c r="AH259" s="19"/>
      <c r="AI259" s="19"/>
      <c r="AJ259" s="19"/>
    </row>
    <row r="260" spans="1:36" ht="25" customHeight="1">
      <c r="A260" s="459">
        <v>1.9</v>
      </c>
      <c r="B260" s="460">
        <v>1.9</v>
      </c>
      <c r="C260" s="461"/>
      <c r="D260" s="461" t="str">
        <f t="shared" si="56"/>
        <v/>
      </c>
      <c r="E260" s="461" t="str">
        <f t="shared" si="56"/>
        <v/>
      </c>
      <c r="F260" s="460">
        <f t="shared" si="61"/>
        <v>1.8975</v>
      </c>
      <c r="G260" s="460">
        <f t="shared" si="62"/>
        <v>1.9024999999999999</v>
      </c>
      <c r="H260" s="462">
        <f t="shared" si="21"/>
        <v>2.5000000000000001E-3</v>
      </c>
      <c r="I260" s="19"/>
      <c r="J260" s="34"/>
      <c r="K260" s="191" t="str">
        <f t="shared" si="58"/>
        <v/>
      </c>
      <c r="L260" s="192" t="str">
        <f t="shared" si="59"/>
        <v/>
      </c>
      <c r="M260" s="193"/>
      <c r="N260" s="193"/>
      <c r="O260" s="194" t="str">
        <f t="shared" si="60"/>
        <v/>
      </c>
      <c r="P260" s="194"/>
      <c r="Q260" s="241">
        <v>1.0000000000000001E-5</v>
      </c>
      <c r="R260" s="241"/>
      <c r="S260" s="241">
        <f>'ACC CAL WITH GB - Method 6'!L243</f>
        <v>1.9249999999999999E-4</v>
      </c>
      <c r="T260" s="195"/>
      <c r="U260" s="195"/>
      <c r="V260" s="195"/>
      <c r="W260" s="195"/>
      <c r="X260" s="195"/>
      <c r="Y260" s="343"/>
      <c r="Z260" s="337">
        <v>2.8800000000000002E-3</v>
      </c>
      <c r="AA260" s="337">
        <v>2.2000000000000001E-3</v>
      </c>
      <c r="AB260" s="337">
        <v>2.5000000000000001E-3</v>
      </c>
      <c r="AC260" s="337">
        <v>2.5000000000000001E-3</v>
      </c>
      <c r="AD260" s="337">
        <f t="shared" si="63"/>
        <v>2.5000000000000001E-3</v>
      </c>
      <c r="AE260" s="19"/>
      <c r="AF260" s="19"/>
      <c r="AG260" s="19"/>
      <c r="AH260" s="19"/>
      <c r="AI260" s="19"/>
      <c r="AJ260" s="19"/>
    </row>
    <row r="261" spans="1:36" ht="25" customHeight="1">
      <c r="A261" s="459">
        <v>-1.9</v>
      </c>
      <c r="B261" s="460">
        <v>-1.9</v>
      </c>
      <c r="C261" s="461"/>
      <c r="D261" s="461" t="str">
        <f t="shared" si="56"/>
        <v/>
      </c>
      <c r="E261" s="461" t="str">
        <f t="shared" si="56"/>
        <v/>
      </c>
      <c r="F261" s="460">
        <f t="shared" si="61"/>
        <v>-1.9024999999999999</v>
      </c>
      <c r="G261" s="460">
        <f t="shared" si="62"/>
        <v>-1.8975</v>
      </c>
      <c r="H261" s="462">
        <f t="shared" si="21"/>
        <v>2.5000000000000001E-3</v>
      </c>
      <c r="I261" s="19"/>
      <c r="J261" s="34"/>
      <c r="K261" s="191" t="str">
        <f t="shared" si="58"/>
        <v/>
      </c>
      <c r="L261" s="192" t="str">
        <f t="shared" si="59"/>
        <v/>
      </c>
      <c r="M261" s="193"/>
      <c r="N261" s="193"/>
      <c r="O261" s="194" t="str">
        <f t="shared" si="60"/>
        <v/>
      </c>
      <c r="P261" s="194"/>
      <c r="Q261" s="241">
        <v>1.0000000000000001E-5</v>
      </c>
      <c r="R261" s="241"/>
      <c r="S261" s="241">
        <f>'ACC CAL WITH GB - Method 6'!L244</f>
        <v>1.9249999999999999E-4</v>
      </c>
      <c r="T261" s="195"/>
      <c r="U261" s="195"/>
      <c r="V261" s="195"/>
      <c r="W261" s="195"/>
      <c r="X261" s="195"/>
      <c r="Y261" s="343"/>
      <c r="Z261" s="337">
        <v>2.8800000000000002E-3</v>
      </c>
      <c r="AA261" s="337">
        <v>2.2000000000000001E-3</v>
      </c>
      <c r="AB261" s="337">
        <v>2.5000000000000001E-3</v>
      </c>
      <c r="AC261" s="337">
        <v>2.5000000000000001E-3</v>
      </c>
      <c r="AD261" s="337">
        <f t="shared" si="63"/>
        <v>2.5000000000000001E-3</v>
      </c>
      <c r="AE261" s="19"/>
      <c r="AF261" s="19"/>
      <c r="AG261" s="19"/>
      <c r="AH261" s="19"/>
      <c r="AI261" s="19"/>
      <c r="AJ261" s="19"/>
    </row>
    <row r="262" spans="1:36" ht="28.15" customHeight="1">
      <c r="A262" s="328"/>
      <c r="C262" s="230"/>
      <c r="D262" s="329"/>
      <c r="E262" s="329"/>
      <c r="H262" s="213"/>
      <c r="I262" s="214"/>
      <c r="J262" s="215"/>
      <c r="Z262" s="34"/>
      <c r="AA262" s="34"/>
      <c r="AB262" s="34"/>
      <c r="AC262" s="34"/>
      <c r="AD262" s="345"/>
      <c r="AE262" s="19"/>
      <c r="AF262" s="19"/>
      <c r="AG262" s="19"/>
      <c r="AH262" s="19"/>
      <c r="AI262" s="19"/>
      <c r="AJ262" s="19"/>
    </row>
    <row r="263" spans="1:36" s="231" customFormat="1" ht="19.899999999999999" customHeight="1">
      <c r="A263" s="76" t="s">
        <v>214</v>
      </c>
      <c r="B263" s="151"/>
      <c r="C263" s="230"/>
      <c r="D263" s="331"/>
      <c r="E263" s="331"/>
      <c r="F263" s="151"/>
      <c r="H263" s="53"/>
      <c r="I263" s="32"/>
      <c r="J263" s="232"/>
      <c r="K263" s="233"/>
      <c r="L263" s="234"/>
      <c r="M263" s="234"/>
      <c r="N263" s="234"/>
      <c r="O263" s="234"/>
      <c r="P263" s="234"/>
      <c r="Q263" s="234"/>
      <c r="R263" s="234"/>
      <c r="S263" s="234"/>
      <c r="T263" s="234"/>
      <c r="U263" s="234"/>
      <c r="V263" s="234"/>
      <c r="W263" s="234"/>
      <c r="X263" s="234"/>
      <c r="Y263" s="234"/>
      <c r="Z263" s="332"/>
      <c r="AA263" s="332"/>
      <c r="AB263" s="332"/>
      <c r="AC263" s="332"/>
      <c r="AD263" s="283"/>
    </row>
    <row r="264" spans="1:36" s="226" customFormat="1" ht="5.9" customHeight="1">
      <c r="A264" s="288"/>
      <c r="B264" s="225"/>
      <c r="C264" s="333"/>
      <c r="D264" s="225"/>
      <c r="E264" s="225"/>
      <c r="F264" s="225"/>
      <c r="H264" s="54"/>
      <c r="I264" s="227"/>
      <c r="J264" s="228"/>
      <c r="K264" s="229"/>
      <c r="L264" s="229"/>
      <c r="M264" s="229"/>
      <c r="N264" s="229"/>
      <c r="O264" s="229"/>
      <c r="P264" s="229"/>
      <c r="Q264" s="229"/>
      <c r="R264" s="229"/>
      <c r="S264" s="229"/>
      <c r="T264" s="229"/>
      <c r="U264" s="229"/>
      <c r="V264" s="229"/>
      <c r="W264" s="229"/>
      <c r="X264" s="229"/>
      <c r="Y264" s="229"/>
      <c r="Z264" s="334"/>
      <c r="AA264" s="334"/>
      <c r="AB264" s="334"/>
      <c r="AC264" s="334"/>
      <c r="AD264" s="335"/>
    </row>
    <row r="265" spans="1:36" ht="20.9" customHeight="1">
      <c r="A265" s="614" t="s">
        <v>207</v>
      </c>
      <c r="B265" s="616" t="s">
        <v>132</v>
      </c>
      <c r="C265" s="326"/>
      <c r="D265" s="327" t="s">
        <v>14</v>
      </c>
      <c r="E265" s="327"/>
      <c r="F265" s="616" t="s">
        <v>2</v>
      </c>
      <c r="G265" s="616" t="s">
        <v>3</v>
      </c>
      <c r="H265" s="627" t="s">
        <v>29</v>
      </c>
      <c r="I265" s="19"/>
      <c r="J265" s="33"/>
      <c r="K265" s="616" t="s">
        <v>98</v>
      </c>
      <c r="L265" s="616" t="s">
        <v>99</v>
      </c>
      <c r="M265" s="163"/>
      <c r="N265" s="163"/>
      <c r="O265" s="622" t="s">
        <v>113</v>
      </c>
      <c r="P265" s="623"/>
      <c r="Q265" s="623"/>
      <c r="R265" s="623"/>
      <c r="S265" s="623"/>
      <c r="T265" s="623"/>
      <c r="U265" s="623"/>
      <c r="V265" s="623"/>
      <c r="W265" s="623"/>
      <c r="X265" s="624"/>
      <c r="Y265" s="336"/>
      <c r="Z265" s="337"/>
      <c r="AA265" s="337" t="s">
        <v>149</v>
      </c>
      <c r="AB265" s="337"/>
      <c r="AC265" s="337" t="s">
        <v>150</v>
      </c>
      <c r="AD265" s="290"/>
      <c r="AE265" s="19"/>
      <c r="AF265" s="19"/>
      <c r="AG265" s="19"/>
      <c r="AH265" s="19"/>
      <c r="AI265" s="19"/>
      <c r="AJ265" s="19"/>
    </row>
    <row r="266" spans="1:36" ht="20.9" customHeight="1" thickBot="1">
      <c r="A266" s="615"/>
      <c r="B266" s="617"/>
      <c r="C266" s="198">
        <v>1</v>
      </c>
      <c r="D266" s="198">
        <v>2</v>
      </c>
      <c r="E266" s="198">
        <v>3</v>
      </c>
      <c r="F266" s="629"/>
      <c r="G266" s="617"/>
      <c r="H266" s="628"/>
      <c r="I266" s="19"/>
      <c r="J266" s="34"/>
      <c r="K266" s="625"/>
      <c r="L266" s="617"/>
      <c r="M266" s="163"/>
      <c r="N266" s="163"/>
      <c r="O266" s="199" t="s">
        <v>100</v>
      </c>
      <c r="P266" s="200" t="s">
        <v>101</v>
      </c>
      <c r="Q266" s="199" t="s">
        <v>102</v>
      </c>
      <c r="R266" s="200" t="s">
        <v>103</v>
      </c>
      <c r="S266" s="199" t="s">
        <v>219</v>
      </c>
      <c r="T266" s="201" t="s">
        <v>105</v>
      </c>
      <c r="U266" s="202" t="s">
        <v>106</v>
      </c>
      <c r="V266" s="202" t="s">
        <v>107</v>
      </c>
      <c r="W266" s="202" t="s">
        <v>108</v>
      </c>
      <c r="X266" s="203" t="s">
        <v>109</v>
      </c>
      <c r="Y266" s="336"/>
      <c r="Z266" s="338" t="s">
        <v>141</v>
      </c>
      <c r="AA266" s="338" t="s">
        <v>151</v>
      </c>
      <c r="AB266" s="338" t="s">
        <v>141</v>
      </c>
      <c r="AC266" s="338" t="s">
        <v>151</v>
      </c>
      <c r="AD266" s="338" t="s">
        <v>152</v>
      </c>
      <c r="AE266" s="19"/>
      <c r="AF266" s="19"/>
      <c r="AG266" s="19"/>
      <c r="AH266" s="19"/>
      <c r="AI266" s="19"/>
      <c r="AJ266" s="19"/>
    </row>
    <row r="267" spans="1:36" ht="25" customHeight="1" thickTop="1">
      <c r="A267" s="455">
        <v>0</v>
      </c>
      <c r="B267" s="460">
        <v>0</v>
      </c>
      <c r="C267" s="461"/>
      <c r="D267" s="461" t="str">
        <f t="shared" si="56"/>
        <v/>
      </c>
      <c r="E267" s="461" t="str">
        <f t="shared" si="56"/>
        <v/>
      </c>
      <c r="F267" s="460">
        <f t="shared" si="61"/>
        <v>-8.0000000000000004E-4</v>
      </c>
      <c r="G267" s="460">
        <f t="shared" si="62"/>
        <v>8.0000000000000004E-4</v>
      </c>
      <c r="H267" s="462">
        <f t="shared" si="21"/>
        <v>8.0000000000000004E-4</v>
      </c>
      <c r="I267" s="19"/>
      <c r="J267" s="34"/>
      <c r="K267" s="191" t="str">
        <f t="shared" si="58"/>
        <v/>
      </c>
      <c r="L267" s="192" t="str">
        <f t="shared" si="59"/>
        <v/>
      </c>
      <c r="M267" s="193"/>
      <c r="N267" s="193"/>
      <c r="O267" s="194" t="str">
        <f t="shared" si="60"/>
        <v/>
      </c>
      <c r="P267" s="194"/>
      <c r="Q267" s="241">
        <v>1.0000000000000001E-5</v>
      </c>
      <c r="R267" s="241"/>
      <c r="S267" s="241">
        <f>'ACC CAL WITH GB - Method 6'!L250</f>
        <v>1E-3</v>
      </c>
      <c r="T267" s="195"/>
      <c r="U267" s="195"/>
      <c r="V267" s="195"/>
      <c r="W267" s="195"/>
      <c r="X267" s="195"/>
      <c r="Y267" s="343"/>
      <c r="Z267" s="337">
        <v>8.0000000000000004E-4</v>
      </c>
      <c r="AA267" s="337">
        <v>8.0000000000000004E-4</v>
      </c>
      <c r="AB267" s="337">
        <v>8.0000000000000004E-4</v>
      </c>
      <c r="AC267" s="337">
        <v>8.0000000000000004E-4</v>
      </c>
      <c r="AD267" s="337">
        <f t="shared" si="63"/>
        <v>8.0000000000000004E-4</v>
      </c>
      <c r="AE267" s="19"/>
      <c r="AF267" s="19"/>
      <c r="AG267" s="19"/>
      <c r="AH267" s="19"/>
      <c r="AI267" s="19"/>
      <c r="AJ267" s="19"/>
    </row>
    <row r="268" spans="1:36" ht="25" customHeight="1">
      <c r="A268" s="455">
        <v>10</v>
      </c>
      <c r="B268" s="460">
        <v>10</v>
      </c>
      <c r="C268" s="461"/>
      <c r="D268" s="461" t="str">
        <f t="shared" si="56"/>
        <v/>
      </c>
      <c r="E268" s="461" t="str">
        <f t="shared" si="56"/>
        <v/>
      </c>
      <c r="F268" s="460">
        <f t="shared" si="61"/>
        <v>9.9841999999999995</v>
      </c>
      <c r="G268" s="460">
        <f t="shared" si="62"/>
        <v>10.0158</v>
      </c>
      <c r="H268" s="462">
        <f t="shared" si="21"/>
        <v>1.5800000000000002E-2</v>
      </c>
      <c r="I268" s="19"/>
      <c r="J268" s="34"/>
      <c r="K268" s="191" t="str">
        <f t="shared" si="58"/>
        <v/>
      </c>
      <c r="L268" s="192" t="str">
        <f t="shared" si="59"/>
        <v/>
      </c>
      <c r="M268" s="193"/>
      <c r="N268" s="193"/>
      <c r="O268" s="194" t="str">
        <f t="shared" si="60"/>
        <v/>
      </c>
      <c r="P268" s="194"/>
      <c r="Q268" s="241">
        <v>1.0000000000000001E-5</v>
      </c>
      <c r="R268" s="241"/>
      <c r="S268" s="241">
        <f>'ACC CAL WITH GB - Method 6'!L251</f>
        <v>4.3499999999999997E-3</v>
      </c>
      <c r="T268" s="195"/>
      <c r="U268" s="195"/>
      <c r="V268" s="195"/>
      <c r="W268" s="195"/>
      <c r="X268" s="195"/>
      <c r="Y268" s="343"/>
      <c r="Z268" s="337">
        <v>1.2800000000000001E-2</v>
      </c>
      <c r="AA268" s="337">
        <v>1.2800000000000001E-2</v>
      </c>
      <c r="AB268" s="337">
        <v>1.7000000000000001E-2</v>
      </c>
      <c r="AC268" s="337">
        <v>1.5800000000000002E-2</v>
      </c>
      <c r="AD268" s="337">
        <f t="shared" si="63"/>
        <v>1.5800000000000002E-2</v>
      </c>
      <c r="AE268" s="19"/>
      <c r="AF268" s="19"/>
      <c r="AG268" s="19"/>
      <c r="AH268" s="19"/>
      <c r="AI268" s="19"/>
      <c r="AJ268" s="19"/>
    </row>
    <row r="269" spans="1:36" ht="25" customHeight="1">
      <c r="A269" s="455">
        <v>-10</v>
      </c>
      <c r="B269" s="460">
        <v>-10</v>
      </c>
      <c r="C269" s="461"/>
      <c r="D269" s="461" t="str">
        <f t="shared" si="56"/>
        <v/>
      </c>
      <c r="E269" s="461" t="str">
        <f t="shared" si="56"/>
        <v/>
      </c>
      <c r="F269" s="460">
        <f t="shared" si="61"/>
        <v>-10.0158</v>
      </c>
      <c r="G269" s="460">
        <f t="shared" si="62"/>
        <v>-9.9841999999999995</v>
      </c>
      <c r="H269" s="462">
        <f t="shared" si="21"/>
        <v>1.5800000000000002E-2</v>
      </c>
      <c r="I269" s="19"/>
      <c r="J269" s="34"/>
      <c r="K269" s="191" t="str">
        <f t="shared" si="58"/>
        <v/>
      </c>
      <c r="L269" s="192" t="str">
        <f t="shared" si="59"/>
        <v/>
      </c>
      <c r="M269" s="193"/>
      <c r="N269" s="193"/>
      <c r="O269" s="194" t="str">
        <f t="shared" si="60"/>
        <v/>
      </c>
      <c r="P269" s="194"/>
      <c r="Q269" s="241">
        <v>1.0000000000000001E-5</v>
      </c>
      <c r="R269" s="241"/>
      <c r="S269" s="241">
        <f>'ACC CAL WITH GB - Method 6'!L252</f>
        <v>4.3499999999999997E-3</v>
      </c>
      <c r="T269" s="195"/>
      <c r="U269" s="195"/>
      <c r="V269" s="195"/>
      <c r="W269" s="195"/>
      <c r="X269" s="195"/>
      <c r="Y269" s="343"/>
      <c r="Z269" s="337">
        <v>1.2800000000000001E-2</v>
      </c>
      <c r="AA269" s="337">
        <v>1.2800000000000001E-2</v>
      </c>
      <c r="AB269" s="337">
        <v>1.7000000000000001E-2</v>
      </c>
      <c r="AC269" s="337">
        <v>1.5800000000000002E-2</v>
      </c>
      <c r="AD269" s="337">
        <f t="shared" si="63"/>
        <v>1.5800000000000002E-2</v>
      </c>
      <c r="AE269" s="19"/>
      <c r="AF269" s="19"/>
      <c r="AG269" s="19"/>
      <c r="AH269" s="19"/>
      <c r="AI269" s="19"/>
      <c r="AJ269" s="19"/>
    </row>
    <row r="270" spans="1:36" ht="26.15" customHeight="1">
      <c r="C270" s="52"/>
      <c r="Z270" s="34"/>
      <c r="AA270" s="34"/>
      <c r="AB270" s="34"/>
      <c r="AC270" s="34"/>
      <c r="AD270" s="290"/>
      <c r="AE270" s="19"/>
      <c r="AF270" s="19"/>
      <c r="AG270" s="19"/>
      <c r="AH270" s="19"/>
      <c r="AI270" s="19"/>
      <c r="AJ270" s="19"/>
    </row>
    <row r="271" spans="1:36" ht="25.5" customHeight="1">
      <c r="A271" s="328" t="s">
        <v>215</v>
      </c>
      <c r="C271" s="230"/>
      <c r="D271" s="329"/>
      <c r="E271" s="329"/>
      <c r="H271" s="213"/>
      <c r="I271" s="214"/>
      <c r="J271" s="215"/>
      <c r="Z271" s="34"/>
      <c r="AA271" s="34"/>
      <c r="AB271" s="34"/>
      <c r="AC271" s="34"/>
      <c r="AD271" s="345"/>
      <c r="AE271" s="19"/>
      <c r="AF271" s="19"/>
      <c r="AG271" s="19"/>
      <c r="AH271" s="19"/>
      <c r="AI271" s="19"/>
      <c r="AJ271" s="19"/>
    </row>
    <row r="272" spans="1:36" s="231" customFormat="1" ht="22.5" customHeight="1">
      <c r="A272" s="76" t="s">
        <v>206</v>
      </c>
      <c r="B272" s="151"/>
      <c r="C272" s="230"/>
      <c r="D272" s="331"/>
      <c r="E272" s="331"/>
      <c r="F272" s="151"/>
      <c r="H272" s="53"/>
      <c r="I272" s="32"/>
      <c r="J272" s="232"/>
      <c r="K272" s="233"/>
      <c r="L272" s="234"/>
      <c r="M272" s="234"/>
      <c r="N272" s="234"/>
      <c r="O272" s="234"/>
      <c r="P272" s="234"/>
      <c r="Q272" s="234"/>
      <c r="R272" s="234"/>
      <c r="S272" s="234"/>
      <c r="T272" s="234"/>
      <c r="U272" s="234"/>
      <c r="V272" s="234"/>
      <c r="W272" s="234"/>
      <c r="X272" s="234"/>
      <c r="Y272" s="234"/>
      <c r="Z272" s="332"/>
      <c r="AA272" s="332"/>
      <c r="AB272" s="332"/>
      <c r="AC272" s="332"/>
      <c r="AD272" s="283"/>
    </row>
    <row r="273" spans="1:36" s="226" customFormat="1" ht="4.5" customHeight="1">
      <c r="A273" s="288"/>
      <c r="B273" s="225"/>
      <c r="C273" s="333"/>
      <c r="D273" s="225"/>
      <c r="E273" s="225"/>
      <c r="F273" s="225"/>
      <c r="H273" s="54"/>
      <c r="I273" s="227"/>
      <c r="J273" s="228"/>
      <c r="K273" s="229"/>
      <c r="L273" s="229"/>
      <c r="M273" s="229"/>
      <c r="N273" s="229"/>
      <c r="O273" s="229"/>
      <c r="P273" s="229"/>
      <c r="Q273" s="229"/>
      <c r="R273" s="229"/>
      <c r="S273" s="229"/>
      <c r="T273" s="229"/>
      <c r="U273" s="229"/>
      <c r="V273" s="229"/>
      <c r="W273" s="229"/>
      <c r="X273" s="229"/>
      <c r="Y273" s="229"/>
      <c r="Z273" s="334"/>
      <c r="AA273" s="334"/>
      <c r="AB273" s="334"/>
      <c r="AC273" s="334"/>
      <c r="AD273" s="335"/>
    </row>
    <row r="274" spans="1:36" ht="23.65" customHeight="1">
      <c r="A274" s="614" t="s">
        <v>148</v>
      </c>
      <c r="B274" s="616" t="s">
        <v>132</v>
      </c>
      <c r="C274" s="326"/>
      <c r="D274" s="327" t="s">
        <v>14</v>
      </c>
      <c r="E274" s="327"/>
      <c r="F274" s="616" t="s">
        <v>2</v>
      </c>
      <c r="G274" s="616" t="s">
        <v>3</v>
      </c>
      <c r="H274" s="627" t="s">
        <v>29</v>
      </c>
      <c r="I274" s="19"/>
      <c r="J274" s="33"/>
      <c r="K274" s="616" t="s">
        <v>98</v>
      </c>
      <c r="L274" s="616" t="s">
        <v>99</v>
      </c>
      <c r="M274" s="163"/>
      <c r="N274" s="163"/>
      <c r="O274" s="622" t="s">
        <v>113</v>
      </c>
      <c r="P274" s="623"/>
      <c r="Q274" s="623"/>
      <c r="R274" s="623"/>
      <c r="S274" s="623"/>
      <c r="T274" s="623"/>
      <c r="U274" s="623"/>
      <c r="V274" s="623"/>
      <c r="W274" s="623"/>
      <c r="X274" s="624"/>
      <c r="Y274" s="336"/>
      <c r="Z274" s="337"/>
      <c r="AA274" s="337" t="s">
        <v>149</v>
      </c>
      <c r="AB274" s="337"/>
      <c r="AC274" s="337" t="s">
        <v>150</v>
      </c>
      <c r="AD274" s="290"/>
      <c r="AE274" s="19"/>
      <c r="AF274" s="19"/>
      <c r="AG274" s="19"/>
      <c r="AH274" s="19"/>
      <c r="AI274" s="19"/>
      <c r="AJ274" s="19"/>
    </row>
    <row r="275" spans="1:36" ht="23.65" customHeight="1" thickBot="1">
      <c r="A275" s="615"/>
      <c r="B275" s="617"/>
      <c r="C275" s="198">
        <v>1</v>
      </c>
      <c r="D275" s="198">
        <v>2</v>
      </c>
      <c r="E275" s="198">
        <v>3</v>
      </c>
      <c r="F275" s="629"/>
      <c r="G275" s="617"/>
      <c r="H275" s="628"/>
      <c r="I275" s="19"/>
      <c r="J275" s="34"/>
      <c r="K275" s="625"/>
      <c r="L275" s="617"/>
      <c r="M275" s="163"/>
      <c r="N275" s="163"/>
      <c r="O275" s="199" t="s">
        <v>100</v>
      </c>
      <c r="P275" s="200" t="s">
        <v>101</v>
      </c>
      <c r="Q275" s="199" t="s">
        <v>102</v>
      </c>
      <c r="R275" s="200" t="s">
        <v>103</v>
      </c>
      <c r="S275" s="199" t="s">
        <v>219</v>
      </c>
      <c r="T275" s="201" t="s">
        <v>105</v>
      </c>
      <c r="U275" s="202" t="s">
        <v>106</v>
      </c>
      <c r="V275" s="202" t="s">
        <v>107</v>
      </c>
      <c r="W275" s="202" t="s">
        <v>108</v>
      </c>
      <c r="X275" s="203" t="s">
        <v>109</v>
      </c>
      <c r="Y275" s="336"/>
      <c r="Z275" s="338" t="s">
        <v>141</v>
      </c>
      <c r="AA275" s="338" t="s">
        <v>151</v>
      </c>
      <c r="AB275" s="338" t="s">
        <v>141</v>
      </c>
      <c r="AC275" s="338" t="s">
        <v>151</v>
      </c>
      <c r="AD275" s="338" t="s">
        <v>152</v>
      </c>
      <c r="AE275" s="19"/>
      <c r="AF275" s="19"/>
      <c r="AG275" s="19"/>
      <c r="AH275" s="19"/>
      <c r="AI275" s="19"/>
      <c r="AJ275" s="19"/>
    </row>
    <row r="276" spans="1:36" ht="25" customHeight="1" thickTop="1">
      <c r="A276" s="322" t="s">
        <v>164</v>
      </c>
      <c r="B276" s="463">
        <v>100</v>
      </c>
      <c r="C276" s="464"/>
      <c r="D276" s="464" t="str">
        <f t="shared" si="56"/>
        <v/>
      </c>
      <c r="E276" s="464" t="str">
        <f t="shared" si="56"/>
        <v/>
      </c>
      <c r="F276" s="463">
        <f t="shared" si="61"/>
        <v>99.86</v>
      </c>
      <c r="G276" s="463">
        <f t="shared" si="62"/>
        <v>100.14</v>
      </c>
      <c r="H276" s="465">
        <f t="shared" si="21"/>
        <v>0.14000000000000001</v>
      </c>
      <c r="I276" s="19"/>
      <c r="J276" s="34"/>
      <c r="K276" s="191" t="str">
        <f t="shared" si="58"/>
        <v/>
      </c>
      <c r="L276" s="192" t="str">
        <f t="shared" si="59"/>
        <v/>
      </c>
      <c r="M276" s="193"/>
      <c r="N276" s="193"/>
      <c r="O276" s="194" t="str">
        <f t="shared" si="60"/>
        <v/>
      </c>
      <c r="P276" s="194"/>
      <c r="Q276" s="241">
        <v>1E-4</v>
      </c>
      <c r="R276" s="241"/>
      <c r="S276" s="241">
        <f>'ACC CAL WITH GB - Method 6'!L259</f>
        <v>4.2499999999999996E-2</v>
      </c>
      <c r="T276" s="195"/>
      <c r="U276" s="195"/>
      <c r="V276" s="195"/>
      <c r="W276" s="195"/>
      <c r="X276" s="195"/>
      <c r="Y276" s="343"/>
      <c r="Z276" s="337"/>
      <c r="AA276" s="337">
        <v>0.14000000000000001</v>
      </c>
      <c r="AB276" s="337"/>
      <c r="AC276" s="337">
        <v>0.14000000000000001</v>
      </c>
      <c r="AD276" s="337">
        <f t="shared" ref="AD276:AD279" si="64">IF(AD$31=1,Z276,IF(AD$31=2,AB276,IF(AD$31=3,AA276,AC276)))</f>
        <v>0.14000000000000001</v>
      </c>
      <c r="AE276" s="19"/>
      <c r="AF276" s="19"/>
      <c r="AG276" s="19"/>
      <c r="AH276" s="19"/>
      <c r="AI276" s="19"/>
      <c r="AJ276" s="19"/>
    </row>
    <row r="277" spans="1:36" ht="25" customHeight="1">
      <c r="A277" s="322" t="s">
        <v>173</v>
      </c>
      <c r="B277" s="463">
        <v>100</v>
      </c>
      <c r="C277" s="464"/>
      <c r="D277" s="464" t="str">
        <f t="shared" si="56"/>
        <v/>
      </c>
      <c r="E277" s="464" t="str">
        <f t="shared" si="56"/>
        <v/>
      </c>
      <c r="F277" s="463">
        <f t="shared" si="61"/>
        <v>99.86</v>
      </c>
      <c r="G277" s="463">
        <f t="shared" si="62"/>
        <v>100.14</v>
      </c>
      <c r="H277" s="465">
        <f t="shared" si="21"/>
        <v>0.14000000000000001</v>
      </c>
      <c r="I277" s="19"/>
      <c r="J277" s="34"/>
      <c r="K277" s="191" t="str">
        <f t="shared" si="58"/>
        <v/>
      </c>
      <c r="L277" s="192" t="str">
        <f t="shared" si="59"/>
        <v/>
      </c>
      <c r="M277" s="193"/>
      <c r="N277" s="193"/>
      <c r="O277" s="194" t="str">
        <f t="shared" si="60"/>
        <v/>
      </c>
      <c r="P277" s="194"/>
      <c r="Q277" s="241">
        <v>1E-4</v>
      </c>
      <c r="R277" s="241"/>
      <c r="S277" s="241">
        <f>'ACC CAL WITH GB - Method 6'!L260</f>
        <v>2.0999999999999998E-2</v>
      </c>
      <c r="T277" s="195"/>
      <c r="U277" s="195"/>
      <c r="V277" s="195"/>
      <c r="W277" s="195"/>
      <c r="X277" s="195"/>
      <c r="Y277" s="343"/>
      <c r="Z277" s="337"/>
      <c r="AA277" s="337">
        <v>0.14000000000000001</v>
      </c>
      <c r="AB277" s="337"/>
      <c r="AC277" s="337">
        <v>0.14000000000000001</v>
      </c>
      <c r="AD277" s="337">
        <f t="shared" si="64"/>
        <v>0.14000000000000001</v>
      </c>
      <c r="AE277" s="19"/>
      <c r="AF277" s="19"/>
      <c r="AG277" s="19"/>
      <c r="AH277" s="19"/>
      <c r="AI277" s="19"/>
      <c r="AJ277" s="19"/>
    </row>
    <row r="278" spans="1:36" ht="25" customHeight="1">
      <c r="A278" s="322" t="s">
        <v>216</v>
      </c>
      <c r="B278" s="463">
        <v>100</v>
      </c>
      <c r="C278" s="464"/>
      <c r="D278" s="464" t="str">
        <f t="shared" si="56"/>
        <v/>
      </c>
      <c r="E278" s="464" t="str">
        <f t="shared" si="56"/>
        <v/>
      </c>
      <c r="F278" s="463">
        <f t="shared" si="61"/>
        <v>99.86</v>
      </c>
      <c r="G278" s="463">
        <f t="shared" si="62"/>
        <v>100.14</v>
      </c>
      <c r="H278" s="465">
        <f t="shared" si="21"/>
        <v>0.14000000000000001</v>
      </c>
      <c r="I278" s="19"/>
      <c r="J278" s="34"/>
      <c r="K278" s="191" t="str">
        <f t="shared" si="58"/>
        <v/>
      </c>
      <c r="L278" s="192" t="str">
        <f t="shared" si="59"/>
        <v/>
      </c>
      <c r="M278" s="193"/>
      <c r="N278" s="193"/>
      <c r="O278" s="194" t="str">
        <f t="shared" si="60"/>
        <v/>
      </c>
      <c r="P278" s="194"/>
      <c r="Q278" s="241">
        <v>1E-4</v>
      </c>
      <c r="R278" s="241"/>
      <c r="S278" s="241">
        <f>'ACC CAL WITH GB - Method 6'!L261</f>
        <v>4.0499999999999994E-2</v>
      </c>
      <c r="T278" s="195"/>
      <c r="U278" s="195"/>
      <c r="V278" s="195"/>
      <c r="W278" s="195"/>
      <c r="X278" s="195"/>
      <c r="Y278" s="343"/>
      <c r="Z278" s="337"/>
      <c r="AA278" s="337">
        <v>0.14000000000000001</v>
      </c>
      <c r="AB278" s="337"/>
      <c r="AC278" s="337">
        <v>0.14000000000000001</v>
      </c>
      <c r="AD278" s="337">
        <f t="shared" si="64"/>
        <v>0.14000000000000001</v>
      </c>
      <c r="AE278" s="19"/>
      <c r="AF278" s="19"/>
      <c r="AG278" s="19"/>
      <c r="AH278" s="19"/>
      <c r="AI278" s="19"/>
      <c r="AJ278" s="19"/>
    </row>
    <row r="279" spans="1:36" ht="25" customHeight="1">
      <c r="A279" s="322" t="s">
        <v>174</v>
      </c>
      <c r="B279" s="463">
        <v>100</v>
      </c>
      <c r="C279" s="464"/>
      <c r="D279" s="464" t="str">
        <f t="shared" si="56"/>
        <v/>
      </c>
      <c r="E279" s="464" t="str">
        <f t="shared" si="56"/>
        <v/>
      </c>
      <c r="F279" s="463">
        <f t="shared" si="61"/>
        <v>99.55</v>
      </c>
      <c r="G279" s="463">
        <f t="shared" si="62"/>
        <v>100.45</v>
      </c>
      <c r="H279" s="465">
        <f t="shared" si="21"/>
        <v>0.45</v>
      </c>
      <c r="I279" s="19"/>
      <c r="J279" s="34"/>
      <c r="K279" s="191" t="str">
        <f t="shared" si="58"/>
        <v/>
      </c>
      <c r="L279" s="192" t="str">
        <f t="shared" si="59"/>
        <v/>
      </c>
      <c r="M279" s="193"/>
      <c r="N279" s="193"/>
      <c r="O279" s="194" t="str">
        <f t="shared" si="60"/>
        <v/>
      </c>
      <c r="P279" s="194"/>
      <c r="Q279" s="241">
        <v>1E-4</v>
      </c>
      <c r="R279" s="241"/>
      <c r="S279" s="241">
        <f>'ACC CAL WITH GB - Method 6'!L262</f>
        <v>0.16500000000000001</v>
      </c>
      <c r="T279" s="195"/>
      <c r="U279" s="195"/>
      <c r="V279" s="195"/>
      <c r="W279" s="195"/>
      <c r="X279" s="195"/>
      <c r="Y279" s="343"/>
      <c r="Z279" s="337"/>
      <c r="AA279" s="337">
        <v>0.45</v>
      </c>
      <c r="AB279" s="337"/>
      <c r="AC279" s="337">
        <v>0.45</v>
      </c>
      <c r="AD279" s="337">
        <f t="shared" si="64"/>
        <v>0.45</v>
      </c>
      <c r="AE279" s="19"/>
      <c r="AF279" s="19"/>
      <c r="AG279" s="19"/>
      <c r="AH279" s="19"/>
      <c r="AI279" s="19"/>
      <c r="AJ279" s="19"/>
    </row>
    <row r="280" spans="1:36" ht="30" customHeight="1">
      <c r="A280" s="328"/>
      <c r="C280" s="230"/>
      <c r="D280" s="329"/>
      <c r="E280" s="329"/>
      <c r="H280" s="213"/>
      <c r="I280" s="214"/>
      <c r="J280" s="215"/>
      <c r="Z280" s="34"/>
      <c r="AA280" s="34"/>
      <c r="AB280" s="34"/>
      <c r="AC280" s="34"/>
      <c r="AD280" s="345"/>
      <c r="AE280" s="19"/>
      <c r="AF280" s="19"/>
      <c r="AG280" s="19"/>
      <c r="AH280" s="19"/>
      <c r="AI280" s="19"/>
      <c r="AJ280" s="19"/>
    </row>
    <row r="281" spans="1:36" s="231" customFormat="1" ht="19.899999999999999" customHeight="1">
      <c r="A281" s="76" t="s">
        <v>208</v>
      </c>
      <c r="B281" s="151"/>
      <c r="C281" s="230"/>
      <c r="D281" s="331"/>
      <c r="E281" s="331"/>
      <c r="F281" s="151"/>
      <c r="H281" s="53"/>
      <c r="I281" s="32"/>
      <c r="J281" s="232"/>
      <c r="K281" s="233"/>
      <c r="L281" s="234"/>
      <c r="M281" s="234"/>
      <c r="N281" s="234"/>
      <c r="O281" s="234"/>
      <c r="P281" s="234"/>
      <c r="Q281" s="234"/>
      <c r="R281" s="234"/>
      <c r="S281" s="234"/>
      <c r="T281" s="234"/>
      <c r="U281" s="234"/>
      <c r="V281" s="234"/>
      <c r="W281" s="234"/>
      <c r="X281" s="234"/>
      <c r="Y281" s="234"/>
      <c r="Z281" s="332"/>
      <c r="AA281" s="332"/>
      <c r="AB281" s="332"/>
      <c r="AC281" s="332"/>
      <c r="AD281" s="283"/>
    </row>
    <row r="282" spans="1:36" s="226" customFormat="1" ht="1" customHeight="1">
      <c r="A282" s="288"/>
      <c r="B282" s="225"/>
      <c r="C282" s="333"/>
      <c r="D282" s="225"/>
      <c r="E282" s="225"/>
      <c r="F282" s="225"/>
      <c r="H282" s="54"/>
      <c r="I282" s="227"/>
      <c r="J282" s="228"/>
      <c r="K282" s="229"/>
      <c r="L282" s="229"/>
      <c r="M282" s="229"/>
      <c r="N282" s="229"/>
      <c r="O282" s="229"/>
      <c r="P282" s="229"/>
      <c r="Q282" s="229"/>
      <c r="R282" s="229"/>
      <c r="S282" s="229"/>
      <c r="T282" s="229"/>
      <c r="U282" s="229"/>
      <c r="V282" s="229"/>
      <c r="W282" s="229"/>
      <c r="X282" s="229"/>
      <c r="Y282" s="229"/>
      <c r="Z282" s="334"/>
      <c r="AA282" s="334"/>
      <c r="AB282" s="334"/>
      <c r="AC282" s="334"/>
      <c r="AD282" s="335"/>
    </row>
    <row r="283" spans="1:36" ht="23.65" customHeight="1">
      <c r="A283" s="614" t="s">
        <v>148</v>
      </c>
      <c r="B283" s="616" t="s">
        <v>132</v>
      </c>
      <c r="C283" s="326"/>
      <c r="D283" s="327" t="s">
        <v>14</v>
      </c>
      <c r="E283" s="327"/>
      <c r="F283" s="616" t="s">
        <v>2</v>
      </c>
      <c r="G283" s="616" t="s">
        <v>3</v>
      </c>
      <c r="H283" s="627" t="s">
        <v>29</v>
      </c>
      <c r="I283" s="19"/>
      <c r="J283" s="33"/>
      <c r="K283" s="616" t="s">
        <v>98</v>
      </c>
      <c r="L283" s="616" t="s">
        <v>99</v>
      </c>
      <c r="M283" s="163"/>
      <c r="N283" s="163"/>
      <c r="O283" s="622" t="s">
        <v>113</v>
      </c>
      <c r="P283" s="623"/>
      <c r="Q283" s="623"/>
      <c r="R283" s="623"/>
      <c r="S283" s="623"/>
      <c r="T283" s="623"/>
      <c r="U283" s="623"/>
      <c r="V283" s="623"/>
      <c r="W283" s="623"/>
      <c r="X283" s="624"/>
      <c r="Y283" s="336"/>
      <c r="Z283" s="337"/>
      <c r="AA283" s="337" t="s">
        <v>149</v>
      </c>
      <c r="AB283" s="337"/>
      <c r="AC283" s="337" t="s">
        <v>150</v>
      </c>
      <c r="AD283" s="290"/>
      <c r="AE283" s="19"/>
      <c r="AF283" s="19"/>
      <c r="AG283" s="19"/>
      <c r="AH283" s="19"/>
      <c r="AI283" s="19"/>
      <c r="AJ283" s="19"/>
    </row>
    <row r="284" spans="1:36" ht="23.65" customHeight="1" thickBot="1">
      <c r="A284" s="615"/>
      <c r="B284" s="617"/>
      <c r="C284" s="198">
        <v>1</v>
      </c>
      <c r="D284" s="198">
        <v>2</v>
      </c>
      <c r="E284" s="198">
        <v>3</v>
      </c>
      <c r="F284" s="629"/>
      <c r="G284" s="617"/>
      <c r="H284" s="628"/>
      <c r="I284" s="19"/>
      <c r="J284" s="34"/>
      <c r="K284" s="625"/>
      <c r="L284" s="617"/>
      <c r="M284" s="163"/>
      <c r="N284" s="163"/>
      <c r="O284" s="199" t="s">
        <v>100</v>
      </c>
      <c r="P284" s="200" t="s">
        <v>101</v>
      </c>
      <c r="Q284" s="199" t="s">
        <v>102</v>
      </c>
      <c r="R284" s="200" t="s">
        <v>103</v>
      </c>
      <c r="S284" s="199" t="s">
        <v>219</v>
      </c>
      <c r="T284" s="201" t="s">
        <v>105</v>
      </c>
      <c r="U284" s="202" t="s">
        <v>106</v>
      </c>
      <c r="V284" s="202" t="s">
        <v>107</v>
      </c>
      <c r="W284" s="202" t="s">
        <v>108</v>
      </c>
      <c r="X284" s="203" t="s">
        <v>109</v>
      </c>
      <c r="Y284" s="336"/>
      <c r="Z284" s="338" t="s">
        <v>141</v>
      </c>
      <c r="AA284" s="338" t="s">
        <v>151</v>
      </c>
      <c r="AB284" s="338" t="s">
        <v>141</v>
      </c>
      <c r="AC284" s="338" t="s">
        <v>151</v>
      </c>
      <c r="AD284" s="338" t="s">
        <v>152</v>
      </c>
      <c r="AE284" s="19"/>
      <c r="AF284" s="19"/>
      <c r="AG284" s="19"/>
      <c r="AH284" s="19"/>
      <c r="AI284" s="19"/>
      <c r="AJ284" s="19"/>
    </row>
    <row r="285" spans="1:36" ht="25" customHeight="1" thickTop="1">
      <c r="A285" s="322" t="s">
        <v>164</v>
      </c>
      <c r="B285" s="444">
        <v>1</v>
      </c>
      <c r="C285" s="445"/>
      <c r="D285" s="445" t="str">
        <f t="shared" si="56"/>
        <v/>
      </c>
      <c r="E285" s="445" t="str">
        <f t="shared" si="56"/>
        <v/>
      </c>
      <c r="F285" s="444">
        <f t="shared" si="61"/>
        <v>0.99860000000000004</v>
      </c>
      <c r="G285" s="444">
        <f t="shared" si="62"/>
        <v>1.0014000000000001</v>
      </c>
      <c r="H285" s="446">
        <f t="shared" si="21"/>
        <v>1.4E-3</v>
      </c>
      <c r="I285" s="19"/>
      <c r="J285" s="34"/>
      <c r="K285" s="191" t="str">
        <f t="shared" si="58"/>
        <v/>
      </c>
      <c r="L285" s="192" t="str">
        <f t="shared" si="59"/>
        <v/>
      </c>
      <c r="M285" s="193"/>
      <c r="N285" s="193"/>
      <c r="O285" s="194" t="str">
        <f t="shared" si="60"/>
        <v/>
      </c>
      <c r="P285" s="194"/>
      <c r="Q285" s="241">
        <v>9.9999999999999995E-7</v>
      </c>
      <c r="R285" s="241"/>
      <c r="S285" s="241">
        <f>'ACC CAL WITH GB - Method 6'!L268</f>
        <v>3.0600000000000001E-4</v>
      </c>
      <c r="T285" s="195"/>
      <c r="U285" s="195"/>
      <c r="V285" s="195"/>
      <c r="W285" s="195"/>
      <c r="X285" s="195"/>
      <c r="Y285" s="343"/>
      <c r="Z285" s="337"/>
      <c r="AA285" s="337">
        <v>1.4E-3</v>
      </c>
      <c r="AB285" s="337"/>
      <c r="AC285" s="337">
        <v>1.4E-3</v>
      </c>
      <c r="AD285" s="337">
        <f t="shared" ref="AD285:AD288" si="65">IF(AD$31=1,Z285,IF(AD$31=2,AB285,IF(AD$31=3,AA285,AC285)))</f>
        <v>1.4E-3</v>
      </c>
      <c r="AE285" s="19"/>
      <c r="AF285" s="19"/>
      <c r="AG285" s="19"/>
      <c r="AH285" s="19"/>
      <c r="AI285" s="19"/>
      <c r="AJ285" s="19"/>
    </row>
    <row r="286" spans="1:36" ht="25" customHeight="1">
      <c r="A286" s="322" t="s">
        <v>173</v>
      </c>
      <c r="B286" s="444">
        <v>1</v>
      </c>
      <c r="C286" s="445"/>
      <c r="D286" s="445" t="str">
        <f t="shared" si="56"/>
        <v/>
      </c>
      <c r="E286" s="445" t="str">
        <f t="shared" si="56"/>
        <v/>
      </c>
      <c r="F286" s="444">
        <f t="shared" si="61"/>
        <v>0.99860000000000004</v>
      </c>
      <c r="G286" s="444">
        <f t="shared" si="62"/>
        <v>1.0014000000000001</v>
      </c>
      <c r="H286" s="446">
        <f t="shared" si="21"/>
        <v>1.4E-3</v>
      </c>
      <c r="I286" s="19"/>
      <c r="J286" s="34"/>
      <c r="K286" s="191" t="str">
        <f t="shared" si="58"/>
        <v/>
      </c>
      <c r="L286" s="192" t="str">
        <f t="shared" si="59"/>
        <v/>
      </c>
      <c r="M286" s="193"/>
      <c r="N286" s="193"/>
      <c r="O286" s="194" t="str">
        <f t="shared" si="60"/>
        <v/>
      </c>
      <c r="P286" s="194"/>
      <c r="Q286" s="241">
        <v>9.9999999999999995E-7</v>
      </c>
      <c r="R286" s="241"/>
      <c r="S286" s="241">
        <f>'ACC CAL WITH GB - Method 6'!L269</f>
        <v>1.65E-4</v>
      </c>
      <c r="T286" s="195"/>
      <c r="U286" s="195"/>
      <c r="V286" s="195"/>
      <c r="W286" s="195"/>
      <c r="X286" s="195"/>
      <c r="Y286" s="343"/>
      <c r="Z286" s="337"/>
      <c r="AA286" s="337">
        <v>1.4E-3</v>
      </c>
      <c r="AB286" s="337"/>
      <c r="AC286" s="337">
        <v>1.4E-3</v>
      </c>
      <c r="AD286" s="337">
        <f t="shared" si="65"/>
        <v>1.4E-3</v>
      </c>
      <c r="AE286" s="19"/>
      <c r="AF286" s="19"/>
      <c r="AG286" s="19"/>
      <c r="AH286" s="19"/>
      <c r="AI286" s="19"/>
      <c r="AJ286" s="19"/>
    </row>
    <row r="287" spans="1:36" ht="25" customHeight="1">
      <c r="A287" s="322" t="s">
        <v>216</v>
      </c>
      <c r="B287" s="444">
        <v>1</v>
      </c>
      <c r="C287" s="445"/>
      <c r="D287" s="445" t="str">
        <f t="shared" si="56"/>
        <v/>
      </c>
      <c r="E287" s="445" t="str">
        <f t="shared" si="56"/>
        <v/>
      </c>
      <c r="F287" s="444">
        <f t="shared" si="61"/>
        <v>0.99860000000000004</v>
      </c>
      <c r="G287" s="444">
        <f t="shared" si="62"/>
        <v>1.0014000000000001</v>
      </c>
      <c r="H287" s="446">
        <f t="shared" si="21"/>
        <v>1.4E-3</v>
      </c>
      <c r="I287" s="19"/>
      <c r="J287" s="34"/>
      <c r="K287" s="191" t="str">
        <f t="shared" si="58"/>
        <v/>
      </c>
      <c r="L287" s="192" t="str">
        <f t="shared" si="59"/>
        <v/>
      </c>
      <c r="M287" s="193"/>
      <c r="N287" s="193"/>
      <c r="O287" s="194" t="str">
        <f t="shared" si="60"/>
        <v/>
      </c>
      <c r="P287" s="194"/>
      <c r="Q287" s="241">
        <v>9.9999999999999995E-7</v>
      </c>
      <c r="R287" s="241"/>
      <c r="S287" s="241">
        <f>'ACC CAL WITH GB - Method 6'!L270</f>
        <v>3.1700000000000001E-4</v>
      </c>
      <c r="T287" s="195"/>
      <c r="U287" s="195"/>
      <c r="V287" s="195"/>
      <c r="W287" s="195"/>
      <c r="X287" s="195"/>
      <c r="Y287" s="343"/>
      <c r="Z287" s="337"/>
      <c r="AA287" s="337">
        <v>1.4E-3</v>
      </c>
      <c r="AB287" s="337"/>
      <c r="AC287" s="337">
        <v>1.4E-3</v>
      </c>
      <c r="AD287" s="337">
        <f t="shared" si="65"/>
        <v>1.4E-3</v>
      </c>
      <c r="AE287" s="19"/>
      <c r="AF287" s="19"/>
      <c r="AG287" s="19"/>
      <c r="AH287" s="19"/>
      <c r="AI287" s="19"/>
      <c r="AJ287" s="19"/>
    </row>
    <row r="288" spans="1:36" ht="25" customHeight="1">
      <c r="A288" s="322" t="s">
        <v>174</v>
      </c>
      <c r="B288" s="444">
        <v>1</v>
      </c>
      <c r="C288" s="445"/>
      <c r="D288" s="445" t="str">
        <f t="shared" si="56"/>
        <v/>
      </c>
      <c r="E288" s="445" t="str">
        <f t="shared" si="56"/>
        <v/>
      </c>
      <c r="F288" s="444">
        <f t="shared" si="61"/>
        <v>0.99550000000000005</v>
      </c>
      <c r="G288" s="444">
        <f t="shared" si="62"/>
        <v>1.0044999999999999</v>
      </c>
      <c r="H288" s="446">
        <f t="shared" si="21"/>
        <v>4.4999999999999997E-3</v>
      </c>
      <c r="I288" s="19"/>
      <c r="J288" s="34"/>
      <c r="K288" s="191" t="str">
        <f t="shared" si="58"/>
        <v/>
      </c>
      <c r="L288" s="192" t="str">
        <f t="shared" si="59"/>
        <v/>
      </c>
      <c r="M288" s="193"/>
      <c r="N288" s="193"/>
      <c r="O288" s="194" t="str">
        <f t="shared" si="60"/>
        <v/>
      </c>
      <c r="P288" s="194"/>
      <c r="Q288" s="241">
        <v>9.9999999999999995E-7</v>
      </c>
      <c r="R288" s="241"/>
      <c r="S288" s="241">
        <f>'ACC CAL WITH GB - Method 6'!L271</f>
        <v>1.65E-3</v>
      </c>
      <c r="T288" s="195"/>
      <c r="U288" s="195"/>
      <c r="V288" s="195"/>
      <c r="W288" s="195"/>
      <c r="X288" s="195"/>
      <c r="Y288" s="343"/>
      <c r="Z288" s="337"/>
      <c r="AA288" s="337">
        <v>4.4999999999999997E-3</v>
      </c>
      <c r="AB288" s="337"/>
      <c r="AC288" s="337">
        <v>4.4999999999999997E-3</v>
      </c>
      <c r="AD288" s="337">
        <f t="shared" si="65"/>
        <v>4.4999999999999997E-3</v>
      </c>
      <c r="AE288" s="19"/>
      <c r="AF288" s="19"/>
      <c r="AG288" s="19"/>
      <c r="AH288" s="19"/>
      <c r="AI288" s="19"/>
      <c r="AJ288" s="19"/>
    </row>
    <row r="289" spans="1:36" ht="30" customHeight="1">
      <c r="A289" s="328"/>
      <c r="C289" s="230"/>
      <c r="D289" s="329"/>
      <c r="E289" s="329"/>
      <c r="H289" s="213"/>
      <c r="I289" s="214"/>
      <c r="J289" s="215"/>
      <c r="Z289" s="34"/>
      <c r="AA289" s="34"/>
      <c r="AB289" s="34"/>
      <c r="AC289" s="34"/>
      <c r="AD289" s="345"/>
      <c r="AE289" s="19"/>
      <c r="AF289" s="19"/>
      <c r="AG289" s="19"/>
      <c r="AH289" s="19"/>
      <c r="AI289" s="19"/>
      <c r="AJ289" s="19"/>
    </row>
    <row r="290" spans="1:36" s="231" customFormat="1" ht="19.899999999999999" customHeight="1">
      <c r="A290" s="76" t="s">
        <v>209</v>
      </c>
      <c r="B290" s="151"/>
      <c r="C290" s="230"/>
      <c r="D290" s="331"/>
      <c r="E290" s="331"/>
      <c r="F290" s="151"/>
      <c r="H290" s="53"/>
      <c r="I290" s="32"/>
      <c r="J290" s="232"/>
      <c r="K290" s="233"/>
      <c r="L290" s="234"/>
      <c r="M290" s="234"/>
      <c r="N290" s="234"/>
      <c r="O290" s="234"/>
      <c r="P290" s="234"/>
      <c r="Q290" s="234"/>
      <c r="R290" s="234"/>
      <c r="S290" s="234"/>
      <c r="T290" s="234"/>
      <c r="U290" s="234"/>
      <c r="V290" s="234"/>
      <c r="W290" s="234"/>
      <c r="X290" s="234"/>
      <c r="Y290" s="234"/>
      <c r="Z290" s="332"/>
      <c r="AA290" s="332"/>
      <c r="AB290" s="332"/>
      <c r="AC290" s="332"/>
      <c r="AD290" s="283"/>
    </row>
    <row r="291" spans="1:36" s="226" customFormat="1" ht="1" customHeight="1">
      <c r="A291" s="288"/>
      <c r="B291" s="225"/>
      <c r="C291" s="333"/>
      <c r="D291" s="225"/>
      <c r="E291" s="225"/>
      <c r="F291" s="225"/>
      <c r="H291" s="54"/>
      <c r="I291" s="227"/>
      <c r="J291" s="228"/>
      <c r="K291" s="229"/>
      <c r="L291" s="229"/>
      <c r="M291" s="229"/>
      <c r="N291" s="229"/>
      <c r="O291" s="229"/>
      <c r="P291" s="229"/>
      <c r="Q291" s="229"/>
      <c r="R291" s="229"/>
      <c r="S291" s="229"/>
      <c r="T291" s="229"/>
      <c r="U291" s="229"/>
      <c r="V291" s="229"/>
      <c r="W291" s="229"/>
      <c r="X291" s="229"/>
      <c r="Y291" s="229"/>
      <c r="Z291" s="334"/>
      <c r="AA291" s="334"/>
      <c r="AB291" s="334"/>
      <c r="AC291" s="334"/>
      <c r="AD291" s="335"/>
    </row>
    <row r="292" spans="1:36" ht="23.65" customHeight="1">
      <c r="A292" s="614" t="s">
        <v>163</v>
      </c>
      <c r="B292" s="616" t="s">
        <v>132</v>
      </c>
      <c r="C292" s="326"/>
      <c r="D292" s="327" t="s">
        <v>14</v>
      </c>
      <c r="E292" s="327"/>
      <c r="F292" s="616" t="s">
        <v>2</v>
      </c>
      <c r="G292" s="616" t="s">
        <v>3</v>
      </c>
      <c r="H292" s="627" t="s">
        <v>29</v>
      </c>
      <c r="I292" s="19"/>
      <c r="J292" s="33"/>
      <c r="K292" s="616" t="s">
        <v>98</v>
      </c>
      <c r="L292" s="616" t="s">
        <v>99</v>
      </c>
      <c r="M292" s="163"/>
      <c r="N292" s="163"/>
      <c r="O292" s="622" t="s">
        <v>113</v>
      </c>
      <c r="P292" s="623"/>
      <c r="Q292" s="623"/>
      <c r="R292" s="623"/>
      <c r="S292" s="623"/>
      <c r="T292" s="623"/>
      <c r="U292" s="623"/>
      <c r="V292" s="623"/>
      <c r="W292" s="623"/>
      <c r="X292" s="624"/>
      <c r="Y292" s="336"/>
      <c r="Z292" s="337"/>
      <c r="AA292" s="337" t="s">
        <v>149</v>
      </c>
      <c r="AB292" s="337"/>
      <c r="AC292" s="337" t="s">
        <v>150</v>
      </c>
      <c r="AD292" s="290"/>
      <c r="AE292" s="19"/>
      <c r="AF292" s="19"/>
      <c r="AG292" s="19"/>
      <c r="AH292" s="19"/>
      <c r="AI292" s="19"/>
      <c r="AJ292" s="19"/>
    </row>
    <row r="293" spans="1:36" ht="23.65" customHeight="1" thickBot="1">
      <c r="A293" s="615"/>
      <c r="B293" s="617"/>
      <c r="C293" s="198">
        <v>1</v>
      </c>
      <c r="D293" s="198">
        <v>2</v>
      </c>
      <c r="E293" s="198">
        <v>3</v>
      </c>
      <c r="F293" s="629"/>
      <c r="G293" s="617"/>
      <c r="H293" s="628"/>
      <c r="I293" s="19"/>
      <c r="J293" s="34"/>
      <c r="K293" s="625"/>
      <c r="L293" s="617"/>
      <c r="M293" s="163"/>
      <c r="N293" s="163"/>
      <c r="O293" s="199" t="s">
        <v>100</v>
      </c>
      <c r="P293" s="200" t="s">
        <v>101</v>
      </c>
      <c r="Q293" s="199" t="s">
        <v>102</v>
      </c>
      <c r="R293" s="200" t="s">
        <v>103</v>
      </c>
      <c r="S293" s="199" t="s">
        <v>219</v>
      </c>
      <c r="T293" s="201" t="s">
        <v>105</v>
      </c>
      <c r="U293" s="202" t="s">
        <v>106</v>
      </c>
      <c r="V293" s="202" t="s">
        <v>107</v>
      </c>
      <c r="W293" s="202" t="s">
        <v>108</v>
      </c>
      <c r="X293" s="203" t="s">
        <v>109</v>
      </c>
      <c r="Y293" s="336"/>
      <c r="Z293" s="338" t="s">
        <v>141</v>
      </c>
      <c r="AA293" s="338" t="s">
        <v>151</v>
      </c>
      <c r="AB293" s="338" t="s">
        <v>141</v>
      </c>
      <c r="AC293" s="338" t="s">
        <v>151</v>
      </c>
      <c r="AD293" s="338" t="s">
        <v>152</v>
      </c>
      <c r="AE293" s="19"/>
      <c r="AF293" s="19"/>
      <c r="AG293" s="19"/>
      <c r="AH293" s="19"/>
      <c r="AI293" s="19"/>
      <c r="AJ293" s="19"/>
    </row>
    <row r="294" spans="1:36" ht="25" customHeight="1" thickTop="1">
      <c r="A294" s="322" t="s">
        <v>164</v>
      </c>
      <c r="B294" s="447">
        <v>10</v>
      </c>
      <c r="C294" s="448"/>
      <c r="D294" s="448" t="str">
        <f t="shared" si="56"/>
        <v/>
      </c>
      <c r="E294" s="448" t="str">
        <f t="shared" si="56"/>
        <v/>
      </c>
      <c r="F294" s="447">
        <f t="shared" si="61"/>
        <v>9.9860000000000007</v>
      </c>
      <c r="G294" s="447">
        <f t="shared" si="62"/>
        <v>10.013999999999999</v>
      </c>
      <c r="H294" s="449">
        <f t="shared" si="21"/>
        <v>1.4E-2</v>
      </c>
      <c r="I294" s="19"/>
      <c r="J294" s="34"/>
      <c r="K294" s="191" t="str">
        <f t="shared" si="58"/>
        <v/>
      </c>
      <c r="L294" s="192" t="str">
        <f t="shared" si="59"/>
        <v/>
      </c>
      <c r="M294" s="193"/>
      <c r="N294" s="193"/>
      <c r="O294" s="194" t="str">
        <f t="shared" si="60"/>
        <v/>
      </c>
      <c r="P294" s="194"/>
      <c r="Q294" s="241">
        <v>1.0000000000000001E-5</v>
      </c>
      <c r="R294" s="241"/>
      <c r="S294" s="241">
        <f>'ACC CAL WITH GB - Method 6'!L277</f>
        <v>3.0500000000000002E-3</v>
      </c>
      <c r="T294" s="195"/>
      <c r="U294" s="195"/>
      <c r="V294" s="195"/>
      <c r="W294" s="195"/>
      <c r="X294" s="195"/>
      <c r="Y294" s="343"/>
      <c r="Z294" s="337">
        <v>1.4E-2</v>
      </c>
      <c r="AA294" s="337">
        <v>1.4E-2</v>
      </c>
      <c r="AB294" s="337">
        <v>1.4E-2</v>
      </c>
      <c r="AC294" s="337">
        <v>1.4E-2</v>
      </c>
      <c r="AD294" s="337">
        <f t="shared" ref="AD294:AD297" si="66">IF(AD$31=1,Z294,IF(AD$31=2,AB294,IF(AD$31=3,AA294,AC294)))</f>
        <v>1.4E-2</v>
      </c>
      <c r="AE294" s="19"/>
      <c r="AF294" s="19"/>
      <c r="AG294" s="19"/>
      <c r="AH294" s="19"/>
      <c r="AI294" s="19"/>
      <c r="AJ294" s="19"/>
    </row>
    <row r="295" spans="1:36" ht="25" customHeight="1">
      <c r="A295" s="322" t="s">
        <v>173</v>
      </c>
      <c r="B295" s="447">
        <v>10</v>
      </c>
      <c r="C295" s="448"/>
      <c r="D295" s="448" t="str">
        <f t="shared" si="56"/>
        <v/>
      </c>
      <c r="E295" s="448" t="str">
        <f t="shared" si="56"/>
        <v/>
      </c>
      <c r="F295" s="447">
        <f t="shared" si="61"/>
        <v>9.9860000000000007</v>
      </c>
      <c r="G295" s="447">
        <f t="shared" si="62"/>
        <v>10.013999999999999</v>
      </c>
      <c r="H295" s="449">
        <f t="shared" si="21"/>
        <v>1.4E-2</v>
      </c>
      <c r="I295" s="19"/>
      <c r="J295" s="34"/>
      <c r="K295" s="191" t="str">
        <f t="shared" si="58"/>
        <v/>
      </c>
      <c r="L295" s="192" t="str">
        <f t="shared" si="59"/>
        <v/>
      </c>
      <c r="M295" s="193"/>
      <c r="N295" s="193"/>
      <c r="O295" s="194" t="str">
        <f t="shared" si="60"/>
        <v/>
      </c>
      <c r="P295" s="194"/>
      <c r="Q295" s="241">
        <v>1.0000000000000001E-5</v>
      </c>
      <c r="R295" s="241"/>
      <c r="S295" s="241">
        <f>'ACC CAL WITH GB - Method 6'!L278</f>
        <v>1.65E-3</v>
      </c>
      <c r="T295" s="195"/>
      <c r="U295" s="195"/>
      <c r="V295" s="195"/>
      <c r="W295" s="195"/>
      <c r="X295" s="195"/>
      <c r="Y295" s="343"/>
      <c r="Z295" s="337">
        <v>1.4E-2</v>
      </c>
      <c r="AA295" s="337">
        <v>1.4E-2</v>
      </c>
      <c r="AB295" s="337">
        <v>1.4E-2</v>
      </c>
      <c r="AC295" s="337">
        <v>1.4E-2</v>
      </c>
      <c r="AD295" s="337">
        <f t="shared" si="66"/>
        <v>1.4E-2</v>
      </c>
      <c r="AE295" s="19"/>
      <c r="AF295" s="19"/>
      <c r="AG295" s="19"/>
      <c r="AH295" s="19"/>
      <c r="AI295" s="19"/>
      <c r="AJ295" s="19"/>
    </row>
    <row r="296" spans="1:36" ht="25" customHeight="1">
      <c r="A296" s="322" t="s">
        <v>216</v>
      </c>
      <c r="B296" s="447">
        <v>10</v>
      </c>
      <c r="C296" s="448"/>
      <c r="D296" s="448" t="str">
        <f t="shared" si="56"/>
        <v/>
      </c>
      <c r="E296" s="448" t="str">
        <f t="shared" si="56"/>
        <v/>
      </c>
      <c r="F296" s="447">
        <f t="shared" si="61"/>
        <v>9.9860000000000007</v>
      </c>
      <c r="G296" s="447">
        <f t="shared" si="62"/>
        <v>10.013999999999999</v>
      </c>
      <c r="H296" s="449">
        <f t="shared" si="21"/>
        <v>1.4E-2</v>
      </c>
      <c r="I296" s="19"/>
      <c r="J296" s="34"/>
      <c r="K296" s="191" t="str">
        <f t="shared" si="58"/>
        <v/>
      </c>
      <c r="L296" s="192" t="str">
        <f t="shared" si="59"/>
        <v/>
      </c>
      <c r="M296" s="193"/>
      <c r="N296" s="193"/>
      <c r="O296" s="194" t="str">
        <f t="shared" si="60"/>
        <v/>
      </c>
      <c r="P296" s="194"/>
      <c r="Q296" s="241">
        <v>1.0000000000000001E-5</v>
      </c>
      <c r="R296" s="241"/>
      <c r="S296" s="241">
        <f>'ACC CAL WITH GB - Method 6'!L279</f>
        <v>2.6199999999999999E-3</v>
      </c>
      <c r="T296" s="195"/>
      <c r="U296" s="195"/>
      <c r="V296" s="195"/>
      <c r="W296" s="195"/>
      <c r="X296" s="195"/>
      <c r="Y296" s="343"/>
      <c r="Z296" s="337">
        <v>1.4E-2</v>
      </c>
      <c r="AA296" s="337">
        <v>1.4E-2</v>
      </c>
      <c r="AB296" s="337">
        <v>1.4E-2</v>
      </c>
      <c r="AC296" s="337">
        <v>1.4E-2</v>
      </c>
      <c r="AD296" s="337">
        <f t="shared" si="66"/>
        <v>1.4E-2</v>
      </c>
      <c r="AE296" s="19"/>
      <c r="AF296" s="19"/>
      <c r="AG296" s="19"/>
      <c r="AH296" s="19"/>
      <c r="AI296" s="19"/>
      <c r="AJ296" s="19"/>
    </row>
    <row r="297" spans="1:36" ht="25" customHeight="1">
      <c r="A297" s="322" t="s">
        <v>174</v>
      </c>
      <c r="B297" s="447">
        <v>10</v>
      </c>
      <c r="C297" s="448"/>
      <c r="D297" s="448" t="str">
        <f t="shared" si="56"/>
        <v/>
      </c>
      <c r="E297" s="448" t="str">
        <f t="shared" si="56"/>
        <v/>
      </c>
      <c r="F297" s="447">
        <f t="shared" si="61"/>
        <v>9.9550000000000001</v>
      </c>
      <c r="G297" s="447">
        <f t="shared" si="62"/>
        <v>10.045</v>
      </c>
      <c r="H297" s="449">
        <f t="shared" si="21"/>
        <v>4.4999999999999998E-2</v>
      </c>
      <c r="I297" s="19"/>
      <c r="J297" s="34"/>
      <c r="K297" s="191" t="str">
        <f t="shared" si="58"/>
        <v/>
      </c>
      <c r="L297" s="192" t="str">
        <f t="shared" si="59"/>
        <v/>
      </c>
      <c r="M297" s="193"/>
      <c r="N297" s="193"/>
      <c r="O297" s="194" t="str">
        <f t="shared" si="60"/>
        <v/>
      </c>
      <c r="P297" s="194"/>
      <c r="Q297" s="241">
        <v>1.0000000000000001E-5</v>
      </c>
      <c r="R297" s="241"/>
      <c r="S297" s="241">
        <f>'ACC CAL WITH GB - Method 6'!L280</f>
        <v>1.004E-2</v>
      </c>
      <c r="T297" s="195"/>
      <c r="U297" s="195"/>
      <c r="V297" s="195"/>
      <c r="W297" s="195"/>
      <c r="X297" s="195"/>
      <c r="Y297" s="343"/>
      <c r="Z297" s="337">
        <v>4.4999999999999998E-2</v>
      </c>
      <c r="AA297" s="337">
        <v>4.4999999999999998E-2</v>
      </c>
      <c r="AB297" s="337">
        <v>4.4999999999999998E-2</v>
      </c>
      <c r="AC297" s="337">
        <v>4.4999999999999998E-2</v>
      </c>
      <c r="AD297" s="337">
        <f t="shared" si="66"/>
        <v>4.4999999999999998E-2</v>
      </c>
      <c r="AE297" s="19"/>
      <c r="AF297" s="19"/>
      <c r="AG297" s="19"/>
      <c r="AH297" s="19"/>
      <c r="AI297" s="19"/>
      <c r="AJ297" s="19"/>
    </row>
    <row r="298" spans="1:36" ht="30" customHeight="1">
      <c r="A298" s="328"/>
      <c r="C298" s="230"/>
      <c r="D298" s="329"/>
      <c r="E298" s="329"/>
      <c r="H298" s="213"/>
      <c r="I298" s="214"/>
      <c r="J298" s="215"/>
      <c r="Z298" s="34"/>
      <c r="AA298" s="34"/>
      <c r="AB298" s="34"/>
      <c r="AC298" s="34"/>
      <c r="AD298" s="345"/>
      <c r="AE298" s="19"/>
      <c r="AF298" s="19"/>
      <c r="AG298" s="19"/>
      <c r="AH298" s="19"/>
      <c r="AI298" s="19"/>
      <c r="AJ298" s="19"/>
    </row>
    <row r="299" spans="1:36" s="231" customFormat="1" ht="19.75" customHeight="1">
      <c r="A299" s="76" t="s">
        <v>210</v>
      </c>
      <c r="B299" s="151"/>
      <c r="C299" s="230"/>
      <c r="D299" s="331"/>
      <c r="E299" s="331"/>
      <c r="F299" s="151"/>
      <c r="H299" s="53"/>
      <c r="I299" s="32"/>
      <c r="J299" s="232"/>
      <c r="K299" s="233"/>
      <c r="L299" s="234"/>
      <c r="M299" s="234"/>
      <c r="N299" s="234"/>
      <c r="O299" s="234"/>
      <c r="P299" s="234"/>
      <c r="Q299" s="234"/>
      <c r="R299" s="234"/>
      <c r="S299" s="234"/>
      <c r="T299" s="234"/>
      <c r="U299" s="234"/>
      <c r="V299" s="234"/>
      <c r="W299" s="234"/>
      <c r="X299" s="234"/>
      <c r="Y299" s="234"/>
      <c r="Z299" s="332"/>
      <c r="AA299" s="332"/>
      <c r="AB299" s="332"/>
      <c r="AC299" s="332"/>
      <c r="AD299" s="283"/>
    </row>
    <row r="300" spans="1:36" s="226" customFormat="1" ht="1" customHeight="1">
      <c r="A300" s="288"/>
      <c r="B300" s="225"/>
      <c r="C300" s="333"/>
      <c r="D300" s="225"/>
      <c r="E300" s="225"/>
      <c r="F300" s="225"/>
      <c r="H300" s="54"/>
      <c r="I300" s="227"/>
      <c r="J300" s="228"/>
      <c r="K300" s="229"/>
      <c r="L300" s="229"/>
      <c r="M300" s="229"/>
      <c r="N300" s="229"/>
      <c r="O300" s="229"/>
      <c r="P300" s="229"/>
      <c r="Q300" s="229"/>
      <c r="R300" s="229"/>
      <c r="S300" s="229"/>
      <c r="T300" s="229"/>
      <c r="U300" s="229"/>
      <c r="V300" s="229"/>
      <c r="W300" s="229"/>
      <c r="X300" s="229"/>
      <c r="Y300" s="229"/>
      <c r="Z300" s="334"/>
      <c r="AA300" s="334"/>
      <c r="AB300" s="334"/>
      <c r="AC300" s="334"/>
      <c r="AD300" s="335"/>
    </row>
    <row r="301" spans="1:36" ht="23.65" customHeight="1">
      <c r="A301" s="614" t="s">
        <v>163</v>
      </c>
      <c r="B301" s="616" t="s">
        <v>132</v>
      </c>
      <c r="C301" s="326"/>
      <c r="D301" s="327" t="s">
        <v>14</v>
      </c>
      <c r="E301" s="327"/>
      <c r="F301" s="616" t="s">
        <v>2</v>
      </c>
      <c r="G301" s="616" t="s">
        <v>3</v>
      </c>
      <c r="H301" s="627" t="s">
        <v>29</v>
      </c>
      <c r="I301" s="19"/>
      <c r="J301" s="33"/>
      <c r="K301" s="616" t="s">
        <v>98</v>
      </c>
      <c r="L301" s="616" t="s">
        <v>99</v>
      </c>
      <c r="M301" s="163"/>
      <c r="N301" s="163"/>
      <c r="O301" s="622" t="s">
        <v>113</v>
      </c>
      <c r="P301" s="623"/>
      <c r="Q301" s="623"/>
      <c r="R301" s="623"/>
      <c r="S301" s="623"/>
      <c r="T301" s="623"/>
      <c r="U301" s="623"/>
      <c r="V301" s="623"/>
      <c r="W301" s="623"/>
      <c r="X301" s="624"/>
      <c r="Y301" s="336"/>
      <c r="Z301" s="337"/>
      <c r="AA301" s="337" t="s">
        <v>149</v>
      </c>
      <c r="AB301" s="337"/>
      <c r="AC301" s="337" t="s">
        <v>150</v>
      </c>
      <c r="AD301" s="290"/>
      <c r="AE301" s="19"/>
      <c r="AF301" s="19"/>
      <c r="AG301" s="19"/>
      <c r="AH301" s="19"/>
      <c r="AI301" s="19"/>
      <c r="AJ301" s="19"/>
    </row>
    <row r="302" spans="1:36" ht="23.65" customHeight="1" thickBot="1">
      <c r="A302" s="615"/>
      <c r="B302" s="617"/>
      <c r="C302" s="198">
        <v>1</v>
      </c>
      <c r="D302" s="198">
        <v>2</v>
      </c>
      <c r="E302" s="198">
        <v>3</v>
      </c>
      <c r="F302" s="629"/>
      <c r="G302" s="617"/>
      <c r="H302" s="628"/>
      <c r="I302" s="19"/>
      <c r="J302" s="34"/>
      <c r="K302" s="625"/>
      <c r="L302" s="617"/>
      <c r="M302" s="163"/>
      <c r="N302" s="163"/>
      <c r="O302" s="199" t="s">
        <v>100</v>
      </c>
      <c r="P302" s="200" t="s">
        <v>101</v>
      </c>
      <c r="Q302" s="199" t="s">
        <v>102</v>
      </c>
      <c r="R302" s="200" t="s">
        <v>103</v>
      </c>
      <c r="S302" s="199" t="s">
        <v>219</v>
      </c>
      <c r="T302" s="201" t="s">
        <v>105</v>
      </c>
      <c r="U302" s="202" t="s">
        <v>106</v>
      </c>
      <c r="V302" s="202" t="s">
        <v>107</v>
      </c>
      <c r="W302" s="202" t="s">
        <v>108</v>
      </c>
      <c r="X302" s="203" t="s">
        <v>109</v>
      </c>
      <c r="Y302" s="336"/>
      <c r="Z302" s="338" t="s">
        <v>141</v>
      </c>
      <c r="AA302" s="338" t="s">
        <v>151</v>
      </c>
      <c r="AB302" s="338" t="s">
        <v>141</v>
      </c>
      <c r="AC302" s="338" t="s">
        <v>151</v>
      </c>
      <c r="AD302" s="338" t="s">
        <v>152</v>
      </c>
      <c r="AE302" s="19"/>
      <c r="AF302" s="19"/>
      <c r="AG302" s="19"/>
      <c r="AH302" s="19"/>
      <c r="AI302" s="19"/>
      <c r="AJ302" s="19"/>
    </row>
    <row r="303" spans="1:36" ht="25" customHeight="1" thickTop="1">
      <c r="A303" s="322" t="s">
        <v>164</v>
      </c>
      <c r="B303" s="405">
        <v>100</v>
      </c>
      <c r="C303" s="406"/>
      <c r="D303" s="406" t="str">
        <f t="shared" ref="D303:E315" si="67">IF($C303="","",$C303)</f>
        <v/>
      </c>
      <c r="E303" s="406" t="str">
        <f t="shared" si="67"/>
        <v/>
      </c>
      <c r="F303" s="405">
        <f t="shared" ref="F303:F339" si="68">IF(B303="","",IFERROR(B303-H303,"NA"))</f>
        <v>99.86</v>
      </c>
      <c r="G303" s="405">
        <f t="shared" ref="G303:G339" si="69">IF(B303="","",IFERROR(B303+H303,"NA"))</f>
        <v>100.14</v>
      </c>
      <c r="H303" s="407">
        <f t="shared" si="21"/>
        <v>0.14000000000000001</v>
      </c>
      <c r="I303" s="19"/>
      <c r="J303" s="34"/>
      <c r="K303" s="191" t="str">
        <f t="shared" ref="K303:K339" si="70">IF(OR(C303="NA",C303=""), "",COUNTA(C303:E303))</f>
        <v/>
      </c>
      <c r="L303" s="192" t="str">
        <f t="shared" ref="L303:L339" si="71">IF(ISTEXT(C303)=TRUE, INDEX(C303:E303,MODE(MATCH(C303:E303,C303:E303,0))),IF(C303="","",IF(C303="NA","NA",AVERAGE(C303:E303))))</f>
        <v/>
      </c>
      <c r="M303" s="193"/>
      <c r="N303" s="193"/>
      <c r="O303" s="194" t="str">
        <f t="shared" ref="O303:O339" si="72">IF(OR(ISTEXT(C303)=TRUE, C303=""),"",STDEV(C303:E303))</f>
        <v/>
      </c>
      <c r="P303" s="194"/>
      <c r="Q303" s="241">
        <v>1E-4</v>
      </c>
      <c r="R303" s="241"/>
      <c r="S303" s="241">
        <f>'ACC CAL WITH GB - Method 6'!L286</f>
        <v>3.0699999999999998E-2</v>
      </c>
      <c r="T303" s="195"/>
      <c r="U303" s="195"/>
      <c r="V303" s="195"/>
      <c r="W303" s="195"/>
      <c r="X303" s="195"/>
      <c r="Y303" s="343"/>
      <c r="Z303" s="337">
        <v>0.14000000000000001</v>
      </c>
      <c r="AA303" s="337">
        <v>0.14000000000000001</v>
      </c>
      <c r="AB303" s="337">
        <v>0.14000000000000001</v>
      </c>
      <c r="AC303" s="337">
        <v>0.14000000000000001</v>
      </c>
      <c r="AD303" s="337">
        <f t="shared" ref="AD303:AD306" si="73">IF(AD$31=1,Z303,IF(AD$31=2,AB303,IF(AD$31=3,AA303,AC303)))</f>
        <v>0.14000000000000001</v>
      </c>
      <c r="AE303" s="19"/>
      <c r="AF303" s="19"/>
      <c r="AG303" s="19"/>
      <c r="AH303" s="19"/>
      <c r="AI303" s="19"/>
      <c r="AJ303" s="19"/>
    </row>
    <row r="304" spans="1:36" ht="25" customHeight="1">
      <c r="A304" s="322" t="s">
        <v>173</v>
      </c>
      <c r="B304" s="405">
        <v>100</v>
      </c>
      <c r="C304" s="406"/>
      <c r="D304" s="406" t="str">
        <f t="shared" si="67"/>
        <v/>
      </c>
      <c r="E304" s="406" t="str">
        <f t="shared" si="67"/>
        <v/>
      </c>
      <c r="F304" s="405">
        <f t="shared" si="68"/>
        <v>99.86</v>
      </c>
      <c r="G304" s="405">
        <f t="shared" si="69"/>
        <v>100.14</v>
      </c>
      <c r="H304" s="407">
        <f t="shared" si="21"/>
        <v>0.14000000000000001</v>
      </c>
      <c r="I304" s="19"/>
      <c r="J304" s="34"/>
      <c r="K304" s="191" t="str">
        <f t="shared" si="70"/>
        <v/>
      </c>
      <c r="L304" s="192" t="str">
        <f t="shared" si="71"/>
        <v/>
      </c>
      <c r="M304" s="193"/>
      <c r="N304" s="193"/>
      <c r="O304" s="194" t="str">
        <f t="shared" si="72"/>
        <v/>
      </c>
      <c r="P304" s="194"/>
      <c r="Q304" s="241">
        <v>1E-4</v>
      </c>
      <c r="R304" s="241"/>
      <c r="S304" s="241">
        <f>'ACC CAL WITH GB - Method 6'!L287</f>
        <v>1.5700000000000002E-2</v>
      </c>
      <c r="T304" s="195"/>
      <c r="U304" s="195"/>
      <c r="V304" s="195"/>
      <c r="W304" s="195"/>
      <c r="X304" s="195"/>
      <c r="Y304" s="343"/>
      <c r="Z304" s="337">
        <v>0.14000000000000001</v>
      </c>
      <c r="AA304" s="337">
        <v>0.14000000000000001</v>
      </c>
      <c r="AB304" s="337">
        <v>0.14000000000000001</v>
      </c>
      <c r="AC304" s="337">
        <v>0.14000000000000001</v>
      </c>
      <c r="AD304" s="337">
        <f t="shared" si="73"/>
        <v>0.14000000000000001</v>
      </c>
      <c r="AE304" s="19"/>
      <c r="AF304" s="19"/>
      <c r="AG304" s="19"/>
      <c r="AH304" s="19"/>
      <c r="AI304" s="19"/>
      <c r="AJ304" s="19"/>
    </row>
    <row r="305" spans="1:36" ht="25" customHeight="1">
      <c r="A305" s="322" t="s">
        <v>216</v>
      </c>
      <c r="B305" s="405">
        <v>100</v>
      </c>
      <c r="C305" s="406"/>
      <c r="D305" s="406" t="str">
        <f t="shared" si="67"/>
        <v/>
      </c>
      <c r="E305" s="406" t="str">
        <f t="shared" si="67"/>
        <v/>
      </c>
      <c r="F305" s="405">
        <f t="shared" si="68"/>
        <v>99.86</v>
      </c>
      <c r="G305" s="405">
        <f t="shared" si="69"/>
        <v>100.14</v>
      </c>
      <c r="H305" s="407">
        <f t="shared" si="21"/>
        <v>0.14000000000000001</v>
      </c>
      <c r="I305" s="19"/>
      <c r="J305" s="34"/>
      <c r="K305" s="191" t="str">
        <f t="shared" si="70"/>
        <v/>
      </c>
      <c r="L305" s="192" t="str">
        <f t="shared" si="71"/>
        <v/>
      </c>
      <c r="M305" s="193"/>
      <c r="N305" s="193"/>
      <c r="O305" s="194" t="str">
        <f t="shared" si="72"/>
        <v/>
      </c>
      <c r="P305" s="194"/>
      <c r="Q305" s="241">
        <v>1E-4</v>
      </c>
      <c r="R305" s="241"/>
      <c r="S305" s="241">
        <f>'ACC CAL WITH GB - Method 6'!L288</f>
        <v>2.4400000000000002E-2</v>
      </c>
      <c r="T305" s="195"/>
      <c r="U305" s="195"/>
      <c r="V305" s="195"/>
      <c r="W305" s="195"/>
      <c r="X305" s="195"/>
      <c r="Y305" s="343"/>
      <c r="Z305" s="337">
        <v>0.14000000000000001</v>
      </c>
      <c r="AA305" s="337">
        <v>0.14000000000000001</v>
      </c>
      <c r="AB305" s="337">
        <v>0.14000000000000001</v>
      </c>
      <c r="AC305" s="337">
        <v>0.14000000000000001</v>
      </c>
      <c r="AD305" s="337">
        <f t="shared" si="73"/>
        <v>0.14000000000000001</v>
      </c>
      <c r="AE305" s="19"/>
      <c r="AF305" s="19"/>
      <c r="AG305" s="19"/>
      <c r="AH305" s="19"/>
      <c r="AI305" s="19"/>
      <c r="AJ305" s="19"/>
    </row>
    <row r="306" spans="1:36" ht="25" customHeight="1">
      <c r="A306" s="322" t="s">
        <v>174</v>
      </c>
      <c r="B306" s="405">
        <v>100</v>
      </c>
      <c r="C306" s="406"/>
      <c r="D306" s="406" t="str">
        <f t="shared" si="67"/>
        <v/>
      </c>
      <c r="E306" s="406" t="str">
        <f t="shared" si="67"/>
        <v/>
      </c>
      <c r="F306" s="405">
        <f t="shared" si="68"/>
        <v>99.55</v>
      </c>
      <c r="G306" s="405">
        <f t="shared" si="69"/>
        <v>100.45</v>
      </c>
      <c r="H306" s="407">
        <f t="shared" si="21"/>
        <v>0.45</v>
      </c>
      <c r="I306" s="19"/>
      <c r="J306" s="34"/>
      <c r="K306" s="191" t="str">
        <f t="shared" si="70"/>
        <v/>
      </c>
      <c r="L306" s="192" t="str">
        <f t="shared" si="71"/>
        <v/>
      </c>
      <c r="M306" s="193"/>
      <c r="N306" s="193"/>
      <c r="O306" s="194" t="str">
        <f t="shared" si="72"/>
        <v/>
      </c>
      <c r="P306" s="194"/>
      <c r="Q306" s="241">
        <v>1E-4</v>
      </c>
      <c r="R306" s="241"/>
      <c r="S306" s="241">
        <f>'ACC CAL WITH GB - Method 6'!L289</f>
        <v>0.11</v>
      </c>
      <c r="T306" s="195"/>
      <c r="U306" s="195"/>
      <c r="V306" s="195"/>
      <c r="W306" s="195"/>
      <c r="X306" s="195"/>
      <c r="Y306" s="343"/>
      <c r="Z306" s="337">
        <v>0.45</v>
      </c>
      <c r="AA306" s="337">
        <v>0.45</v>
      </c>
      <c r="AB306" s="337">
        <v>0.45</v>
      </c>
      <c r="AC306" s="337">
        <v>0.45</v>
      </c>
      <c r="AD306" s="337">
        <f t="shared" si="73"/>
        <v>0.45</v>
      </c>
      <c r="AE306" s="19"/>
      <c r="AF306" s="19"/>
      <c r="AG306" s="19"/>
      <c r="AH306" s="19"/>
      <c r="AI306" s="19"/>
      <c r="AJ306" s="19"/>
    </row>
    <row r="307" spans="1:36" ht="30" customHeight="1">
      <c r="A307" s="328"/>
      <c r="C307" s="230"/>
      <c r="D307" s="329"/>
      <c r="E307" s="329"/>
      <c r="H307" s="213"/>
      <c r="I307" s="214"/>
      <c r="J307" s="215"/>
      <c r="Z307" s="34"/>
      <c r="AA307" s="34"/>
      <c r="AB307" s="34"/>
      <c r="AC307" s="34"/>
      <c r="AD307" s="345"/>
      <c r="AE307" s="19"/>
      <c r="AF307" s="19"/>
      <c r="AG307" s="19"/>
      <c r="AH307" s="19"/>
      <c r="AI307" s="19"/>
      <c r="AJ307" s="19"/>
    </row>
    <row r="308" spans="1:36" s="231" customFormat="1" ht="19.899999999999999" customHeight="1">
      <c r="A308" s="76" t="s">
        <v>211</v>
      </c>
      <c r="B308" s="151"/>
      <c r="C308" s="230"/>
      <c r="D308" s="331"/>
      <c r="E308" s="331"/>
      <c r="F308" s="151"/>
      <c r="H308" s="53"/>
      <c r="I308" s="32"/>
      <c r="J308" s="232"/>
      <c r="K308" s="233"/>
      <c r="L308" s="234"/>
      <c r="M308" s="234"/>
      <c r="N308" s="234"/>
      <c r="O308" s="234"/>
      <c r="P308" s="234"/>
      <c r="Q308" s="234"/>
      <c r="R308" s="234"/>
      <c r="S308" s="234"/>
      <c r="T308" s="234"/>
      <c r="U308" s="234"/>
      <c r="V308" s="234"/>
      <c r="W308" s="234"/>
      <c r="X308" s="234"/>
      <c r="Y308" s="234"/>
      <c r="Z308" s="332"/>
      <c r="AA308" s="332"/>
      <c r="AB308" s="332"/>
      <c r="AC308" s="332"/>
      <c r="AD308" s="283"/>
    </row>
    <row r="309" spans="1:36" s="226" customFormat="1" ht="0.75" customHeight="1">
      <c r="A309" s="288"/>
      <c r="B309" s="225"/>
      <c r="C309" s="333"/>
      <c r="D309" s="225"/>
      <c r="E309" s="225"/>
      <c r="F309" s="225"/>
      <c r="H309" s="54"/>
      <c r="I309" s="227"/>
      <c r="J309" s="228"/>
      <c r="K309" s="229"/>
      <c r="L309" s="229"/>
      <c r="M309" s="229"/>
      <c r="N309" s="229"/>
      <c r="O309" s="229"/>
      <c r="P309" s="229"/>
      <c r="Q309" s="229"/>
      <c r="R309" s="229"/>
      <c r="S309" s="229"/>
      <c r="T309" s="229"/>
      <c r="U309" s="229"/>
      <c r="V309" s="229"/>
      <c r="W309" s="229"/>
      <c r="X309" s="229"/>
      <c r="Y309" s="229"/>
      <c r="Z309" s="334"/>
      <c r="AA309" s="334"/>
      <c r="AB309" s="334"/>
      <c r="AC309" s="334"/>
      <c r="AD309" s="335"/>
    </row>
    <row r="310" spans="1:36" ht="23.65" customHeight="1">
      <c r="A310" s="614" t="s">
        <v>163</v>
      </c>
      <c r="B310" s="616" t="s">
        <v>132</v>
      </c>
      <c r="C310" s="326"/>
      <c r="D310" s="327" t="s">
        <v>14</v>
      </c>
      <c r="E310" s="327"/>
      <c r="F310" s="616" t="s">
        <v>2</v>
      </c>
      <c r="G310" s="616" t="s">
        <v>3</v>
      </c>
      <c r="H310" s="627" t="s">
        <v>29</v>
      </c>
      <c r="I310" s="19"/>
      <c r="J310" s="33"/>
      <c r="K310" s="616" t="s">
        <v>98</v>
      </c>
      <c r="L310" s="616" t="s">
        <v>99</v>
      </c>
      <c r="M310" s="163"/>
      <c r="N310" s="163"/>
      <c r="O310" s="622" t="s">
        <v>113</v>
      </c>
      <c r="P310" s="623"/>
      <c r="Q310" s="623"/>
      <c r="R310" s="623"/>
      <c r="S310" s="623"/>
      <c r="T310" s="623"/>
      <c r="U310" s="623"/>
      <c r="V310" s="623"/>
      <c r="W310" s="623"/>
      <c r="X310" s="624"/>
      <c r="Y310" s="336"/>
      <c r="Z310" s="337"/>
      <c r="AA310" s="337" t="s">
        <v>149</v>
      </c>
      <c r="AB310" s="337"/>
      <c r="AC310" s="337" t="s">
        <v>150</v>
      </c>
      <c r="AD310" s="290"/>
      <c r="AE310" s="19"/>
      <c r="AF310" s="19"/>
      <c r="AG310" s="19"/>
      <c r="AH310" s="19"/>
      <c r="AI310" s="19"/>
      <c r="AJ310" s="19"/>
    </row>
    <row r="311" spans="1:36" ht="23.65" customHeight="1" thickBot="1">
      <c r="A311" s="615"/>
      <c r="B311" s="617"/>
      <c r="C311" s="198">
        <v>1</v>
      </c>
      <c r="D311" s="198">
        <v>2</v>
      </c>
      <c r="E311" s="198">
        <v>3</v>
      </c>
      <c r="F311" s="629"/>
      <c r="G311" s="617"/>
      <c r="H311" s="628"/>
      <c r="I311" s="19"/>
      <c r="J311" s="34"/>
      <c r="K311" s="625"/>
      <c r="L311" s="617"/>
      <c r="M311" s="163"/>
      <c r="N311" s="163"/>
      <c r="O311" s="199" t="s">
        <v>100</v>
      </c>
      <c r="P311" s="200" t="s">
        <v>101</v>
      </c>
      <c r="Q311" s="199" t="s">
        <v>102</v>
      </c>
      <c r="R311" s="200" t="s">
        <v>103</v>
      </c>
      <c r="S311" s="199" t="s">
        <v>219</v>
      </c>
      <c r="T311" s="201" t="s">
        <v>105</v>
      </c>
      <c r="U311" s="202" t="s">
        <v>106</v>
      </c>
      <c r="V311" s="202" t="s">
        <v>107</v>
      </c>
      <c r="W311" s="202" t="s">
        <v>108</v>
      </c>
      <c r="X311" s="203" t="s">
        <v>109</v>
      </c>
      <c r="Y311" s="336"/>
      <c r="Z311" s="338" t="s">
        <v>141</v>
      </c>
      <c r="AA311" s="338" t="s">
        <v>151</v>
      </c>
      <c r="AB311" s="338" t="s">
        <v>141</v>
      </c>
      <c r="AC311" s="338" t="s">
        <v>151</v>
      </c>
      <c r="AD311" s="338" t="s">
        <v>152</v>
      </c>
      <c r="AE311" s="19"/>
      <c r="AF311" s="19"/>
      <c r="AG311" s="19"/>
      <c r="AH311" s="19"/>
      <c r="AI311" s="19"/>
      <c r="AJ311" s="19"/>
    </row>
    <row r="312" spans="1:36" ht="25" customHeight="1" thickTop="1">
      <c r="A312" s="322" t="s">
        <v>164</v>
      </c>
      <c r="B312" s="451">
        <v>329</v>
      </c>
      <c r="C312" s="452"/>
      <c r="D312" s="452" t="str">
        <f t="shared" si="67"/>
        <v/>
      </c>
      <c r="E312" s="452" t="str">
        <f t="shared" si="67"/>
        <v/>
      </c>
      <c r="F312" s="451">
        <f t="shared" si="68"/>
        <v>327.613</v>
      </c>
      <c r="G312" s="451">
        <f t="shared" si="69"/>
        <v>330.387</v>
      </c>
      <c r="H312" s="453">
        <f t="shared" ref="H312:H339" si="74">AD312</f>
        <v>1.387</v>
      </c>
      <c r="I312" s="19"/>
      <c r="J312" s="34"/>
      <c r="K312" s="191" t="str">
        <f t="shared" si="70"/>
        <v/>
      </c>
      <c r="L312" s="192" t="str">
        <f t="shared" si="71"/>
        <v/>
      </c>
      <c r="M312" s="193"/>
      <c r="N312" s="193"/>
      <c r="O312" s="194" t="str">
        <f t="shared" si="72"/>
        <v/>
      </c>
      <c r="P312" s="194"/>
      <c r="Q312" s="241">
        <v>1E-3</v>
      </c>
      <c r="R312" s="241"/>
      <c r="S312" s="241">
        <f>'ACC CAL WITH GB - Method 6'!L295</f>
        <v>0.124488</v>
      </c>
      <c r="T312" s="195"/>
      <c r="U312" s="195"/>
      <c r="V312" s="195"/>
      <c r="W312" s="195"/>
      <c r="X312" s="195"/>
      <c r="Y312" s="343"/>
      <c r="Z312" s="337">
        <v>1.387</v>
      </c>
      <c r="AA312" s="337">
        <v>1.387</v>
      </c>
      <c r="AB312" s="337">
        <v>1.387</v>
      </c>
      <c r="AC312" s="337">
        <v>1.387</v>
      </c>
      <c r="AD312" s="337">
        <f t="shared" ref="AD312:AD315" si="75">IF(AD$31=1,Z312,IF(AD$31=2,AB312,IF(AD$31=3,AA312,AC312)))</f>
        <v>1.387</v>
      </c>
      <c r="AE312" s="19"/>
      <c r="AF312" s="19"/>
      <c r="AG312" s="19"/>
      <c r="AH312" s="19"/>
      <c r="AI312" s="19"/>
      <c r="AJ312" s="19"/>
    </row>
    <row r="313" spans="1:36" ht="25" customHeight="1">
      <c r="A313" s="322" t="s">
        <v>173</v>
      </c>
      <c r="B313" s="451">
        <v>329</v>
      </c>
      <c r="C313" s="452"/>
      <c r="D313" s="452" t="str">
        <f t="shared" si="67"/>
        <v/>
      </c>
      <c r="E313" s="452" t="str">
        <f t="shared" si="67"/>
        <v/>
      </c>
      <c r="F313" s="451">
        <f t="shared" si="68"/>
        <v>328.27100000000002</v>
      </c>
      <c r="G313" s="451">
        <f t="shared" si="69"/>
        <v>329.72899999999998</v>
      </c>
      <c r="H313" s="453">
        <f t="shared" si="74"/>
        <v>0.72899999999999998</v>
      </c>
      <c r="I313" s="19"/>
      <c r="J313" s="34"/>
      <c r="K313" s="191" t="str">
        <f t="shared" si="70"/>
        <v/>
      </c>
      <c r="L313" s="192" t="str">
        <f t="shared" si="71"/>
        <v/>
      </c>
      <c r="M313" s="193"/>
      <c r="N313" s="193"/>
      <c r="O313" s="194" t="str">
        <f t="shared" si="72"/>
        <v/>
      </c>
      <c r="P313" s="194"/>
      <c r="Q313" s="241">
        <v>1E-3</v>
      </c>
      <c r="R313" s="241"/>
      <c r="S313" s="241">
        <f>'ACC CAL WITH GB - Method 6'!L296</f>
        <v>0.124488</v>
      </c>
      <c r="T313" s="195"/>
      <c r="U313" s="195"/>
      <c r="V313" s="195"/>
      <c r="W313" s="195"/>
      <c r="X313" s="195"/>
      <c r="Y313" s="343"/>
      <c r="Z313" s="337">
        <v>0.72899999999999998</v>
      </c>
      <c r="AA313" s="337">
        <v>0.72899999999999998</v>
      </c>
      <c r="AB313" s="337">
        <v>0.72899999999999998</v>
      </c>
      <c r="AC313" s="337">
        <v>0.72899999999999998</v>
      </c>
      <c r="AD313" s="337">
        <f t="shared" si="75"/>
        <v>0.72899999999999998</v>
      </c>
      <c r="AE313" s="19"/>
      <c r="AF313" s="19"/>
      <c r="AG313" s="19"/>
      <c r="AH313" s="19"/>
      <c r="AI313" s="19"/>
      <c r="AJ313" s="19"/>
    </row>
    <row r="314" spans="1:36" ht="25" customHeight="1">
      <c r="A314" s="322" t="s">
        <v>216</v>
      </c>
      <c r="B314" s="451">
        <v>329</v>
      </c>
      <c r="C314" s="452"/>
      <c r="D314" s="452" t="str">
        <f t="shared" si="67"/>
        <v/>
      </c>
      <c r="E314" s="452" t="str">
        <f t="shared" si="67"/>
        <v/>
      </c>
      <c r="F314" s="451">
        <f t="shared" si="68"/>
        <v>325.54199999999997</v>
      </c>
      <c r="G314" s="451">
        <f t="shared" si="69"/>
        <v>332.45800000000003</v>
      </c>
      <c r="H314" s="453">
        <f t="shared" si="74"/>
        <v>3.4580000000000002</v>
      </c>
      <c r="I314" s="19"/>
      <c r="J314" s="34"/>
      <c r="K314" s="191" t="str">
        <f t="shared" si="70"/>
        <v/>
      </c>
      <c r="L314" s="192" t="str">
        <f t="shared" si="71"/>
        <v/>
      </c>
      <c r="M314" s="193"/>
      <c r="N314" s="193"/>
      <c r="O314" s="194" t="str">
        <f t="shared" si="72"/>
        <v/>
      </c>
      <c r="P314" s="194"/>
      <c r="Q314" s="241">
        <v>1E-3</v>
      </c>
      <c r="R314" s="241"/>
      <c r="S314" s="241">
        <f>'ACC CAL WITH GB - Method 6'!L297</f>
        <v>0.22508899999999998</v>
      </c>
      <c r="T314" s="195"/>
      <c r="U314" s="195"/>
      <c r="V314" s="195"/>
      <c r="W314" s="195"/>
      <c r="X314" s="195"/>
      <c r="Y314" s="343"/>
      <c r="Z314" s="337">
        <v>3.4580000000000002</v>
      </c>
      <c r="AA314" s="337">
        <v>3.4580000000000002</v>
      </c>
      <c r="AB314" s="337">
        <v>3.4580000000000002</v>
      </c>
      <c r="AC314" s="337">
        <v>3.4580000000000002</v>
      </c>
      <c r="AD314" s="337">
        <f t="shared" si="75"/>
        <v>3.4580000000000002</v>
      </c>
      <c r="AE314" s="19"/>
      <c r="AF314" s="19"/>
      <c r="AG314" s="19"/>
      <c r="AH314" s="19"/>
      <c r="AI314" s="19"/>
      <c r="AJ314" s="19"/>
    </row>
    <row r="315" spans="1:36" ht="25" customHeight="1">
      <c r="A315" s="322" t="s">
        <v>174</v>
      </c>
      <c r="B315" s="451">
        <v>329</v>
      </c>
      <c r="C315" s="452"/>
      <c r="D315" s="452" t="str">
        <f t="shared" si="67"/>
        <v/>
      </c>
      <c r="E315" s="452" t="str">
        <f t="shared" si="67"/>
        <v/>
      </c>
      <c r="F315" s="451">
        <f t="shared" si="68"/>
        <v>325.54199999999997</v>
      </c>
      <c r="G315" s="451">
        <f t="shared" si="69"/>
        <v>332.45800000000003</v>
      </c>
      <c r="H315" s="453">
        <f t="shared" si="74"/>
        <v>3.4580000000000002</v>
      </c>
      <c r="I315" s="19"/>
      <c r="J315" s="34"/>
      <c r="K315" s="191" t="str">
        <f t="shared" si="70"/>
        <v/>
      </c>
      <c r="L315" s="192" t="str">
        <f t="shared" si="71"/>
        <v/>
      </c>
      <c r="M315" s="193"/>
      <c r="N315" s="193"/>
      <c r="O315" s="194" t="str">
        <f t="shared" si="72"/>
        <v/>
      </c>
      <c r="P315" s="194"/>
      <c r="Q315" s="241">
        <v>1E-3</v>
      </c>
      <c r="R315" s="241"/>
      <c r="S315" s="241">
        <f>'ACC CAL WITH GB - Method 6'!L298</f>
        <v>2.3972000000000002</v>
      </c>
      <c r="T315" s="195"/>
      <c r="U315" s="195"/>
      <c r="V315" s="195"/>
      <c r="W315" s="195"/>
      <c r="X315" s="195"/>
      <c r="Y315" s="343"/>
      <c r="Z315" s="337">
        <v>3.4580000000000002</v>
      </c>
      <c r="AA315" s="337">
        <v>3.4580000000000002</v>
      </c>
      <c r="AB315" s="337">
        <v>3.4580000000000002</v>
      </c>
      <c r="AC315" s="337">
        <v>3.4580000000000002</v>
      </c>
      <c r="AD315" s="337">
        <f t="shared" si="75"/>
        <v>3.4580000000000002</v>
      </c>
      <c r="AE315" s="19"/>
      <c r="AF315" s="19"/>
      <c r="AG315" s="19"/>
      <c r="AH315" s="19"/>
      <c r="AI315" s="19"/>
      <c r="AJ315" s="19"/>
    </row>
    <row r="316" spans="1:36" ht="30" customHeight="1">
      <c r="A316" s="328"/>
      <c r="C316" s="230"/>
      <c r="D316" s="329"/>
      <c r="E316" s="329"/>
      <c r="H316" s="213"/>
      <c r="I316" s="214"/>
      <c r="J316" s="215"/>
      <c r="Z316" s="34"/>
      <c r="AA316" s="34"/>
      <c r="AB316" s="34"/>
      <c r="AC316" s="34"/>
      <c r="AD316" s="345"/>
      <c r="AE316" s="19"/>
      <c r="AF316" s="19"/>
      <c r="AG316" s="19"/>
      <c r="AH316" s="19"/>
      <c r="AI316" s="19"/>
      <c r="AJ316" s="19"/>
    </row>
    <row r="317" spans="1:36" s="231" customFormat="1" ht="19.899999999999999" customHeight="1">
      <c r="A317" s="454" t="s">
        <v>212</v>
      </c>
      <c r="B317" s="151"/>
      <c r="C317" s="230"/>
      <c r="D317" s="331"/>
      <c r="E317" s="331"/>
      <c r="F317" s="151"/>
      <c r="H317" s="53"/>
      <c r="I317" s="32"/>
      <c r="J317" s="232"/>
      <c r="K317" s="233"/>
      <c r="L317" s="234"/>
      <c r="M317" s="234"/>
      <c r="N317" s="234"/>
      <c r="O317" s="234"/>
      <c r="P317" s="234"/>
      <c r="Q317" s="234"/>
      <c r="R317" s="234"/>
      <c r="S317" s="234"/>
      <c r="T317" s="234"/>
      <c r="U317" s="234"/>
      <c r="V317" s="234"/>
      <c r="W317" s="234"/>
      <c r="X317" s="234"/>
      <c r="Y317" s="234"/>
      <c r="Z317" s="332"/>
      <c r="AA317" s="332"/>
      <c r="AB317" s="332"/>
      <c r="AC317" s="332"/>
      <c r="AD317" s="283"/>
    </row>
    <row r="318" spans="1:36" s="226" customFormat="1" ht="3" customHeight="1">
      <c r="A318" s="288"/>
      <c r="B318" s="225"/>
      <c r="C318" s="333"/>
      <c r="D318" s="225"/>
      <c r="E318" s="225"/>
      <c r="F318" s="225"/>
      <c r="H318" s="54"/>
      <c r="I318" s="227"/>
      <c r="J318" s="228"/>
      <c r="K318" s="229"/>
      <c r="L318" s="229"/>
      <c r="M318" s="229"/>
      <c r="N318" s="229"/>
      <c r="O318" s="229"/>
      <c r="P318" s="229"/>
      <c r="Q318" s="229"/>
      <c r="R318" s="229"/>
      <c r="S318" s="229"/>
      <c r="T318" s="229"/>
      <c r="U318" s="229"/>
      <c r="V318" s="229"/>
      <c r="W318" s="229"/>
      <c r="X318" s="229"/>
      <c r="Y318" s="229"/>
      <c r="Z318" s="334"/>
      <c r="AA318" s="334"/>
      <c r="AB318" s="334"/>
      <c r="AC318" s="334"/>
      <c r="AD318" s="335"/>
    </row>
    <row r="319" spans="1:36" ht="23.65" customHeight="1">
      <c r="A319" s="614" t="s">
        <v>163</v>
      </c>
      <c r="B319" s="616" t="s">
        <v>132</v>
      </c>
      <c r="C319" s="326"/>
      <c r="D319" s="327" t="s">
        <v>14</v>
      </c>
      <c r="E319" s="327"/>
      <c r="F319" s="616" t="s">
        <v>2</v>
      </c>
      <c r="G319" s="616" t="s">
        <v>3</v>
      </c>
      <c r="H319" s="627" t="s">
        <v>29</v>
      </c>
      <c r="I319" s="19"/>
      <c r="J319" s="33"/>
      <c r="K319" s="616" t="s">
        <v>98</v>
      </c>
      <c r="L319" s="616" t="s">
        <v>99</v>
      </c>
      <c r="M319" s="163"/>
      <c r="N319" s="163"/>
      <c r="O319" s="622" t="s">
        <v>113</v>
      </c>
      <c r="P319" s="623"/>
      <c r="Q319" s="623"/>
      <c r="R319" s="623"/>
      <c r="S319" s="623"/>
      <c r="T319" s="623"/>
      <c r="U319" s="623"/>
      <c r="V319" s="623"/>
      <c r="W319" s="623"/>
      <c r="X319" s="624"/>
      <c r="Y319" s="336"/>
      <c r="Z319" s="337"/>
      <c r="AA319" s="337" t="s">
        <v>149</v>
      </c>
      <c r="AB319" s="337"/>
      <c r="AC319" s="337" t="s">
        <v>150</v>
      </c>
      <c r="AD319" s="290"/>
      <c r="AE319" s="19"/>
      <c r="AF319" s="19"/>
      <c r="AG319" s="19"/>
      <c r="AH319" s="19"/>
      <c r="AI319" s="19"/>
      <c r="AJ319" s="19"/>
    </row>
    <row r="320" spans="1:36" ht="23.65" customHeight="1" thickBot="1">
      <c r="A320" s="615"/>
      <c r="B320" s="617"/>
      <c r="C320" s="198">
        <v>1</v>
      </c>
      <c r="D320" s="198">
        <v>2</v>
      </c>
      <c r="E320" s="198">
        <v>3</v>
      </c>
      <c r="F320" s="629"/>
      <c r="G320" s="617"/>
      <c r="H320" s="628"/>
      <c r="I320" s="19"/>
      <c r="J320" s="34"/>
      <c r="K320" s="625"/>
      <c r="L320" s="617"/>
      <c r="M320" s="163"/>
      <c r="N320" s="163"/>
      <c r="O320" s="199" t="s">
        <v>100</v>
      </c>
      <c r="P320" s="200" t="s">
        <v>101</v>
      </c>
      <c r="Q320" s="199" t="s">
        <v>102</v>
      </c>
      <c r="R320" s="200" t="s">
        <v>103</v>
      </c>
      <c r="S320" s="199" t="s">
        <v>219</v>
      </c>
      <c r="T320" s="201" t="s">
        <v>105</v>
      </c>
      <c r="U320" s="202" t="s">
        <v>106</v>
      </c>
      <c r="V320" s="202" t="s">
        <v>107</v>
      </c>
      <c r="W320" s="202" t="s">
        <v>108</v>
      </c>
      <c r="X320" s="203" t="s">
        <v>109</v>
      </c>
      <c r="Y320" s="336"/>
      <c r="Z320" s="338" t="s">
        <v>141</v>
      </c>
      <c r="AA320" s="338" t="s">
        <v>151</v>
      </c>
      <c r="AB320" s="338" t="s">
        <v>141</v>
      </c>
      <c r="AC320" s="338" t="s">
        <v>151</v>
      </c>
      <c r="AD320" s="338" t="s">
        <v>152</v>
      </c>
      <c r="AE320" s="19"/>
      <c r="AF320" s="19"/>
      <c r="AG320" s="19"/>
      <c r="AH320" s="19"/>
      <c r="AI320" s="19"/>
      <c r="AJ320" s="19"/>
    </row>
    <row r="321" spans="1:36" ht="25" customHeight="1" thickTop="1">
      <c r="A321" s="322" t="s">
        <v>172</v>
      </c>
      <c r="B321" s="456">
        <v>1</v>
      </c>
      <c r="C321" s="457"/>
      <c r="D321" s="457" t="str">
        <f t="shared" ref="D321:E339" si="76">IF($C321="","",$C321)</f>
        <v/>
      </c>
      <c r="E321" s="457" t="str">
        <f t="shared" si="76"/>
        <v/>
      </c>
      <c r="F321" s="456">
        <f t="shared" si="68"/>
        <v>0.99860000000000004</v>
      </c>
      <c r="G321" s="456">
        <f t="shared" si="69"/>
        <v>1.0014000000000001</v>
      </c>
      <c r="H321" s="458">
        <f t="shared" si="74"/>
        <v>1.4E-3</v>
      </c>
      <c r="I321" s="19"/>
      <c r="J321" s="34"/>
      <c r="K321" s="191" t="str">
        <f t="shared" si="70"/>
        <v/>
      </c>
      <c r="L321" s="192" t="str">
        <f t="shared" si="71"/>
        <v/>
      </c>
      <c r="M321" s="193"/>
      <c r="N321" s="193"/>
      <c r="O321" s="194" t="str">
        <f t="shared" si="72"/>
        <v/>
      </c>
      <c r="P321" s="194"/>
      <c r="Q321" s="241">
        <v>9.9999999999999995E-7</v>
      </c>
      <c r="R321" s="241"/>
      <c r="S321" s="241">
        <f>'ACC CAL WITH GB - Method 6'!L304</f>
        <v>3.0699999999999998E-4</v>
      </c>
      <c r="T321" s="195"/>
      <c r="U321" s="195"/>
      <c r="V321" s="195"/>
      <c r="W321" s="195"/>
      <c r="X321" s="195"/>
      <c r="Y321" s="343"/>
      <c r="Z321" s="337">
        <v>1.4E-3</v>
      </c>
      <c r="AA321" s="337">
        <v>1.4E-3</v>
      </c>
      <c r="AB321" s="337">
        <v>1.4E-3</v>
      </c>
      <c r="AC321" s="337">
        <v>1.4E-3</v>
      </c>
      <c r="AD321" s="337">
        <f t="shared" ref="AD321:AD324" si="77">IF(AD$31=1,Z321,IF(AD$31=2,AB321,IF(AD$31=3,AA321,AC321)))</f>
        <v>1.4E-3</v>
      </c>
      <c r="AE321" s="19"/>
      <c r="AF321" s="19"/>
      <c r="AG321" s="19"/>
      <c r="AH321" s="19"/>
      <c r="AI321" s="19"/>
      <c r="AJ321" s="19"/>
    </row>
    <row r="322" spans="1:36" ht="25" customHeight="1">
      <c r="A322" s="322" t="s">
        <v>173</v>
      </c>
      <c r="B322" s="456">
        <v>1</v>
      </c>
      <c r="C322" s="457"/>
      <c r="D322" s="457" t="str">
        <f t="shared" si="76"/>
        <v/>
      </c>
      <c r="E322" s="457" t="str">
        <f t="shared" si="76"/>
        <v/>
      </c>
      <c r="F322" s="456">
        <f t="shared" si="68"/>
        <v>0.99860000000000004</v>
      </c>
      <c r="G322" s="456">
        <f t="shared" si="69"/>
        <v>1.0014000000000001</v>
      </c>
      <c r="H322" s="458">
        <f t="shared" si="74"/>
        <v>1.4E-3</v>
      </c>
      <c r="I322" s="19"/>
      <c r="J322" s="34"/>
      <c r="K322" s="191" t="str">
        <f t="shared" si="70"/>
        <v/>
      </c>
      <c r="L322" s="192" t="str">
        <f t="shared" si="71"/>
        <v/>
      </c>
      <c r="M322" s="193"/>
      <c r="N322" s="193"/>
      <c r="O322" s="194" t="str">
        <f t="shared" si="72"/>
        <v/>
      </c>
      <c r="P322" s="194"/>
      <c r="Q322" s="241">
        <v>9.9999999999999995E-7</v>
      </c>
      <c r="R322" s="241"/>
      <c r="S322" s="241">
        <f>'ACC CAL WITH GB - Method 6'!L305</f>
        <v>3.0699999999999998E-4</v>
      </c>
      <c r="T322" s="195"/>
      <c r="U322" s="195"/>
      <c r="V322" s="195"/>
      <c r="W322" s="195"/>
      <c r="X322" s="195"/>
      <c r="Y322" s="343"/>
      <c r="Z322" s="337">
        <v>1.4E-3</v>
      </c>
      <c r="AA322" s="337">
        <v>1.4E-3</v>
      </c>
      <c r="AB322" s="337">
        <v>1.4E-3</v>
      </c>
      <c r="AC322" s="337">
        <v>1.4E-3</v>
      </c>
      <c r="AD322" s="337">
        <f t="shared" si="77"/>
        <v>1.4E-3</v>
      </c>
      <c r="AE322" s="19"/>
      <c r="AF322" s="19"/>
      <c r="AG322" s="19"/>
      <c r="AH322" s="19"/>
      <c r="AI322" s="19"/>
      <c r="AJ322" s="19"/>
    </row>
    <row r="323" spans="1:36" ht="25" customHeight="1">
      <c r="A323" s="322" t="s">
        <v>216</v>
      </c>
      <c r="B323" s="456">
        <v>1</v>
      </c>
      <c r="C323" s="457"/>
      <c r="D323" s="457" t="str">
        <f t="shared" si="76"/>
        <v/>
      </c>
      <c r="E323" s="457" t="str">
        <f t="shared" si="76"/>
        <v/>
      </c>
      <c r="F323" s="456">
        <f t="shared" si="68"/>
        <v>0.99860000000000004</v>
      </c>
      <c r="G323" s="456">
        <f t="shared" si="69"/>
        <v>1.0014000000000001</v>
      </c>
      <c r="H323" s="458">
        <f t="shared" si="74"/>
        <v>1.4E-3</v>
      </c>
      <c r="I323" s="19"/>
      <c r="J323" s="34"/>
      <c r="K323" s="191" t="str">
        <f t="shared" si="70"/>
        <v/>
      </c>
      <c r="L323" s="192" t="str">
        <f t="shared" si="71"/>
        <v/>
      </c>
      <c r="M323" s="193"/>
      <c r="N323" s="193"/>
      <c r="O323" s="194" t="str">
        <f t="shared" si="72"/>
        <v/>
      </c>
      <c r="P323" s="194"/>
      <c r="Q323" s="241">
        <v>9.9999999999999995E-7</v>
      </c>
      <c r="R323" s="241"/>
      <c r="S323" s="241">
        <f>'ACC CAL WITH GB - Method 6'!L306</f>
        <v>5.2099999999999998E-4</v>
      </c>
      <c r="T323" s="195"/>
      <c r="U323" s="195"/>
      <c r="V323" s="195"/>
      <c r="W323" s="195"/>
      <c r="X323" s="195"/>
      <c r="Y323" s="343"/>
      <c r="Z323" s="337">
        <v>1.4E-3</v>
      </c>
      <c r="AA323" s="337">
        <v>1.4E-3</v>
      </c>
      <c r="AB323" s="337">
        <v>1.4E-3</v>
      </c>
      <c r="AC323" s="337">
        <v>1.4E-3</v>
      </c>
      <c r="AD323" s="337">
        <f t="shared" si="77"/>
        <v>1.4E-3</v>
      </c>
      <c r="AE323" s="19"/>
      <c r="AF323" s="19"/>
      <c r="AG323" s="19"/>
      <c r="AH323" s="19"/>
      <c r="AI323" s="19"/>
      <c r="AJ323" s="19"/>
    </row>
    <row r="324" spans="1:36" ht="25" customHeight="1">
      <c r="A324" s="322" t="s">
        <v>174</v>
      </c>
      <c r="B324" s="456">
        <v>1</v>
      </c>
      <c r="C324" s="457"/>
      <c r="D324" s="457" t="str">
        <f t="shared" si="76"/>
        <v/>
      </c>
      <c r="E324" s="457" t="str">
        <f t="shared" si="76"/>
        <v/>
      </c>
      <c r="F324" s="456">
        <f t="shared" si="68"/>
        <v>0.98950000000000005</v>
      </c>
      <c r="G324" s="456">
        <f t="shared" si="69"/>
        <v>1.0105</v>
      </c>
      <c r="H324" s="458">
        <f t="shared" si="74"/>
        <v>1.0500000000000001E-2</v>
      </c>
      <c r="I324" s="19"/>
      <c r="J324" s="34"/>
      <c r="K324" s="191" t="str">
        <f t="shared" si="70"/>
        <v/>
      </c>
      <c r="L324" s="192" t="str">
        <f t="shared" si="71"/>
        <v/>
      </c>
      <c r="M324" s="193"/>
      <c r="N324" s="193"/>
      <c r="O324" s="194" t="str">
        <f t="shared" si="72"/>
        <v/>
      </c>
      <c r="P324" s="194"/>
      <c r="Q324" s="241">
        <v>9.9999999999999995E-7</v>
      </c>
      <c r="R324" s="241"/>
      <c r="S324" s="241">
        <f>'ACC CAL WITH GB - Method 6'!L307</f>
        <v>6.96E-3</v>
      </c>
      <c r="T324" s="195"/>
      <c r="U324" s="195"/>
      <c r="V324" s="195"/>
      <c r="W324" s="195"/>
      <c r="X324" s="195"/>
      <c r="Y324" s="343"/>
      <c r="Z324" s="337">
        <v>1.0500000000000001E-2</v>
      </c>
      <c r="AA324" s="337">
        <v>1.0500000000000001E-2</v>
      </c>
      <c r="AB324" s="337">
        <v>1.0500000000000001E-2</v>
      </c>
      <c r="AC324" s="337">
        <v>1.0500000000000001E-2</v>
      </c>
      <c r="AD324" s="337">
        <f t="shared" si="77"/>
        <v>1.0500000000000001E-2</v>
      </c>
      <c r="AE324" s="19"/>
      <c r="AF324" s="19"/>
      <c r="AG324" s="19"/>
      <c r="AH324" s="19"/>
      <c r="AI324" s="19"/>
      <c r="AJ324" s="19"/>
    </row>
    <row r="325" spans="1:36" ht="30" customHeight="1">
      <c r="A325" s="328"/>
      <c r="C325" s="230"/>
      <c r="D325" s="329"/>
      <c r="E325" s="329"/>
      <c r="H325" s="213"/>
      <c r="I325" s="214"/>
      <c r="J325" s="215"/>
      <c r="Z325" s="34"/>
      <c r="AA325" s="34"/>
      <c r="AB325" s="34"/>
      <c r="AC325" s="34"/>
      <c r="AD325" s="345"/>
      <c r="AE325" s="19"/>
      <c r="AF325" s="19"/>
      <c r="AG325" s="19"/>
      <c r="AH325" s="19"/>
      <c r="AI325" s="19"/>
      <c r="AJ325" s="19"/>
    </row>
    <row r="326" spans="1:36" s="231" customFormat="1" ht="19.899999999999999" customHeight="1">
      <c r="A326" s="76" t="s">
        <v>213</v>
      </c>
      <c r="B326" s="151"/>
      <c r="C326" s="230"/>
      <c r="D326" s="331"/>
      <c r="E326" s="331"/>
      <c r="F326" s="151"/>
      <c r="H326" s="53"/>
      <c r="I326" s="32"/>
      <c r="J326" s="232"/>
      <c r="K326" s="233"/>
      <c r="L326" s="234"/>
      <c r="M326" s="234"/>
      <c r="N326" s="234"/>
      <c r="O326" s="234"/>
      <c r="P326" s="234"/>
      <c r="Q326" s="234"/>
      <c r="R326" s="234"/>
      <c r="S326" s="234"/>
      <c r="T326" s="234"/>
      <c r="U326" s="234"/>
      <c r="V326" s="234"/>
      <c r="W326" s="234"/>
      <c r="X326" s="234"/>
      <c r="Y326" s="234"/>
      <c r="Z326" s="332"/>
      <c r="AA326" s="332"/>
      <c r="AB326" s="332"/>
      <c r="AC326" s="332"/>
      <c r="AD326" s="283"/>
    </row>
    <row r="327" spans="1:36" s="226" customFormat="1" ht="1" customHeight="1">
      <c r="A327" s="288"/>
      <c r="B327" s="225"/>
      <c r="C327" s="333"/>
      <c r="D327" s="225"/>
      <c r="E327" s="225"/>
      <c r="F327" s="225"/>
      <c r="H327" s="54"/>
      <c r="I327" s="227"/>
      <c r="J327" s="228"/>
      <c r="K327" s="229"/>
      <c r="L327" s="229"/>
      <c r="M327" s="229"/>
      <c r="N327" s="229"/>
      <c r="O327" s="229"/>
      <c r="P327" s="229"/>
      <c r="Q327" s="229"/>
      <c r="R327" s="229"/>
      <c r="S327" s="229"/>
      <c r="T327" s="229"/>
      <c r="U327" s="229"/>
      <c r="V327" s="229"/>
      <c r="W327" s="229"/>
      <c r="X327" s="229"/>
      <c r="Y327" s="229"/>
      <c r="Z327" s="334"/>
      <c r="AA327" s="334"/>
      <c r="AB327" s="334"/>
      <c r="AC327" s="334"/>
      <c r="AD327" s="335"/>
    </row>
    <row r="328" spans="1:36" ht="23.65" customHeight="1">
      <c r="A328" s="614" t="s">
        <v>163</v>
      </c>
      <c r="B328" s="616" t="s">
        <v>132</v>
      </c>
      <c r="C328" s="326"/>
      <c r="D328" s="327" t="s">
        <v>14</v>
      </c>
      <c r="E328" s="327"/>
      <c r="F328" s="616" t="s">
        <v>2</v>
      </c>
      <c r="G328" s="616" t="s">
        <v>3</v>
      </c>
      <c r="H328" s="627" t="s">
        <v>29</v>
      </c>
      <c r="I328" s="19"/>
      <c r="J328" s="33"/>
      <c r="K328" s="616" t="s">
        <v>98</v>
      </c>
      <c r="L328" s="616" t="s">
        <v>99</v>
      </c>
      <c r="M328" s="163"/>
      <c r="N328" s="163"/>
      <c r="O328" s="622" t="s">
        <v>113</v>
      </c>
      <c r="P328" s="623"/>
      <c r="Q328" s="623"/>
      <c r="R328" s="623"/>
      <c r="S328" s="623"/>
      <c r="T328" s="623"/>
      <c r="U328" s="623"/>
      <c r="V328" s="623"/>
      <c r="W328" s="623"/>
      <c r="X328" s="624"/>
      <c r="Y328" s="336"/>
      <c r="Z328" s="337"/>
      <c r="AA328" s="337" t="s">
        <v>149</v>
      </c>
      <c r="AB328" s="337"/>
      <c r="AC328" s="337" t="s">
        <v>150</v>
      </c>
      <c r="AD328" s="290"/>
      <c r="AE328" s="19"/>
      <c r="AF328" s="19"/>
      <c r="AG328" s="19"/>
      <c r="AH328" s="19"/>
      <c r="AI328" s="19"/>
      <c r="AJ328" s="19"/>
    </row>
    <row r="329" spans="1:36" ht="23.65" customHeight="1" thickBot="1">
      <c r="A329" s="615"/>
      <c r="B329" s="617"/>
      <c r="C329" s="198">
        <v>1</v>
      </c>
      <c r="D329" s="198">
        <v>2</v>
      </c>
      <c r="E329" s="198">
        <v>3</v>
      </c>
      <c r="F329" s="629"/>
      <c r="G329" s="617"/>
      <c r="H329" s="628"/>
      <c r="I329" s="19"/>
      <c r="J329" s="34"/>
      <c r="K329" s="625"/>
      <c r="L329" s="617"/>
      <c r="M329" s="163"/>
      <c r="N329" s="163"/>
      <c r="O329" s="199" t="s">
        <v>100</v>
      </c>
      <c r="P329" s="200" t="s">
        <v>101</v>
      </c>
      <c r="Q329" s="199" t="s">
        <v>102</v>
      </c>
      <c r="R329" s="200" t="s">
        <v>103</v>
      </c>
      <c r="S329" s="199" t="s">
        <v>219</v>
      </c>
      <c r="T329" s="201" t="s">
        <v>105</v>
      </c>
      <c r="U329" s="202" t="s">
        <v>106</v>
      </c>
      <c r="V329" s="202" t="s">
        <v>107</v>
      </c>
      <c r="W329" s="202" t="s">
        <v>108</v>
      </c>
      <c r="X329" s="203" t="s">
        <v>109</v>
      </c>
      <c r="Y329" s="336"/>
      <c r="Z329" s="338" t="s">
        <v>141</v>
      </c>
      <c r="AA329" s="338" t="s">
        <v>151</v>
      </c>
      <c r="AB329" s="338" t="s">
        <v>141</v>
      </c>
      <c r="AC329" s="338" t="s">
        <v>151</v>
      </c>
      <c r="AD329" s="338" t="s">
        <v>152</v>
      </c>
      <c r="AE329" s="19"/>
      <c r="AF329" s="19"/>
      <c r="AG329" s="19"/>
      <c r="AH329" s="19"/>
      <c r="AI329" s="19"/>
      <c r="AJ329" s="19"/>
    </row>
    <row r="330" spans="1:36" ht="25" customHeight="1" thickTop="1">
      <c r="A330" s="322" t="s">
        <v>172</v>
      </c>
      <c r="B330" s="460">
        <v>1.9</v>
      </c>
      <c r="C330" s="461"/>
      <c r="D330" s="461" t="str">
        <f t="shared" si="76"/>
        <v/>
      </c>
      <c r="E330" s="461" t="str">
        <f t="shared" si="76"/>
        <v/>
      </c>
      <c r="F330" s="460">
        <f t="shared" si="68"/>
        <v>1.8953499999999999</v>
      </c>
      <c r="G330" s="460">
        <f t="shared" si="69"/>
        <v>1.90465</v>
      </c>
      <c r="H330" s="462">
        <f t="shared" si="74"/>
        <v>4.6499999999999996E-3</v>
      </c>
      <c r="I330" s="19"/>
      <c r="J330" s="34"/>
      <c r="K330" s="191" t="str">
        <f t="shared" si="70"/>
        <v/>
      </c>
      <c r="L330" s="192" t="str">
        <f t="shared" si="71"/>
        <v/>
      </c>
      <c r="M330" s="193"/>
      <c r="N330" s="193"/>
      <c r="O330" s="194" t="str">
        <f t="shared" si="72"/>
        <v/>
      </c>
      <c r="P330" s="194"/>
      <c r="Q330" s="241">
        <v>1.0000000000000001E-5</v>
      </c>
      <c r="R330" s="241"/>
      <c r="S330" s="241">
        <f>'ACC CAL WITH GB - Method 6'!L313</f>
        <v>1.2852999999999999E-3</v>
      </c>
      <c r="T330" s="195"/>
      <c r="U330" s="195"/>
      <c r="V330" s="195"/>
      <c r="W330" s="195"/>
      <c r="X330" s="195"/>
      <c r="Y330" s="343"/>
      <c r="Z330" s="337">
        <v>4.6499999999999996E-3</v>
      </c>
      <c r="AA330" s="337">
        <v>4.6499999999999996E-3</v>
      </c>
      <c r="AB330" s="337">
        <v>4.6499999999999996E-3</v>
      </c>
      <c r="AC330" s="337">
        <v>4.6499999999999996E-3</v>
      </c>
      <c r="AD330" s="337">
        <f t="shared" ref="AD330:AD332" si="78">IF(AD$31=1,Z330,IF(AD$31=2,AB330,IF(AD$31=3,AA330,AC330)))</f>
        <v>4.6499999999999996E-3</v>
      </c>
      <c r="AE330" s="19"/>
      <c r="AF330" s="19"/>
      <c r="AG330" s="19"/>
      <c r="AH330" s="19"/>
      <c r="AI330" s="19"/>
      <c r="AJ330" s="19"/>
    </row>
    <row r="331" spans="1:36" ht="25" customHeight="1">
      <c r="A331" s="322" t="s">
        <v>173</v>
      </c>
      <c r="B331" s="460">
        <v>1.9</v>
      </c>
      <c r="C331" s="461"/>
      <c r="D331" s="461" t="str">
        <f t="shared" si="76"/>
        <v/>
      </c>
      <c r="E331" s="461" t="str">
        <f t="shared" si="76"/>
        <v/>
      </c>
      <c r="F331" s="460">
        <f t="shared" si="68"/>
        <v>1.8953499999999999</v>
      </c>
      <c r="G331" s="460">
        <f t="shared" si="69"/>
        <v>1.90465</v>
      </c>
      <c r="H331" s="462">
        <f t="shared" si="74"/>
        <v>4.6499999999999996E-3</v>
      </c>
      <c r="I331" s="19"/>
      <c r="J331" s="34"/>
      <c r="K331" s="191" t="str">
        <f t="shared" si="70"/>
        <v/>
      </c>
      <c r="L331" s="192" t="str">
        <f t="shared" si="71"/>
        <v/>
      </c>
      <c r="M331" s="193"/>
      <c r="N331" s="193"/>
      <c r="O331" s="194" t="str">
        <f t="shared" si="72"/>
        <v/>
      </c>
      <c r="P331" s="194"/>
      <c r="Q331" s="241">
        <v>1.0000000000000001E-5</v>
      </c>
      <c r="R331" s="241"/>
      <c r="S331" s="241">
        <f>'ACC CAL WITH GB - Method 6'!L314</f>
        <v>1.2852999999999999E-3</v>
      </c>
      <c r="T331" s="195"/>
      <c r="U331" s="195"/>
      <c r="V331" s="195"/>
      <c r="W331" s="195"/>
      <c r="X331" s="195"/>
      <c r="Y331" s="343"/>
      <c r="Z331" s="337">
        <v>4.6499999999999996E-3</v>
      </c>
      <c r="AA331" s="337">
        <v>4.6499999999999996E-3</v>
      </c>
      <c r="AB331" s="337">
        <v>4.6499999999999996E-3</v>
      </c>
      <c r="AC331" s="337">
        <v>4.6499999999999996E-3</v>
      </c>
      <c r="AD331" s="337">
        <f t="shared" si="78"/>
        <v>4.6499999999999996E-3</v>
      </c>
      <c r="AE331" s="19"/>
      <c r="AF331" s="19"/>
      <c r="AG331" s="19"/>
      <c r="AH331" s="19"/>
      <c r="AI331" s="19"/>
      <c r="AJ331" s="19"/>
    </row>
    <row r="332" spans="1:36" ht="22.5" customHeight="1">
      <c r="A332" s="322" t="s">
        <v>174</v>
      </c>
      <c r="B332" s="460">
        <v>1.9</v>
      </c>
      <c r="C332" s="461"/>
      <c r="D332" s="461" t="str">
        <f t="shared" si="76"/>
        <v/>
      </c>
      <c r="E332" s="461" t="str">
        <f t="shared" si="76"/>
        <v/>
      </c>
      <c r="F332" s="460">
        <f t="shared" si="68"/>
        <v>1.87235</v>
      </c>
      <c r="G332" s="460">
        <f t="shared" si="69"/>
        <v>1.9276499999999999</v>
      </c>
      <c r="H332" s="462">
        <f t="shared" si="74"/>
        <v>2.7650000000000001E-2</v>
      </c>
      <c r="I332" s="19"/>
      <c r="J332" s="34"/>
      <c r="K332" s="191" t="str">
        <f t="shared" si="70"/>
        <v/>
      </c>
      <c r="L332" s="192" t="str">
        <f t="shared" si="71"/>
        <v/>
      </c>
      <c r="M332" s="193"/>
      <c r="N332" s="193"/>
      <c r="O332" s="194" t="str">
        <f t="shared" si="72"/>
        <v/>
      </c>
      <c r="P332" s="194"/>
      <c r="Q332" s="241">
        <v>1.0000000000000001E-5</v>
      </c>
      <c r="R332" s="241"/>
      <c r="S332" s="241">
        <f>'ACC CAL WITH GB - Method 6'!L315</f>
        <v>7.9699999999999997E-3</v>
      </c>
      <c r="T332" s="195">
        <v>1.9689999999999998E-3</v>
      </c>
      <c r="U332" s="195"/>
      <c r="V332" s="195"/>
      <c r="W332" s="195"/>
      <c r="X332" s="195"/>
      <c r="Y332" s="343"/>
      <c r="Z332" s="337">
        <v>2.7650000000000001E-2</v>
      </c>
      <c r="AA332" s="337">
        <v>2.7650000000000001E-2</v>
      </c>
      <c r="AB332" s="337">
        <v>2.7650000000000001E-2</v>
      </c>
      <c r="AC332" s="337">
        <v>2.7650000000000001E-2</v>
      </c>
      <c r="AD332" s="337">
        <f t="shared" si="78"/>
        <v>2.7650000000000001E-2</v>
      </c>
      <c r="AE332" s="19"/>
      <c r="AF332" s="19"/>
      <c r="AG332" s="19"/>
      <c r="AH332" s="19"/>
      <c r="AI332" s="19"/>
      <c r="AJ332" s="19"/>
    </row>
    <row r="333" spans="1:36" ht="30" customHeight="1">
      <c r="A333" s="328"/>
      <c r="C333" s="230"/>
      <c r="D333" s="329"/>
      <c r="E333" s="329"/>
      <c r="H333" s="213"/>
      <c r="I333" s="214"/>
      <c r="J333" s="215"/>
      <c r="Z333" s="34"/>
      <c r="AA333" s="34"/>
      <c r="AB333" s="34"/>
      <c r="AC333" s="34"/>
      <c r="AD333" s="345"/>
      <c r="AE333" s="19"/>
      <c r="AF333" s="19"/>
      <c r="AG333" s="19"/>
      <c r="AH333" s="19"/>
      <c r="AI333" s="19"/>
      <c r="AJ333" s="19"/>
    </row>
    <row r="334" spans="1:36" s="231" customFormat="1" ht="19.899999999999999" customHeight="1">
      <c r="A334" s="76" t="s">
        <v>214</v>
      </c>
      <c r="B334" s="151"/>
      <c r="C334" s="230"/>
      <c r="D334" s="331"/>
      <c r="E334" s="331"/>
      <c r="F334" s="151"/>
      <c r="H334" s="53"/>
      <c r="I334" s="32"/>
      <c r="J334" s="232"/>
      <c r="K334" s="233"/>
      <c r="L334" s="234"/>
      <c r="M334" s="234"/>
      <c r="N334" s="234"/>
      <c r="O334" s="234"/>
      <c r="P334" s="234"/>
      <c r="Q334" s="234"/>
      <c r="R334" s="234"/>
      <c r="S334" s="234"/>
      <c r="T334" s="234"/>
      <c r="U334" s="234"/>
      <c r="V334" s="234"/>
      <c r="W334" s="234"/>
      <c r="X334" s="234"/>
      <c r="Y334" s="234"/>
      <c r="Z334" s="332"/>
      <c r="AA334" s="332"/>
      <c r="AB334" s="332"/>
      <c r="AC334" s="332"/>
      <c r="AD334" s="283"/>
    </row>
    <row r="335" spans="1:36" s="226" customFormat="1" ht="0.65" customHeight="1">
      <c r="A335" s="288"/>
      <c r="B335" s="225"/>
      <c r="C335" s="333"/>
      <c r="D335" s="225"/>
      <c r="E335" s="225"/>
      <c r="F335" s="225"/>
      <c r="H335" s="54"/>
      <c r="I335" s="227"/>
      <c r="J335" s="228"/>
      <c r="K335" s="229"/>
      <c r="L335" s="229"/>
      <c r="M335" s="229"/>
      <c r="N335" s="229"/>
      <c r="O335" s="229"/>
      <c r="P335" s="229"/>
      <c r="Q335" s="229"/>
      <c r="R335" s="229"/>
      <c r="S335" s="229"/>
      <c r="T335" s="229"/>
      <c r="U335" s="229"/>
      <c r="V335" s="229"/>
      <c r="W335" s="229"/>
      <c r="X335" s="229"/>
      <c r="Y335" s="229"/>
      <c r="Z335" s="334"/>
      <c r="AA335" s="334"/>
      <c r="AB335" s="334"/>
      <c r="AC335" s="334"/>
      <c r="AD335" s="335"/>
    </row>
    <row r="336" spans="1:36" ht="23.65" customHeight="1">
      <c r="A336" s="614" t="s">
        <v>163</v>
      </c>
      <c r="B336" s="616" t="s">
        <v>132</v>
      </c>
      <c r="C336" s="326"/>
      <c r="D336" s="327" t="s">
        <v>14</v>
      </c>
      <c r="E336" s="327"/>
      <c r="F336" s="616" t="s">
        <v>2</v>
      </c>
      <c r="G336" s="616" t="s">
        <v>3</v>
      </c>
      <c r="H336" s="627" t="s">
        <v>29</v>
      </c>
      <c r="I336" s="19"/>
      <c r="J336" s="33"/>
      <c r="K336" s="616" t="s">
        <v>98</v>
      </c>
      <c r="L336" s="616" t="s">
        <v>99</v>
      </c>
      <c r="M336" s="163"/>
      <c r="N336" s="163"/>
      <c r="O336" s="622" t="s">
        <v>113</v>
      </c>
      <c r="P336" s="623"/>
      <c r="Q336" s="623"/>
      <c r="R336" s="623"/>
      <c r="S336" s="623"/>
      <c r="T336" s="623"/>
      <c r="U336" s="623"/>
      <c r="V336" s="623"/>
      <c r="W336" s="623"/>
      <c r="X336" s="624"/>
      <c r="Y336" s="336"/>
      <c r="Z336" s="337"/>
      <c r="AA336" s="337" t="s">
        <v>149</v>
      </c>
      <c r="AB336" s="337"/>
      <c r="AC336" s="337" t="s">
        <v>150</v>
      </c>
      <c r="AD336" s="290"/>
      <c r="AE336" s="19"/>
      <c r="AF336" s="19"/>
      <c r="AG336" s="19"/>
      <c r="AH336" s="19"/>
      <c r="AI336" s="19"/>
      <c r="AJ336" s="19"/>
    </row>
    <row r="337" spans="1:36" ht="23.65" customHeight="1" thickBot="1">
      <c r="A337" s="615"/>
      <c r="B337" s="617"/>
      <c r="C337" s="198">
        <v>1</v>
      </c>
      <c r="D337" s="198">
        <v>2</v>
      </c>
      <c r="E337" s="198">
        <v>3</v>
      </c>
      <c r="F337" s="629"/>
      <c r="G337" s="617"/>
      <c r="H337" s="628"/>
      <c r="I337" s="19"/>
      <c r="J337" s="34"/>
      <c r="K337" s="625"/>
      <c r="L337" s="617"/>
      <c r="M337" s="163"/>
      <c r="N337" s="163"/>
      <c r="O337" s="199" t="s">
        <v>100</v>
      </c>
      <c r="P337" s="200" t="s">
        <v>101</v>
      </c>
      <c r="Q337" s="199" t="s">
        <v>102</v>
      </c>
      <c r="R337" s="200" t="s">
        <v>103</v>
      </c>
      <c r="S337" s="199" t="s">
        <v>219</v>
      </c>
      <c r="T337" s="201" t="s">
        <v>105</v>
      </c>
      <c r="U337" s="202" t="s">
        <v>106</v>
      </c>
      <c r="V337" s="202" t="s">
        <v>107</v>
      </c>
      <c r="W337" s="202" t="s">
        <v>108</v>
      </c>
      <c r="X337" s="203" t="s">
        <v>109</v>
      </c>
      <c r="Y337" s="336"/>
      <c r="Z337" s="338" t="s">
        <v>141</v>
      </c>
      <c r="AA337" s="338" t="s">
        <v>151</v>
      </c>
      <c r="AB337" s="338" t="s">
        <v>141</v>
      </c>
      <c r="AC337" s="338" t="s">
        <v>151</v>
      </c>
      <c r="AD337" s="338" t="s">
        <v>152</v>
      </c>
      <c r="AE337" s="19"/>
      <c r="AF337" s="19"/>
      <c r="AG337" s="19"/>
      <c r="AH337" s="19"/>
      <c r="AI337" s="19"/>
      <c r="AJ337" s="19"/>
    </row>
    <row r="338" spans="1:36" ht="25" customHeight="1" thickTop="1">
      <c r="A338" s="322" t="s">
        <v>172</v>
      </c>
      <c r="B338" s="460">
        <v>10</v>
      </c>
      <c r="C338" s="461"/>
      <c r="D338" s="461" t="str">
        <f t="shared" si="76"/>
        <v/>
      </c>
      <c r="E338" s="461" t="str">
        <f t="shared" si="76"/>
        <v/>
      </c>
      <c r="F338" s="460">
        <f t="shared" si="68"/>
        <v>9.9789999999999992</v>
      </c>
      <c r="G338" s="460">
        <f t="shared" si="69"/>
        <v>10.021000000000001</v>
      </c>
      <c r="H338" s="462">
        <f t="shared" si="74"/>
        <v>2.1000000000000001E-2</v>
      </c>
      <c r="I338" s="19"/>
      <c r="J338" s="34"/>
      <c r="K338" s="191" t="str">
        <f t="shared" si="70"/>
        <v/>
      </c>
      <c r="L338" s="192" t="str">
        <f t="shared" si="71"/>
        <v/>
      </c>
      <c r="M338" s="193"/>
      <c r="N338" s="193"/>
      <c r="O338" s="194" t="str">
        <f t="shared" si="72"/>
        <v/>
      </c>
      <c r="P338" s="194"/>
      <c r="Q338" s="241">
        <v>1.0000000000000001E-5</v>
      </c>
      <c r="R338" s="241"/>
      <c r="S338" s="241">
        <f>'ACC CAL WITH GB - Method 6'!L321</f>
        <v>6.0399999999999994E-3</v>
      </c>
      <c r="T338" s="195"/>
      <c r="U338" s="195"/>
      <c r="V338" s="195"/>
      <c r="W338" s="195"/>
      <c r="X338" s="195"/>
      <c r="Y338" s="343"/>
      <c r="Z338" s="337">
        <v>1.9E-2</v>
      </c>
      <c r="AA338" s="337">
        <v>2.1000000000000001E-2</v>
      </c>
      <c r="AB338" s="337">
        <v>2.1000000000000001E-2</v>
      </c>
      <c r="AC338" s="337">
        <v>2.1000000000000001E-2</v>
      </c>
      <c r="AD338" s="337">
        <f t="shared" ref="AD338:AD339" si="79">IF(AD$31=1,Z338,IF(AD$31=2,AB338,IF(AD$31=3,AA338,AC338)))</f>
        <v>2.1000000000000001E-2</v>
      </c>
      <c r="AE338" s="19"/>
      <c r="AF338" s="19"/>
      <c r="AG338" s="19"/>
      <c r="AH338" s="19"/>
      <c r="AI338" s="19"/>
      <c r="AJ338" s="19"/>
    </row>
    <row r="339" spans="1:36" ht="25" customHeight="1">
      <c r="A339" s="322" t="s">
        <v>173</v>
      </c>
      <c r="B339" s="460">
        <v>10</v>
      </c>
      <c r="C339" s="461"/>
      <c r="D339" s="461" t="str">
        <f t="shared" si="76"/>
        <v/>
      </c>
      <c r="E339" s="461" t="str">
        <f t="shared" si="76"/>
        <v/>
      </c>
      <c r="F339" s="460">
        <f t="shared" si="68"/>
        <v>9.9789999999999992</v>
      </c>
      <c r="G339" s="460">
        <f t="shared" si="69"/>
        <v>10.021000000000001</v>
      </c>
      <c r="H339" s="462">
        <f t="shared" si="74"/>
        <v>2.1000000000000001E-2</v>
      </c>
      <c r="I339" s="19"/>
      <c r="J339" s="34"/>
      <c r="K339" s="191" t="str">
        <f t="shared" si="70"/>
        <v/>
      </c>
      <c r="L339" s="192" t="str">
        <f t="shared" si="71"/>
        <v/>
      </c>
      <c r="M339" s="193"/>
      <c r="N339" s="193"/>
      <c r="O339" s="194" t="str">
        <f t="shared" si="72"/>
        <v/>
      </c>
      <c r="P339" s="194"/>
      <c r="Q339" s="241">
        <v>1.0000000000000001E-5</v>
      </c>
      <c r="R339" s="241"/>
      <c r="S339" s="241">
        <f>'ACC CAL WITH GB - Method 6'!L436</f>
        <v>0</v>
      </c>
      <c r="T339" s="195"/>
      <c r="U339" s="195"/>
      <c r="V339" s="195"/>
      <c r="W339" s="195"/>
      <c r="X339" s="195"/>
      <c r="Y339" s="343"/>
      <c r="Z339" s="337">
        <v>1.9E-2</v>
      </c>
      <c r="AA339" s="337">
        <v>2.1000000000000001E-2</v>
      </c>
      <c r="AB339" s="337">
        <v>2.1000000000000001E-2</v>
      </c>
      <c r="AC339" s="337">
        <v>2.1000000000000001E-2</v>
      </c>
      <c r="AD339" s="337">
        <f t="shared" si="79"/>
        <v>2.1000000000000001E-2</v>
      </c>
      <c r="AE339" s="19"/>
      <c r="AF339" s="19"/>
      <c r="AG339" s="19"/>
      <c r="AH339" s="19"/>
      <c r="AI339" s="19"/>
      <c r="AJ339" s="19"/>
    </row>
    <row r="340" spans="1:36">
      <c r="A340" s="318"/>
      <c r="B340" s="318"/>
      <c r="C340" s="319"/>
      <c r="D340" s="318"/>
      <c r="E340" s="318"/>
      <c r="F340" s="318"/>
      <c r="G340" s="320"/>
      <c r="H340" s="320"/>
    </row>
    <row r="343" spans="1:36" ht="18">
      <c r="A343" s="31" t="s">
        <v>44</v>
      </c>
    </row>
    <row r="344" spans="1:36">
      <c r="A344" s="609"/>
      <c r="B344" s="609"/>
      <c r="C344" s="609"/>
      <c r="D344" s="609"/>
      <c r="E344" s="609"/>
      <c r="F344" s="609"/>
      <c r="G344" s="609"/>
      <c r="H344" s="609"/>
    </row>
    <row r="345" spans="1:36" ht="5.65" customHeight="1"/>
    <row r="346" spans="1:36">
      <c r="A346" s="609"/>
      <c r="B346" s="609"/>
      <c r="C346" s="609"/>
      <c r="D346" s="609"/>
      <c r="E346" s="609"/>
      <c r="F346" s="609"/>
      <c r="G346" s="609"/>
      <c r="H346" s="609"/>
    </row>
    <row r="347" spans="1:36" ht="5.65" customHeight="1"/>
    <row r="348" spans="1:36">
      <c r="A348" s="609"/>
      <c r="B348" s="609"/>
      <c r="C348" s="609"/>
      <c r="D348" s="609"/>
      <c r="E348" s="609"/>
      <c r="F348" s="609"/>
      <c r="G348" s="609"/>
      <c r="H348" s="609"/>
    </row>
    <row r="349" spans="1:36" ht="5.65" customHeight="1"/>
    <row r="350" spans="1:36">
      <c r="A350" s="609"/>
      <c r="B350" s="609"/>
      <c r="C350" s="609"/>
      <c r="D350" s="609"/>
      <c r="E350" s="609"/>
      <c r="F350" s="609"/>
      <c r="G350" s="609"/>
      <c r="H350" s="609"/>
    </row>
    <row r="351" spans="1:36" ht="5.65" customHeight="1"/>
    <row r="352" spans="1:36">
      <c r="A352" s="609"/>
      <c r="B352" s="609"/>
      <c r="C352" s="609"/>
      <c r="D352" s="609"/>
      <c r="E352" s="609"/>
      <c r="F352" s="609"/>
      <c r="G352" s="609"/>
      <c r="H352" s="609"/>
    </row>
    <row r="354" spans="1:11" ht="18">
      <c r="A354" s="31" t="s">
        <v>45</v>
      </c>
    </row>
    <row r="355" spans="1:11">
      <c r="A355" s="609"/>
      <c r="B355" s="609"/>
      <c r="C355" s="609"/>
      <c r="D355" s="609"/>
      <c r="E355" s="609"/>
      <c r="F355" s="609"/>
      <c r="G355" s="609"/>
      <c r="H355" s="609"/>
    </row>
    <row r="356" spans="1:11" ht="5.65" customHeight="1"/>
    <row r="357" spans="1:11" ht="20">
      <c r="A357" s="610"/>
      <c r="B357" s="611"/>
      <c r="C357" s="611"/>
      <c r="D357" s="611"/>
      <c r="E357" s="611"/>
      <c r="F357" s="611"/>
      <c r="G357" s="611"/>
      <c r="H357" s="611"/>
    </row>
    <row r="358" spans="1:11" ht="5.65" customHeight="1"/>
    <row r="359" spans="1:11">
      <c r="A359" s="609"/>
      <c r="B359" s="609"/>
      <c r="C359" s="609"/>
      <c r="D359" s="609"/>
      <c r="E359" s="609"/>
      <c r="F359" s="609"/>
      <c r="G359" s="609"/>
      <c r="H359" s="609"/>
    </row>
    <row r="360" spans="1:11" ht="5.65" customHeight="1"/>
    <row r="361" spans="1:11">
      <c r="A361" s="609"/>
      <c r="B361" s="609"/>
      <c r="C361" s="609"/>
      <c r="D361" s="609"/>
      <c r="E361" s="609"/>
      <c r="F361" s="609"/>
      <c r="G361" s="609"/>
      <c r="H361" s="609"/>
    </row>
    <row r="362" spans="1:11" ht="5.65" customHeight="1"/>
    <row r="363" spans="1:11">
      <c r="A363" s="609"/>
      <c r="B363" s="609"/>
      <c r="C363" s="609"/>
      <c r="D363" s="609"/>
      <c r="E363" s="609"/>
      <c r="F363" s="609"/>
      <c r="G363" s="609"/>
      <c r="H363" s="609"/>
    </row>
    <row r="366" spans="1:11" ht="16.5">
      <c r="A366" s="19"/>
      <c r="B366" s="19"/>
      <c r="C366" s="19"/>
      <c r="D366" s="19"/>
      <c r="E366" s="19"/>
      <c r="F366" s="19"/>
      <c r="I366" s="19"/>
      <c r="K366" s="164"/>
    </row>
    <row r="367" spans="1:11" ht="16.5">
      <c r="A367" s="19"/>
      <c r="B367" s="19"/>
      <c r="C367" s="19"/>
      <c r="D367" s="19"/>
      <c r="E367" s="19"/>
      <c r="F367" s="19"/>
      <c r="I367" s="19"/>
      <c r="K367" s="164"/>
    </row>
    <row r="368" spans="1:11" ht="23.65" customHeight="1">
      <c r="A368" s="19"/>
      <c r="B368" s="19"/>
      <c r="C368" s="19"/>
      <c r="D368" s="19"/>
      <c r="E368" s="19"/>
      <c r="F368" s="19"/>
      <c r="I368" s="19"/>
      <c r="K368" s="164"/>
    </row>
    <row r="369" spans="1:11" ht="23.65" customHeight="1">
      <c r="A369" s="19"/>
      <c r="B369" s="19"/>
      <c r="C369" s="19"/>
      <c r="D369" s="19"/>
      <c r="E369" s="19"/>
      <c r="F369" s="19"/>
      <c r="I369" s="19"/>
      <c r="K369" s="164"/>
    </row>
    <row r="370" spans="1:11" ht="25" customHeight="1">
      <c r="A370" s="19"/>
      <c r="B370" s="19"/>
      <c r="C370" s="19"/>
      <c r="D370" s="19"/>
      <c r="E370" s="19"/>
      <c r="F370" s="19"/>
      <c r="I370" s="19"/>
      <c r="K370" s="164"/>
    </row>
    <row r="371" spans="1:11" ht="16.5">
      <c r="A371" s="19"/>
      <c r="B371" s="19"/>
      <c r="C371" s="19"/>
      <c r="D371" s="19"/>
      <c r="E371" s="19"/>
      <c r="F371" s="19"/>
      <c r="I371" s="19"/>
      <c r="K371" s="164"/>
    </row>
    <row r="372" spans="1:11" ht="16.5">
      <c r="A372" s="19"/>
      <c r="B372" s="19"/>
      <c r="C372" s="19"/>
      <c r="D372" s="19"/>
      <c r="E372" s="19"/>
      <c r="F372" s="19"/>
      <c r="I372" s="19"/>
      <c r="K372" s="164"/>
    </row>
    <row r="373" spans="1:11" ht="16.5">
      <c r="A373" s="19"/>
      <c r="B373" s="19"/>
      <c r="C373" s="19"/>
      <c r="D373" s="19"/>
      <c r="E373" s="19"/>
      <c r="F373" s="19"/>
      <c r="I373" s="19"/>
      <c r="K373" s="164"/>
    </row>
    <row r="374" spans="1:11" ht="16.5">
      <c r="A374" s="19"/>
      <c r="B374" s="19"/>
      <c r="C374" s="19"/>
      <c r="D374" s="19"/>
      <c r="E374" s="19"/>
      <c r="F374" s="19"/>
      <c r="I374" s="19"/>
      <c r="K374" s="164"/>
    </row>
    <row r="375" spans="1:11" ht="16.5">
      <c r="A375" s="19"/>
      <c r="B375" s="19"/>
      <c r="C375" s="19"/>
      <c r="D375" s="19"/>
      <c r="E375" s="19"/>
      <c r="F375" s="19"/>
      <c r="I375" s="19"/>
      <c r="K375" s="164"/>
    </row>
    <row r="376" spans="1:11" ht="16.5">
      <c r="A376" s="19"/>
      <c r="B376" s="19"/>
      <c r="C376" s="19"/>
      <c r="D376" s="19"/>
      <c r="E376" s="19"/>
      <c r="F376" s="19"/>
      <c r="I376" s="19"/>
      <c r="K376" s="164"/>
    </row>
  </sheetData>
  <mergeCells count="302">
    <mergeCell ref="K328:K329"/>
    <mergeCell ref="L328:L329"/>
    <mergeCell ref="O328:X328"/>
    <mergeCell ref="A336:A337"/>
    <mergeCell ref="B336:B337"/>
    <mergeCell ref="F336:F337"/>
    <mergeCell ref="G336:G337"/>
    <mergeCell ref="H336:H337"/>
    <mergeCell ref="K336:K337"/>
    <mergeCell ref="L336:L337"/>
    <mergeCell ref="O336:X336"/>
    <mergeCell ref="A328:A329"/>
    <mergeCell ref="B328:B329"/>
    <mergeCell ref="F328:F329"/>
    <mergeCell ref="G328:G329"/>
    <mergeCell ref="H328:H329"/>
    <mergeCell ref="K310:K311"/>
    <mergeCell ref="L310:L311"/>
    <mergeCell ref="O310:X310"/>
    <mergeCell ref="A319:A320"/>
    <mergeCell ref="B319:B320"/>
    <mergeCell ref="F319:F320"/>
    <mergeCell ref="G319:G320"/>
    <mergeCell ref="H319:H320"/>
    <mergeCell ref="K319:K320"/>
    <mergeCell ref="L319:L320"/>
    <mergeCell ref="O319:X319"/>
    <mergeCell ref="A310:A311"/>
    <mergeCell ref="B310:B311"/>
    <mergeCell ref="F310:F311"/>
    <mergeCell ref="G310:G311"/>
    <mergeCell ref="H310:H311"/>
    <mergeCell ref="K292:K293"/>
    <mergeCell ref="L292:L293"/>
    <mergeCell ref="O292:X292"/>
    <mergeCell ref="A301:A302"/>
    <mergeCell ref="B301:B302"/>
    <mergeCell ref="F301:F302"/>
    <mergeCell ref="G301:G302"/>
    <mergeCell ref="H301:H302"/>
    <mergeCell ref="K301:K302"/>
    <mergeCell ref="L301:L302"/>
    <mergeCell ref="O301:X301"/>
    <mergeCell ref="A292:A293"/>
    <mergeCell ref="B292:B293"/>
    <mergeCell ref="F292:F293"/>
    <mergeCell ref="G292:G293"/>
    <mergeCell ref="H292:H293"/>
    <mergeCell ref="K274:K275"/>
    <mergeCell ref="L274:L275"/>
    <mergeCell ref="O274:X274"/>
    <mergeCell ref="A283:A284"/>
    <mergeCell ref="B283:B284"/>
    <mergeCell ref="F283:F284"/>
    <mergeCell ref="G283:G284"/>
    <mergeCell ref="H283:H284"/>
    <mergeCell ref="K283:K284"/>
    <mergeCell ref="L283:L284"/>
    <mergeCell ref="O283:X283"/>
    <mergeCell ref="A274:A275"/>
    <mergeCell ref="B274:B275"/>
    <mergeCell ref="F274:F275"/>
    <mergeCell ref="G274:G275"/>
    <mergeCell ref="H274:H275"/>
    <mergeCell ref="K257:K258"/>
    <mergeCell ref="L257:L258"/>
    <mergeCell ref="O257:X257"/>
    <mergeCell ref="A265:A266"/>
    <mergeCell ref="B265:B266"/>
    <mergeCell ref="F265:F266"/>
    <mergeCell ref="G265:G266"/>
    <mergeCell ref="H265:H266"/>
    <mergeCell ref="K265:K266"/>
    <mergeCell ref="L265:L266"/>
    <mergeCell ref="O265:X265"/>
    <mergeCell ref="A257:A258"/>
    <mergeCell ref="B257:B258"/>
    <mergeCell ref="F257:F258"/>
    <mergeCell ref="G257:G258"/>
    <mergeCell ref="H257:H258"/>
    <mergeCell ref="K241:K242"/>
    <mergeCell ref="L241:L242"/>
    <mergeCell ref="O241:X241"/>
    <mergeCell ref="A249:A250"/>
    <mergeCell ref="B249:B250"/>
    <mergeCell ref="F249:F250"/>
    <mergeCell ref="G249:G250"/>
    <mergeCell ref="H249:H250"/>
    <mergeCell ref="K249:K250"/>
    <mergeCell ref="L249:L250"/>
    <mergeCell ref="O249:X249"/>
    <mergeCell ref="A241:A242"/>
    <mergeCell ref="B241:B242"/>
    <mergeCell ref="F241:F242"/>
    <mergeCell ref="G241:G242"/>
    <mergeCell ref="H241:H242"/>
    <mergeCell ref="A233:A234"/>
    <mergeCell ref="B233:B234"/>
    <mergeCell ref="F233:F234"/>
    <mergeCell ref="G233:G234"/>
    <mergeCell ref="H233:H234"/>
    <mergeCell ref="K233:K234"/>
    <mergeCell ref="L233:L234"/>
    <mergeCell ref="O233:X233"/>
    <mergeCell ref="A225:A226"/>
    <mergeCell ref="B225:B226"/>
    <mergeCell ref="F225:F226"/>
    <mergeCell ref="G225:G226"/>
    <mergeCell ref="H225:H226"/>
    <mergeCell ref="A217:A218"/>
    <mergeCell ref="B217:B218"/>
    <mergeCell ref="F217:F218"/>
    <mergeCell ref="G217:G218"/>
    <mergeCell ref="H217:H218"/>
    <mergeCell ref="K217:K218"/>
    <mergeCell ref="L217:L218"/>
    <mergeCell ref="O217:X217"/>
    <mergeCell ref="K225:K226"/>
    <mergeCell ref="L225:L226"/>
    <mergeCell ref="O225:X225"/>
    <mergeCell ref="A195:A196"/>
    <mergeCell ref="A209:A210"/>
    <mergeCell ref="B209:B210"/>
    <mergeCell ref="F209:F210"/>
    <mergeCell ref="G209:G210"/>
    <mergeCell ref="L184:L185"/>
    <mergeCell ref="O184:X184"/>
    <mergeCell ref="A193:A194"/>
    <mergeCell ref="B193:B194"/>
    <mergeCell ref="F193:F194"/>
    <mergeCell ref="G193:G194"/>
    <mergeCell ref="H193:H194"/>
    <mergeCell ref="K193:K194"/>
    <mergeCell ref="L193:L194"/>
    <mergeCell ref="O193:X193"/>
    <mergeCell ref="B184:B185"/>
    <mergeCell ref="F184:F185"/>
    <mergeCell ref="G184:G185"/>
    <mergeCell ref="H184:H185"/>
    <mergeCell ref="K184:K185"/>
    <mergeCell ref="H209:H210"/>
    <mergeCell ref="K209:K210"/>
    <mergeCell ref="L209:L210"/>
    <mergeCell ref="O209:X209"/>
    <mergeCell ref="A184:A185"/>
    <mergeCell ref="O162:X162"/>
    <mergeCell ref="A164:A165"/>
    <mergeCell ref="A166:A167"/>
    <mergeCell ref="A168:A169"/>
    <mergeCell ref="A170:A171"/>
    <mergeCell ref="F162:F163"/>
    <mergeCell ref="G162:G163"/>
    <mergeCell ref="H162:H163"/>
    <mergeCell ref="K162:K163"/>
    <mergeCell ref="L162:L163"/>
    <mergeCell ref="K147:K148"/>
    <mergeCell ref="L147:L148"/>
    <mergeCell ref="O147:X147"/>
    <mergeCell ref="A149:A150"/>
    <mergeCell ref="A151:A152"/>
    <mergeCell ref="A147:A148"/>
    <mergeCell ref="B147:B148"/>
    <mergeCell ref="F147:F148"/>
    <mergeCell ref="G147:G148"/>
    <mergeCell ref="H147:H148"/>
    <mergeCell ref="K137:K138"/>
    <mergeCell ref="L137:L138"/>
    <mergeCell ref="O137:X137"/>
    <mergeCell ref="A139:A140"/>
    <mergeCell ref="A141:A142"/>
    <mergeCell ref="A137:A138"/>
    <mergeCell ref="B137:B138"/>
    <mergeCell ref="F137:F138"/>
    <mergeCell ref="G137:G138"/>
    <mergeCell ref="H137:H138"/>
    <mergeCell ref="K116:K117"/>
    <mergeCell ref="L116:L117"/>
    <mergeCell ref="O116:X116"/>
    <mergeCell ref="A125:A126"/>
    <mergeCell ref="B125:B126"/>
    <mergeCell ref="F125:F126"/>
    <mergeCell ref="G125:G126"/>
    <mergeCell ref="H125:H126"/>
    <mergeCell ref="K125:K126"/>
    <mergeCell ref="L125:L126"/>
    <mergeCell ref="O125:X125"/>
    <mergeCell ref="A116:A117"/>
    <mergeCell ref="B116:B117"/>
    <mergeCell ref="F116:F117"/>
    <mergeCell ref="G116:G117"/>
    <mergeCell ref="H116:H117"/>
    <mergeCell ref="K96:K97"/>
    <mergeCell ref="L96:L97"/>
    <mergeCell ref="O96:X96"/>
    <mergeCell ref="A106:A107"/>
    <mergeCell ref="B106:B107"/>
    <mergeCell ref="F106:F107"/>
    <mergeCell ref="G106:G107"/>
    <mergeCell ref="H106:H107"/>
    <mergeCell ref="K106:K107"/>
    <mergeCell ref="L106:L107"/>
    <mergeCell ref="O106:X106"/>
    <mergeCell ref="A96:A97"/>
    <mergeCell ref="B96:B97"/>
    <mergeCell ref="F96:F97"/>
    <mergeCell ref="G96:G97"/>
    <mergeCell ref="H96:H97"/>
    <mergeCell ref="K77:K78"/>
    <mergeCell ref="L77:L78"/>
    <mergeCell ref="O77:X77"/>
    <mergeCell ref="A86:A87"/>
    <mergeCell ref="B86:B87"/>
    <mergeCell ref="F86:F87"/>
    <mergeCell ref="G86:G87"/>
    <mergeCell ref="H86:H87"/>
    <mergeCell ref="K86:K87"/>
    <mergeCell ref="L86:L87"/>
    <mergeCell ref="O86:X86"/>
    <mergeCell ref="A77:A78"/>
    <mergeCell ref="B77:B78"/>
    <mergeCell ref="F77:F78"/>
    <mergeCell ref="G77:G78"/>
    <mergeCell ref="H77:H78"/>
    <mergeCell ref="K60:K61"/>
    <mergeCell ref="L60:L61"/>
    <mergeCell ref="O60:X60"/>
    <mergeCell ref="A68:A69"/>
    <mergeCell ref="B68:B69"/>
    <mergeCell ref="F68:F69"/>
    <mergeCell ref="G68:G69"/>
    <mergeCell ref="H68:H69"/>
    <mergeCell ref="K68:K69"/>
    <mergeCell ref="L68:L69"/>
    <mergeCell ref="O68:X68"/>
    <mergeCell ref="A60:A61"/>
    <mergeCell ref="B60:B61"/>
    <mergeCell ref="F60:F61"/>
    <mergeCell ref="G60:G61"/>
    <mergeCell ref="H60:H61"/>
    <mergeCell ref="K42:K43"/>
    <mergeCell ref="L42:L43"/>
    <mergeCell ref="O42:X42"/>
    <mergeCell ref="A50:A51"/>
    <mergeCell ref="B50:B51"/>
    <mergeCell ref="F50:F51"/>
    <mergeCell ref="G50:G51"/>
    <mergeCell ref="H50:H51"/>
    <mergeCell ref="K50:K51"/>
    <mergeCell ref="L50:L51"/>
    <mergeCell ref="O50:X50"/>
    <mergeCell ref="A42:A43"/>
    <mergeCell ref="B42:B43"/>
    <mergeCell ref="F42:F43"/>
    <mergeCell ref="G42:G43"/>
    <mergeCell ref="H42:H43"/>
    <mergeCell ref="O34:X34"/>
    <mergeCell ref="K34:K35"/>
    <mergeCell ref="L34:L35"/>
    <mergeCell ref="A34:A35"/>
    <mergeCell ref="B24:C24"/>
    <mergeCell ref="G24:H24"/>
    <mergeCell ref="G26:H26"/>
    <mergeCell ref="H34:H35"/>
    <mergeCell ref="B28:C28"/>
    <mergeCell ref="B26:C26"/>
    <mergeCell ref="B34:B35"/>
    <mergeCell ref="F34:F35"/>
    <mergeCell ref="G34:G35"/>
    <mergeCell ref="G28:H28"/>
    <mergeCell ref="G14:H14"/>
    <mergeCell ref="B16:C16"/>
    <mergeCell ref="G18:H18"/>
    <mergeCell ref="B18:C18"/>
    <mergeCell ref="B10:C10"/>
    <mergeCell ref="G10:H10"/>
    <mergeCell ref="B12:C12"/>
    <mergeCell ref="G12:H12"/>
    <mergeCell ref="B14:C14"/>
    <mergeCell ref="G20:H20"/>
    <mergeCell ref="B20:C20"/>
    <mergeCell ref="G22:H22"/>
    <mergeCell ref="B22:C22"/>
    <mergeCell ref="G16:H16"/>
    <mergeCell ref="A363:H363"/>
    <mergeCell ref="A361:H361"/>
    <mergeCell ref="A359:H359"/>
    <mergeCell ref="A357:H357"/>
    <mergeCell ref="A355:H355"/>
    <mergeCell ref="A352:H352"/>
    <mergeCell ref="A350:H350"/>
    <mergeCell ref="A348:H348"/>
    <mergeCell ref="A346:H346"/>
    <mergeCell ref="A344:H344"/>
    <mergeCell ref="A153:A154"/>
    <mergeCell ref="A155:A156"/>
    <mergeCell ref="A157:A158"/>
    <mergeCell ref="A162:A163"/>
    <mergeCell ref="B162:B163"/>
    <mergeCell ref="A172:A173"/>
    <mergeCell ref="A174:A175"/>
    <mergeCell ref="A176:A177"/>
    <mergeCell ref="A178:A179"/>
  </mergeCells>
  <conditionalFormatting sqref="B10:C10 G10:H10 B28:C28 G26:H26 B26:C26 G24:H24 B24:C24 G22:H22 B22:C22 G20:H20 B20:C20 G18:H18 B18:C18 G16:H16 B16:C16 G14:H14 B14:C14 G12:H12 B12:C12">
    <cfRule type="containsBlanks" dxfId="1397" priority="425">
      <formula>LEN(TRIM(B10))=0</formula>
    </cfRule>
  </conditionalFormatting>
  <conditionalFormatting sqref="G28:H28">
    <cfRule type="containsBlanks" dxfId="1396" priority="424">
      <formula>LEN(TRIM(G28))=0</formula>
    </cfRule>
  </conditionalFormatting>
  <conditionalFormatting sqref="C312:E312">
    <cfRule type="cellIs" dxfId="1395" priority="421" operator="lessThan">
      <formula>$F312</formula>
    </cfRule>
    <cfRule type="cellIs" dxfId="1394" priority="422" operator="greaterThan">
      <formula>$G312</formula>
    </cfRule>
    <cfRule type="cellIs" dxfId="1393" priority="423" operator="equal">
      <formula>"NA"</formula>
    </cfRule>
  </conditionalFormatting>
  <conditionalFormatting sqref="C313:E313">
    <cfRule type="cellIs" dxfId="1392" priority="418" operator="lessThan">
      <formula>$F313</formula>
    </cfRule>
    <cfRule type="cellIs" dxfId="1391" priority="419" operator="greaterThan">
      <formula>$G313</formula>
    </cfRule>
    <cfRule type="cellIs" dxfId="1390" priority="420" operator="equal">
      <formula>"NA"</formula>
    </cfRule>
  </conditionalFormatting>
  <conditionalFormatting sqref="C314:E314">
    <cfRule type="cellIs" dxfId="1389" priority="415" operator="lessThan">
      <formula>$F314</formula>
    </cfRule>
    <cfRule type="cellIs" dxfId="1388" priority="416" operator="greaterThan">
      <formula>$G314</formula>
    </cfRule>
    <cfRule type="cellIs" dxfId="1387" priority="417" operator="equal">
      <formula>"NA"</formula>
    </cfRule>
  </conditionalFormatting>
  <conditionalFormatting sqref="C315:E315">
    <cfRule type="cellIs" dxfId="1386" priority="412" operator="lessThan">
      <formula>$F315</formula>
    </cfRule>
    <cfRule type="cellIs" dxfId="1385" priority="413" operator="greaterThan">
      <formula>$G315</formula>
    </cfRule>
    <cfRule type="cellIs" dxfId="1384" priority="414" operator="equal">
      <formula>"NA"</formula>
    </cfRule>
  </conditionalFormatting>
  <conditionalFormatting sqref="C321:E321">
    <cfRule type="cellIs" dxfId="1383" priority="409" operator="lessThan">
      <formula>$F321</formula>
    </cfRule>
    <cfRule type="cellIs" dxfId="1382" priority="410" operator="greaterThan">
      <formula>$G321</formula>
    </cfRule>
    <cfRule type="cellIs" dxfId="1381" priority="411" operator="equal">
      <formula>"NA"</formula>
    </cfRule>
  </conditionalFormatting>
  <conditionalFormatting sqref="C322:E322">
    <cfRule type="cellIs" dxfId="1380" priority="406" operator="lessThan">
      <formula>$F322</formula>
    </cfRule>
    <cfRule type="cellIs" dxfId="1379" priority="407" operator="greaterThan">
      <formula>$G322</formula>
    </cfRule>
    <cfRule type="cellIs" dxfId="1378" priority="408" operator="equal">
      <formula>"NA"</formula>
    </cfRule>
  </conditionalFormatting>
  <conditionalFormatting sqref="C323:E323">
    <cfRule type="cellIs" dxfId="1377" priority="403" operator="lessThan">
      <formula>$F323</formula>
    </cfRule>
    <cfRule type="cellIs" dxfId="1376" priority="404" operator="greaterThan">
      <formula>$G323</formula>
    </cfRule>
    <cfRule type="cellIs" dxfId="1375" priority="405" operator="equal">
      <formula>"NA"</formula>
    </cfRule>
  </conditionalFormatting>
  <conditionalFormatting sqref="C324:E324">
    <cfRule type="cellIs" dxfId="1374" priority="400" operator="lessThan">
      <formula>$F324</formula>
    </cfRule>
    <cfRule type="cellIs" dxfId="1373" priority="401" operator="greaterThan">
      <formula>$G324</formula>
    </cfRule>
    <cfRule type="cellIs" dxfId="1372" priority="402" operator="equal">
      <formula>"NA"</formula>
    </cfRule>
  </conditionalFormatting>
  <conditionalFormatting sqref="C330:E330">
    <cfRule type="cellIs" dxfId="1371" priority="397" operator="lessThan">
      <formula>$F330</formula>
    </cfRule>
    <cfRule type="cellIs" dxfId="1370" priority="398" operator="greaterThan">
      <formula>$G330</formula>
    </cfRule>
    <cfRule type="cellIs" dxfId="1369" priority="399" operator="equal">
      <formula>"NA"</formula>
    </cfRule>
  </conditionalFormatting>
  <conditionalFormatting sqref="C331:E331">
    <cfRule type="cellIs" dxfId="1368" priority="394" operator="lessThan">
      <formula>$F331</formula>
    </cfRule>
    <cfRule type="cellIs" dxfId="1367" priority="395" operator="greaterThan">
      <formula>$G331</formula>
    </cfRule>
    <cfRule type="cellIs" dxfId="1366" priority="396" operator="equal">
      <formula>"NA"</formula>
    </cfRule>
  </conditionalFormatting>
  <conditionalFormatting sqref="C332:E332">
    <cfRule type="cellIs" dxfId="1365" priority="391" operator="lessThan">
      <formula>$F332</formula>
    </cfRule>
    <cfRule type="cellIs" dxfId="1364" priority="392" operator="greaterThan">
      <formula>$G332</formula>
    </cfRule>
    <cfRule type="cellIs" dxfId="1363" priority="393" operator="equal">
      <formula>"NA"</formula>
    </cfRule>
  </conditionalFormatting>
  <conditionalFormatting sqref="C338:E338">
    <cfRule type="cellIs" dxfId="1362" priority="388" operator="lessThan">
      <formula>$F338</formula>
    </cfRule>
    <cfRule type="cellIs" dxfId="1361" priority="389" operator="greaterThan">
      <formula>$G338</formula>
    </cfRule>
    <cfRule type="cellIs" dxfId="1360" priority="390" operator="equal">
      <formula>"NA"</formula>
    </cfRule>
  </conditionalFormatting>
  <conditionalFormatting sqref="C339:E339">
    <cfRule type="cellIs" dxfId="1359" priority="385" operator="lessThan">
      <formula>$F339</formula>
    </cfRule>
    <cfRule type="cellIs" dxfId="1358" priority="386" operator="greaterThan">
      <formula>$G339</formula>
    </cfRule>
    <cfRule type="cellIs" dxfId="1357" priority="387" operator="equal">
      <formula>"NA"</formula>
    </cfRule>
  </conditionalFormatting>
  <conditionalFormatting sqref="C305:E305">
    <cfRule type="cellIs" dxfId="1356" priority="382" operator="equal">
      <formula>"NA"</formula>
    </cfRule>
    <cfRule type="cellIs" dxfId="1355" priority="383" operator="lessThan">
      <formula>$F305</formula>
    </cfRule>
    <cfRule type="cellIs" dxfId="1354" priority="384" operator="greaterThan">
      <formula>$G305</formula>
    </cfRule>
  </conditionalFormatting>
  <conditionalFormatting sqref="C306:E306">
    <cfRule type="cellIs" dxfId="1353" priority="379" operator="equal">
      <formula>"NA"</formula>
    </cfRule>
    <cfRule type="cellIs" dxfId="1352" priority="380" operator="lessThan">
      <formula>$F306</formula>
    </cfRule>
    <cfRule type="cellIs" dxfId="1351" priority="381" operator="greaterThan">
      <formula>$G306</formula>
    </cfRule>
  </conditionalFormatting>
  <conditionalFormatting sqref="C36:E36">
    <cfRule type="cellIs" dxfId="1350" priority="376" operator="lessThan">
      <formula>$F36</formula>
    </cfRule>
    <cfRule type="cellIs" dxfId="1349" priority="377" operator="greaterThan">
      <formula>$G36</formula>
    </cfRule>
    <cfRule type="cellIs" dxfId="1348" priority="378" operator="equal">
      <formula>"NA"</formula>
    </cfRule>
  </conditionalFormatting>
  <conditionalFormatting sqref="C130:E130">
    <cfRule type="cellIs" dxfId="1347" priority="373" operator="lessThan">
      <formula>$F130</formula>
    </cfRule>
    <cfRule type="cellIs" dxfId="1346" priority="374" operator="greaterThan">
      <formula>$G130</formula>
    </cfRule>
    <cfRule type="cellIs" dxfId="1345" priority="375" operator="equal">
      <formula>"NA"</formula>
    </cfRule>
  </conditionalFormatting>
  <conditionalFormatting sqref="C131:E131">
    <cfRule type="cellIs" dxfId="1344" priority="370" operator="lessThan">
      <formula>$F131</formula>
    </cfRule>
    <cfRule type="cellIs" dxfId="1343" priority="371" operator="greaterThan">
      <formula>$G131</formula>
    </cfRule>
    <cfRule type="cellIs" dxfId="1342" priority="372" operator="equal">
      <formula>"NA"</formula>
    </cfRule>
  </conditionalFormatting>
  <conditionalFormatting sqref="C132:E132">
    <cfRule type="cellIs" dxfId="1341" priority="367" operator="lessThan">
      <formula>$F132</formula>
    </cfRule>
    <cfRule type="cellIs" dxfId="1340" priority="368" operator="greaterThan">
      <formula>$G132</formula>
    </cfRule>
    <cfRule type="cellIs" dxfId="1339" priority="369" operator="equal">
      <formula>"NA"</formula>
    </cfRule>
  </conditionalFormatting>
  <conditionalFormatting sqref="C79:E79">
    <cfRule type="cellIs" dxfId="1338" priority="364" operator="lessThan">
      <formula>$F79</formula>
    </cfRule>
    <cfRule type="cellIs" dxfId="1337" priority="365" operator="greaterThan">
      <formula>$G79</formula>
    </cfRule>
    <cfRule type="cellIs" dxfId="1336" priority="366" operator="equal">
      <formula>"NA"</formula>
    </cfRule>
  </conditionalFormatting>
  <conditionalFormatting sqref="C211:E211">
    <cfRule type="cellIs" dxfId="1335" priority="289" operator="lessThan">
      <formula>$F211</formula>
    </cfRule>
    <cfRule type="cellIs" dxfId="1334" priority="290" operator="greaterThan">
      <formula>$G211</formula>
    </cfRule>
    <cfRule type="cellIs" dxfId="1333" priority="291" operator="equal">
      <formula>"NA"</formula>
    </cfRule>
  </conditionalFormatting>
  <conditionalFormatting sqref="C80:E80">
    <cfRule type="cellIs" dxfId="1332" priority="361" operator="lessThan">
      <formula>$F80</formula>
    </cfRule>
    <cfRule type="cellIs" dxfId="1331" priority="362" operator="greaterThan">
      <formula>$G80</formula>
    </cfRule>
    <cfRule type="cellIs" dxfId="1330" priority="363" operator="equal">
      <formula>"NA"</formula>
    </cfRule>
  </conditionalFormatting>
  <conditionalFormatting sqref="C81:E81">
    <cfRule type="cellIs" dxfId="1329" priority="358" operator="lessThan">
      <formula>$F81</formula>
    </cfRule>
    <cfRule type="cellIs" dxfId="1328" priority="359" operator="greaterThan">
      <formula>$G81</formula>
    </cfRule>
    <cfRule type="cellIs" dxfId="1327" priority="360" operator="equal">
      <formula>"NA"</formula>
    </cfRule>
  </conditionalFormatting>
  <conditionalFormatting sqref="C220:E220">
    <cfRule type="cellIs" dxfId="1326" priority="277" operator="lessThan">
      <formula>$F220</formula>
    </cfRule>
    <cfRule type="cellIs" dxfId="1325" priority="278" operator="greaterThan">
      <formula>$G220</formula>
    </cfRule>
    <cfRule type="cellIs" dxfId="1324" priority="279" operator="equal">
      <formula>"NA"</formula>
    </cfRule>
  </conditionalFormatting>
  <conditionalFormatting sqref="C221:E221">
    <cfRule type="cellIs" dxfId="1323" priority="274" operator="lessThan">
      <formula>$F221</formula>
    </cfRule>
    <cfRule type="cellIs" dxfId="1322" priority="275" operator="greaterThan">
      <formula>$G221</formula>
    </cfRule>
    <cfRule type="cellIs" dxfId="1321" priority="276" operator="equal">
      <formula>"NA"</formula>
    </cfRule>
  </conditionalFormatting>
  <conditionalFormatting sqref="C227:E227">
    <cfRule type="cellIs" dxfId="1320" priority="271" operator="lessThan">
      <formula>$F227</formula>
    </cfRule>
    <cfRule type="cellIs" dxfId="1319" priority="272" operator="greaterThan">
      <formula>$G227</formula>
    </cfRule>
    <cfRule type="cellIs" dxfId="1318" priority="273" operator="equal">
      <formula>"NA"</formula>
    </cfRule>
  </conditionalFormatting>
  <conditionalFormatting sqref="C228:E228">
    <cfRule type="cellIs" dxfId="1317" priority="268" operator="lessThan">
      <formula>$F228</formula>
    </cfRule>
    <cfRule type="cellIs" dxfId="1316" priority="269" operator="greaterThan">
      <formula>$G228</formula>
    </cfRule>
    <cfRule type="cellIs" dxfId="1315" priority="270" operator="equal">
      <formula>"NA"</formula>
    </cfRule>
  </conditionalFormatting>
  <conditionalFormatting sqref="C229:E229">
    <cfRule type="cellIs" dxfId="1314" priority="265" operator="lessThan">
      <formula>$F229</formula>
    </cfRule>
    <cfRule type="cellIs" dxfId="1313" priority="266" operator="greaterThan">
      <formula>$G229</formula>
    </cfRule>
    <cfRule type="cellIs" dxfId="1312" priority="267" operator="equal">
      <formula>"NA"</formula>
    </cfRule>
  </conditionalFormatting>
  <conditionalFormatting sqref="C88:E88">
    <cfRule type="cellIs" dxfId="1311" priority="355" operator="lessThan">
      <formula>$F88</formula>
    </cfRule>
    <cfRule type="cellIs" dxfId="1310" priority="356" operator="greaterThan">
      <formula>$G88</formula>
    </cfRule>
    <cfRule type="cellIs" dxfId="1309" priority="357" operator="equal">
      <formula>"NA"</formula>
    </cfRule>
  </conditionalFormatting>
  <conditionalFormatting sqref="C235:E235">
    <cfRule type="cellIs" dxfId="1308" priority="262" operator="lessThan">
      <formula>$F235</formula>
    </cfRule>
    <cfRule type="cellIs" dxfId="1307" priority="263" operator="greaterThan">
      <formula>$G235</formula>
    </cfRule>
    <cfRule type="cellIs" dxfId="1306" priority="264" operator="equal">
      <formula>"NA"</formula>
    </cfRule>
  </conditionalFormatting>
  <conditionalFormatting sqref="C89:E89">
    <cfRule type="cellIs" dxfId="1305" priority="352" operator="lessThan">
      <formula>$F89</formula>
    </cfRule>
    <cfRule type="cellIs" dxfId="1304" priority="353" operator="greaterThan">
      <formula>$G89</formula>
    </cfRule>
    <cfRule type="cellIs" dxfId="1303" priority="354" operator="equal">
      <formula>"NA"</formula>
    </cfRule>
  </conditionalFormatting>
  <conditionalFormatting sqref="C90:E90">
    <cfRule type="cellIs" dxfId="1302" priority="349" operator="lessThan">
      <formula>$F90</formula>
    </cfRule>
    <cfRule type="cellIs" dxfId="1301" priority="350" operator="greaterThan">
      <formula>$G90</formula>
    </cfRule>
    <cfRule type="cellIs" dxfId="1300" priority="351" operator="equal">
      <formula>"NA"</formula>
    </cfRule>
  </conditionalFormatting>
  <conditionalFormatting sqref="C91:E91">
    <cfRule type="cellIs" dxfId="1299" priority="346" operator="lessThan">
      <formula>$F91</formula>
    </cfRule>
    <cfRule type="cellIs" dxfId="1298" priority="347" operator="greaterThan">
      <formula>$G91</formula>
    </cfRule>
    <cfRule type="cellIs" dxfId="1297" priority="348" operator="equal">
      <formula>"NA"</formula>
    </cfRule>
  </conditionalFormatting>
  <conditionalFormatting sqref="C92:E92">
    <cfRule type="cellIs" dxfId="1296" priority="343" operator="lessThan">
      <formula>$F92</formula>
    </cfRule>
    <cfRule type="cellIs" dxfId="1295" priority="344" operator="greaterThan">
      <formula>$G92</formula>
    </cfRule>
    <cfRule type="cellIs" dxfId="1294" priority="345" operator="equal">
      <formula>"NA"</formula>
    </cfRule>
  </conditionalFormatting>
  <conditionalFormatting sqref="C98:E98">
    <cfRule type="cellIs" dxfId="1293" priority="340" operator="lessThan">
      <formula>$F98</formula>
    </cfRule>
    <cfRule type="cellIs" dxfId="1292" priority="341" operator="greaterThan">
      <formula>$G98</formula>
    </cfRule>
    <cfRule type="cellIs" dxfId="1291" priority="342" operator="equal">
      <formula>"NA"</formula>
    </cfRule>
  </conditionalFormatting>
  <conditionalFormatting sqref="C99:E99">
    <cfRule type="cellIs" dxfId="1290" priority="337" operator="lessThan">
      <formula>$F99</formula>
    </cfRule>
    <cfRule type="cellIs" dxfId="1289" priority="338" operator="greaterThan">
      <formula>$G99</formula>
    </cfRule>
    <cfRule type="cellIs" dxfId="1288" priority="339" operator="equal">
      <formula>"NA"</formula>
    </cfRule>
  </conditionalFormatting>
  <conditionalFormatting sqref="C100:E100">
    <cfRule type="cellIs" dxfId="1287" priority="334" operator="lessThan">
      <formula>$F100</formula>
    </cfRule>
    <cfRule type="cellIs" dxfId="1286" priority="335" operator="greaterThan">
      <formula>$G100</formula>
    </cfRule>
    <cfRule type="cellIs" dxfId="1285" priority="336" operator="equal">
      <formula>"NA"</formula>
    </cfRule>
  </conditionalFormatting>
  <conditionalFormatting sqref="C101:E101">
    <cfRule type="cellIs" dxfId="1284" priority="331" operator="lessThan">
      <formula>$F101</formula>
    </cfRule>
    <cfRule type="cellIs" dxfId="1283" priority="332" operator="greaterThan">
      <formula>$G101</formula>
    </cfRule>
    <cfRule type="cellIs" dxfId="1282" priority="333" operator="equal">
      <formula>"NA"</formula>
    </cfRule>
  </conditionalFormatting>
  <conditionalFormatting sqref="C102:E102">
    <cfRule type="cellIs" dxfId="1281" priority="328" operator="lessThan">
      <formula>$F102</formula>
    </cfRule>
    <cfRule type="cellIs" dxfId="1280" priority="329" operator="greaterThan">
      <formula>$G102</formula>
    </cfRule>
    <cfRule type="cellIs" dxfId="1279" priority="330" operator="equal">
      <formula>"NA"</formula>
    </cfRule>
  </conditionalFormatting>
  <conditionalFormatting sqref="C108:E108">
    <cfRule type="cellIs" dxfId="1278" priority="325" operator="lessThan">
      <formula>$F108</formula>
    </cfRule>
    <cfRule type="cellIs" dxfId="1277" priority="326" operator="greaterThan">
      <formula>$G108</formula>
    </cfRule>
    <cfRule type="cellIs" dxfId="1276" priority="327" operator="equal">
      <formula>"NA"</formula>
    </cfRule>
  </conditionalFormatting>
  <conditionalFormatting sqref="C109:E109">
    <cfRule type="cellIs" dxfId="1275" priority="322" operator="lessThan">
      <formula>$F109</formula>
    </cfRule>
    <cfRule type="cellIs" dxfId="1274" priority="323" operator="greaterThan">
      <formula>$G109</formula>
    </cfRule>
    <cfRule type="cellIs" dxfId="1273" priority="324" operator="equal">
      <formula>"NA"</formula>
    </cfRule>
  </conditionalFormatting>
  <conditionalFormatting sqref="C110:E110">
    <cfRule type="cellIs" dxfId="1272" priority="319" operator="lessThan">
      <formula>$F110</formula>
    </cfRule>
    <cfRule type="cellIs" dxfId="1271" priority="320" operator="greaterThan">
      <formula>$G110</formula>
    </cfRule>
    <cfRule type="cellIs" dxfId="1270" priority="321" operator="equal">
      <formula>"NA"</formula>
    </cfRule>
  </conditionalFormatting>
  <conditionalFormatting sqref="C111:E111">
    <cfRule type="cellIs" dxfId="1269" priority="316" operator="lessThan">
      <formula>$F111</formula>
    </cfRule>
    <cfRule type="cellIs" dxfId="1268" priority="317" operator="greaterThan">
      <formula>$G111</formula>
    </cfRule>
    <cfRule type="cellIs" dxfId="1267" priority="318" operator="equal">
      <formula>"NA"</formula>
    </cfRule>
  </conditionalFormatting>
  <conditionalFormatting sqref="C112:E112">
    <cfRule type="cellIs" dxfId="1266" priority="313" operator="lessThan">
      <formula>$F112</formula>
    </cfRule>
    <cfRule type="cellIs" dxfId="1265" priority="314" operator="greaterThan">
      <formula>$G112</formula>
    </cfRule>
    <cfRule type="cellIs" dxfId="1264" priority="315" operator="equal">
      <formula>"NA"</formula>
    </cfRule>
  </conditionalFormatting>
  <conditionalFormatting sqref="C118:E118">
    <cfRule type="cellIs" dxfId="1263" priority="310" operator="lessThan">
      <formula>$F118</formula>
    </cfRule>
    <cfRule type="cellIs" dxfId="1262" priority="311" operator="greaterThan">
      <formula>$G118</formula>
    </cfRule>
    <cfRule type="cellIs" dxfId="1261" priority="312" operator="equal">
      <formula>"NA"</formula>
    </cfRule>
  </conditionalFormatting>
  <conditionalFormatting sqref="C119:E119">
    <cfRule type="cellIs" dxfId="1260" priority="307" operator="lessThan">
      <formula>$F119</formula>
    </cfRule>
    <cfRule type="cellIs" dxfId="1259" priority="308" operator="greaterThan">
      <formula>$G119</formula>
    </cfRule>
    <cfRule type="cellIs" dxfId="1258" priority="309" operator="equal">
      <formula>"NA"</formula>
    </cfRule>
  </conditionalFormatting>
  <conditionalFormatting sqref="C120:E120">
    <cfRule type="cellIs" dxfId="1257" priority="304" operator="lessThan">
      <formula>$F120</formula>
    </cfRule>
    <cfRule type="cellIs" dxfId="1256" priority="305" operator="greaterThan">
      <formula>$G120</formula>
    </cfRule>
    <cfRule type="cellIs" dxfId="1255" priority="306" operator="equal">
      <formula>"NA"</formula>
    </cfRule>
  </conditionalFormatting>
  <conditionalFormatting sqref="C121:E121">
    <cfRule type="cellIs" dxfId="1254" priority="301" operator="lessThan">
      <formula>$F121</formula>
    </cfRule>
    <cfRule type="cellIs" dxfId="1253" priority="302" operator="greaterThan">
      <formula>$G121</formula>
    </cfRule>
    <cfRule type="cellIs" dxfId="1252" priority="303" operator="equal">
      <formula>"NA"</formula>
    </cfRule>
  </conditionalFormatting>
  <conditionalFormatting sqref="C127:E127">
    <cfRule type="cellIs" dxfId="1251" priority="298" operator="lessThan">
      <formula>$F127</formula>
    </cfRule>
    <cfRule type="cellIs" dxfId="1250" priority="299" operator="greaterThan">
      <formula>$G127</formula>
    </cfRule>
    <cfRule type="cellIs" dxfId="1249" priority="300" operator="equal">
      <formula>"NA"</formula>
    </cfRule>
  </conditionalFormatting>
  <conditionalFormatting sqref="C128:E128">
    <cfRule type="cellIs" dxfId="1248" priority="295" operator="lessThan">
      <formula>$F128</formula>
    </cfRule>
    <cfRule type="cellIs" dxfId="1247" priority="296" operator="greaterThan">
      <formula>$G128</formula>
    </cfRule>
    <cfRule type="cellIs" dxfId="1246" priority="297" operator="equal">
      <formula>"NA"</formula>
    </cfRule>
  </conditionalFormatting>
  <conditionalFormatting sqref="C129:E129">
    <cfRule type="cellIs" dxfId="1245" priority="292" operator="lessThan">
      <formula>$F129</formula>
    </cfRule>
    <cfRule type="cellIs" dxfId="1244" priority="293" operator="greaterThan">
      <formula>$G129</formula>
    </cfRule>
    <cfRule type="cellIs" dxfId="1243" priority="294" operator="equal">
      <formula>"NA"</formula>
    </cfRule>
  </conditionalFormatting>
  <conditionalFormatting sqref="C252:E252">
    <cfRule type="cellIs" dxfId="1242" priority="241" operator="lessThan">
      <formula>$F252</formula>
    </cfRule>
    <cfRule type="cellIs" dxfId="1241" priority="242" operator="greaterThan">
      <formula>$G252</formula>
    </cfRule>
    <cfRule type="cellIs" dxfId="1240" priority="243" operator="equal">
      <formula>"NA"</formula>
    </cfRule>
  </conditionalFormatting>
  <conditionalFormatting sqref="C251:E251">
    <cfRule type="cellIs" dxfId="1239" priority="244" operator="lessThan">
      <formula>$F251</formula>
    </cfRule>
    <cfRule type="cellIs" dxfId="1238" priority="245" operator="greaterThan">
      <formula>$G251</formula>
    </cfRule>
    <cfRule type="cellIs" dxfId="1237" priority="246" operator="equal">
      <formula>"NA"</formula>
    </cfRule>
  </conditionalFormatting>
  <conditionalFormatting sqref="C245:E245">
    <cfRule type="cellIs" dxfId="1236" priority="247" operator="lessThan">
      <formula>$F245</formula>
    </cfRule>
    <cfRule type="cellIs" dxfId="1235" priority="248" operator="greaterThan">
      <formula>$G245</formula>
    </cfRule>
    <cfRule type="cellIs" dxfId="1234" priority="249" operator="equal">
      <formula>"NA"</formula>
    </cfRule>
  </conditionalFormatting>
  <conditionalFormatting sqref="C244:E244">
    <cfRule type="cellIs" dxfId="1233" priority="250" operator="lessThan">
      <formula>$F244</formula>
    </cfRule>
    <cfRule type="cellIs" dxfId="1232" priority="251" operator="greaterThan">
      <formula>$G244</formula>
    </cfRule>
    <cfRule type="cellIs" dxfId="1231" priority="252" operator="equal">
      <formula>"NA"</formula>
    </cfRule>
  </conditionalFormatting>
  <conditionalFormatting sqref="C243:E243">
    <cfRule type="cellIs" dxfId="1230" priority="253" operator="lessThan">
      <formula>$F243</formula>
    </cfRule>
    <cfRule type="cellIs" dxfId="1229" priority="254" operator="greaterThan">
      <formula>$G243</formula>
    </cfRule>
    <cfRule type="cellIs" dxfId="1228" priority="255" operator="equal">
      <formula>"NA"</formula>
    </cfRule>
  </conditionalFormatting>
  <conditionalFormatting sqref="C212:E212">
    <cfRule type="cellIs" dxfId="1227" priority="286" operator="lessThan">
      <formula>$F212</formula>
    </cfRule>
    <cfRule type="cellIs" dxfId="1226" priority="287" operator="greaterThan">
      <formula>$G212</formula>
    </cfRule>
    <cfRule type="cellIs" dxfId="1225" priority="288" operator="equal">
      <formula>"NA"</formula>
    </cfRule>
  </conditionalFormatting>
  <conditionalFormatting sqref="C213:E213">
    <cfRule type="cellIs" dxfId="1224" priority="283" operator="lessThan">
      <formula>$F213</formula>
    </cfRule>
    <cfRule type="cellIs" dxfId="1223" priority="284" operator="greaterThan">
      <formula>$G213</formula>
    </cfRule>
    <cfRule type="cellIs" dxfId="1222" priority="285" operator="equal">
      <formula>"NA"</formula>
    </cfRule>
  </conditionalFormatting>
  <conditionalFormatting sqref="C219:E219">
    <cfRule type="cellIs" dxfId="1221" priority="280" operator="lessThan">
      <formula>$F219</formula>
    </cfRule>
    <cfRule type="cellIs" dxfId="1220" priority="281" operator="greaterThan">
      <formula>$G219</formula>
    </cfRule>
    <cfRule type="cellIs" dxfId="1219" priority="282" operator="equal">
      <formula>"NA"</formula>
    </cfRule>
  </conditionalFormatting>
  <conditionalFormatting sqref="C236:E236">
    <cfRule type="cellIs" dxfId="1218" priority="259" operator="lessThan">
      <formula>$F236</formula>
    </cfRule>
    <cfRule type="cellIs" dxfId="1217" priority="260" operator="greaterThan">
      <formula>$G236</formula>
    </cfRule>
    <cfRule type="cellIs" dxfId="1216" priority="261" operator="equal">
      <formula>"NA"</formula>
    </cfRule>
  </conditionalFormatting>
  <conditionalFormatting sqref="C237:E237">
    <cfRule type="cellIs" dxfId="1215" priority="256" operator="lessThan">
      <formula>$F237</formula>
    </cfRule>
    <cfRule type="cellIs" dxfId="1214" priority="257" operator="greaterThan">
      <formula>$G237</formula>
    </cfRule>
    <cfRule type="cellIs" dxfId="1213" priority="258" operator="equal">
      <formula>"NA"</formula>
    </cfRule>
  </conditionalFormatting>
  <conditionalFormatting sqref="C253:E253">
    <cfRule type="cellIs" dxfId="1212" priority="238" operator="lessThan">
      <formula>$F253</formula>
    </cfRule>
    <cfRule type="cellIs" dxfId="1211" priority="239" operator="greaterThan">
      <formula>$G253</formula>
    </cfRule>
    <cfRule type="cellIs" dxfId="1210" priority="240" operator="equal">
      <formula>"NA"</formula>
    </cfRule>
  </conditionalFormatting>
  <conditionalFormatting sqref="C259:E259">
    <cfRule type="cellIs" dxfId="1209" priority="235" operator="lessThan">
      <formula>$F259</formula>
    </cfRule>
    <cfRule type="cellIs" dxfId="1208" priority="236" operator="greaterThan">
      <formula>$G259</formula>
    </cfRule>
    <cfRule type="cellIs" dxfId="1207" priority="237" operator="equal">
      <formula>"NA"</formula>
    </cfRule>
  </conditionalFormatting>
  <conditionalFormatting sqref="C260:E260">
    <cfRule type="cellIs" dxfId="1206" priority="232" operator="lessThan">
      <formula>$F260</formula>
    </cfRule>
    <cfRule type="cellIs" dxfId="1205" priority="233" operator="greaterThan">
      <formula>$G260</formula>
    </cfRule>
    <cfRule type="cellIs" dxfId="1204" priority="234" operator="equal">
      <formula>"NA"</formula>
    </cfRule>
  </conditionalFormatting>
  <conditionalFormatting sqref="C261:E261">
    <cfRule type="cellIs" dxfId="1203" priority="229" operator="lessThan">
      <formula>$F261</formula>
    </cfRule>
    <cfRule type="cellIs" dxfId="1202" priority="230" operator="greaterThan">
      <formula>$G261</formula>
    </cfRule>
    <cfRule type="cellIs" dxfId="1201" priority="231" operator="equal">
      <formula>"NA"</formula>
    </cfRule>
  </conditionalFormatting>
  <conditionalFormatting sqref="C267:E267">
    <cfRule type="cellIs" dxfId="1200" priority="226" operator="lessThan">
      <formula>$F267</formula>
    </cfRule>
    <cfRule type="cellIs" dxfId="1199" priority="227" operator="greaterThan">
      <formula>$G267</formula>
    </cfRule>
    <cfRule type="cellIs" dxfId="1198" priority="228" operator="equal">
      <formula>"NA"</formula>
    </cfRule>
  </conditionalFormatting>
  <conditionalFormatting sqref="C268:E268">
    <cfRule type="cellIs" dxfId="1197" priority="223" operator="lessThan">
      <formula>$F268</formula>
    </cfRule>
    <cfRule type="cellIs" dxfId="1196" priority="224" operator="greaterThan">
      <formula>$G268</formula>
    </cfRule>
    <cfRule type="cellIs" dxfId="1195" priority="225" operator="equal">
      <formula>"NA"</formula>
    </cfRule>
  </conditionalFormatting>
  <conditionalFormatting sqref="C269:E269">
    <cfRule type="cellIs" dxfId="1194" priority="220" operator="lessThan">
      <formula>$F269</formula>
    </cfRule>
    <cfRule type="cellIs" dxfId="1193" priority="221" operator="greaterThan">
      <formula>$G269</formula>
    </cfRule>
    <cfRule type="cellIs" dxfId="1192" priority="222" operator="equal">
      <formula>"NA"</formula>
    </cfRule>
  </conditionalFormatting>
  <conditionalFormatting sqref="C276:E276">
    <cfRule type="cellIs" dxfId="1191" priority="217" operator="lessThan">
      <formula>$F276</formula>
    </cfRule>
    <cfRule type="cellIs" dxfId="1190" priority="218" operator="greaterThan">
      <formula>$G276</formula>
    </cfRule>
    <cfRule type="cellIs" dxfId="1189" priority="219" operator="equal">
      <formula>"NA"</formula>
    </cfRule>
  </conditionalFormatting>
  <conditionalFormatting sqref="C277:E277">
    <cfRule type="cellIs" dxfId="1188" priority="214" operator="lessThan">
      <formula>$F277</formula>
    </cfRule>
    <cfRule type="cellIs" dxfId="1187" priority="215" operator="greaterThan">
      <formula>$G277</formula>
    </cfRule>
    <cfRule type="cellIs" dxfId="1186" priority="216" operator="equal">
      <formula>"NA"</formula>
    </cfRule>
  </conditionalFormatting>
  <conditionalFormatting sqref="C278:E278">
    <cfRule type="cellIs" dxfId="1185" priority="211" operator="lessThan">
      <formula>$F278</formula>
    </cfRule>
    <cfRule type="cellIs" dxfId="1184" priority="212" operator="greaterThan">
      <formula>$G278</formula>
    </cfRule>
    <cfRule type="cellIs" dxfId="1183" priority="213" operator="equal">
      <formula>"NA"</formula>
    </cfRule>
  </conditionalFormatting>
  <conditionalFormatting sqref="C279:E279">
    <cfRule type="cellIs" dxfId="1182" priority="208" operator="lessThan">
      <formula>$F279</formula>
    </cfRule>
    <cfRule type="cellIs" dxfId="1181" priority="209" operator="greaterThan">
      <formula>$G279</formula>
    </cfRule>
    <cfRule type="cellIs" dxfId="1180" priority="210" operator="equal">
      <formula>"NA"</formula>
    </cfRule>
  </conditionalFormatting>
  <conditionalFormatting sqref="C285:E285">
    <cfRule type="cellIs" dxfId="1179" priority="205" operator="lessThan">
      <formula>$F285</formula>
    </cfRule>
    <cfRule type="cellIs" dxfId="1178" priority="206" operator="greaterThan">
      <formula>$G285</formula>
    </cfRule>
    <cfRule type="cellIs" dxfId="1177" priority="207" operator="equal">
      <formula>"NA"</formula>
    </cfRule>
  </conditionalFormatting>
  <conditionalFormatting sqref="C286:E286">
    <cfRule type="cellIs" dxfId="1176" priority="202" operator="lessThan">
      <formula>$F286</formula>
    </cfRule>
    <cfRule type="cellIs" dxfId="1175" priority="203" operator="greaterThan">
      <formula>$G286</formula>
    </cfRule>
    <cfRule type="cellIs" dxfId="1174" priority="204" operator="equal">
      <formula>"NA"</formula>
    </cfRule>
  </conditionalFormatting>
  <conditionalFormatting sqref="C287:E287">
    <cfRule type="cellIs" dxfId="1173" priority="199" operator="lessThan">
      <formula>$F287</formula>
    </cfRule>
    <cfRule type="cellIs" dxfId="1172" priority="200" operator="greaterThan">
      <formula>$G287</formula>
    </cfRule>
    <cfRule type="cellIs" dxfId="1171" priority="201" operator="equal">
      <formula>"NA"</formula>
    </cfRule>
  </conditionalFormatting>
  <conditionalFormatting sqref="C288:E288">
    <cfRule type="cellIs" dxfId="1170" priority="196" operator="lessThan">
      <formula>$F288</formula>
    </cfRule>
    <cfRule type="cellIs" dxfId="1169" priority="197" operator="greaterThan">
      <formula>$G288</formula>
    </cfRule>
    <cfRule type="cellIs" dxfId="1168" priority="198" operator="equal">
      <formula>"NA"</formula>
    </cfRule>
  </conditionalFormatting>
  <conditionalFormatting sqref="C294:E294">
    <cfRule type="cellIs" dxfId="1167" priority="193" operator="lessThan">
      <formula>$F294</formula>
    </cfRule>
    <cfRule type="cellIs" dxfId="1166" priority="194" operator="greaterThan">
      <formula>$G294</formula>
    </cfRule>
    <cfRule type="cellIs" dxfId="1165" priority="195" operator="equal">
      <formula>"NA"</formula>
    </cfRule>
  </conditionalFormatting>
  <conditionalFormatting sqref="C295:E295">
    <cfRule type="cellIs" dxfId="1164" priority="190" operator="lessThan">
      <formula>$F295</formula>
    </cfRule>
    <cfRule type="cellIs" dxfId="1163" priority="191" operator="greaterThan">
      <formula>$G295</formula>
    </cfRule>
    <cfRule type="cellIs" dxfId="1162" priority="192" operator="equal">
      <formula>"NA"</formula>
    </cfRule>
  </conditionalFormatting>
  <conditionalFormatting sqref="C296:E296">
    <cfRule type="cellIs" dxfId="1161" priority="187" operator="lessThan">
      <formula>$F296</formula>
    </cfRule>
    <cfRule type="cellIs" dxfId="1160" priority="188" operator="greaterThan">
      <formula>$G296</formula>
    </cfRule>
    <cfRule type="cellIs" dxfId="1159" priority="189" operator="equal">
      <formula>"NA"</formula>
    </cfRule>
  </conditionalFormatting>
  <conditionalFormatting sqref="C297:E297">
    <cfRule type="cellIs" dxfId="1158" priority="184" operator="lessThan">
      <formula>$F297</formula>
    </cfRule>
    <cfRule type="cellIs" dxfId="1157" priority="185" operator="greaterThan">
      <formula>$G297</formula>
    </cfRule>
    <cfRule type="cellIs" dxfId="1156" priority="186" operator="equal">
      <formula>"NA"</formula>
    </cfRule>
  </conditionalFormatting>
  <conditionalFormatting sqref="C303:E303">
    <cfRule type="cellIs" dxfId="1155" priority="181" operator="lessThan">
      <formula>$F303</formula>
    </cfRule>
    <cfRule type="cellIs" dxfId="1154" priority="182" operator="greaterThan">
      <formula>$G303</formula>
    </cfRule>
    <cfRule type="cellIs" dxfId="1153" priority="183" operator="equal">
      <formula>"NA"</formula>
    </cfRule>
  </conditionalFormatting>
  <conditionalFormatting sqref="C304:E304">
    <cfRule type="cellIs" dxfId="1152" priority="178" operator="lessThan">
      <formula>$F304</formula>
    </cfRule>
    <cfRule type="cellIs" dxfId="1151" priority="179" operator="greaterThan">
      <formula>$G304</formula>
    </cfRule>
    <cfRule type="cellIs" dxfId="1150" priority="180" operator="equal">
      <formula>"NA"</formula>
    </cfRule>
  </conditionalFormatting>
  <conditionalFormatting sqref="C204:E204">
    <cfRule type="cellIs" dxfId="1149" priority="175" operator="equal">
      <formula>"NA"</formula>
    </cfRule>
    <cfRule type="cellIs" dxfId="1148" priority="176" operator="lessThan">
      <formula>$F204</formula>
    </cfRule>
    <cfRule type="cellIs" dxfId="1147" priority="177" operator="greaterThan">
      <formula>$G204</formula>
    </cfRule>
  </conditionalFormatting>
  <conditionalFormatting sqref="C141:E141">
    <cfRule type="cellIs" dxfId="1146" priority="166" operator="lessThan">
      <formula>$F141</formula>
    </cfRule>
    <cfRule type="cellIs" dxfId="1145" priority="167" operator="greaterThan">
      <formula>$G141</formula>
    </cfRule>
    <cfRule type="cellIs" dxfId="1144" priority="168" operator="equal">
      <formula>"NA"</formula>
    </cfRule>
  </conditionalFormatting>
  <conditionalFormatting sqref="C142:E142">
    <cfRule type="cellIs" dxfId="1143" priority="163" operator="lessThan">
      <formula>$F142</formula>
    </cfRule>
    <cfRule type="cellIs" dxfId="1142" priority="164" operator="greaterThan">
      <formula>$G142</formula>
    </cfRule>
    <cfRule type="cellIs" dxfId="1141" priority="165" operator="equal">
      <formula>"NA"</formula>
    </cfRule>
  </conditionalFormatting>
  <conditionalFormatting sqref="C139:E139">
    <cfRule type="cellIs" dxfId="1140" priority="172" operator="lessThan">
      <formula>$F139</formula>
    </cfRule>
    <cfRule type="cellIs" dxfId="1139" priority="173" operator="greaterThan">
      <formula>$G139</formula>
    </cfRule>
    <cfRule type="cellIs" dxfId="1138" priority="174" operator="equal">
      <formula>"NA"</formula>
    </cfRule>
  </conditionalFormatting>
  <conditionalFormatting sqref="C140:E140">
    <cfRule type="cellIs" dxfId="1137" priority="169" operator="lessThan">
      <formula>$F140</formula>
    </cfRule>
    <cfRule type="cellIs" dxfId="1136" priority="170" operator="greaterThan">
      <formula>$G140</formula>
    </cfRule>
    <cfRule type="cellIs" dxfId="1135" priority="171" operator="equal">
      <formula>"NA"</formula>
    </cfRule>
  </conditionalFormatting>
  <conditionalFormatting sqref="C149:E149">
    <cfRule type="cellIs" dxfId="1134" priority="160" operator="lessThan">
      <formula>$F149</formula>
    </cfRule>
    <cfRule type="cellIs" dxfId="1133" priority="161" operator="greaterThan">
      <formula>$G149</formula>
    </cfRule>
    <cfRule type="cellIs" dxfId="1132" priority="162" operator="equal">
      <formula>"NA"</formula>
    </cfRule>
  </conditionalFormatting>
  <conditionalFormatting sqref="C150:E150">
    <cfRule type="cellIs" dxfId="1131" priority="157" operator="lessThan">
      <formula>$F150</formula>
    </cfRule>
    <cfRule type="cellIs" dxfId="1130" priority="158" operator="greaterThan">
      <formula>$G150</formula>
    </cfRule>
    <cfRule type="cellIs" dxfId="1129" priority="159" operator="equal">
      <formula>"NA"</formula>
    </cfRule>
  </conditionalFormatting>
  <conditionalFormatting sqref="C151:E151">
    <cfRule type="cellIs" dxfId="1128" priority="154" operator="lessThan">
      <formula>$F151</formula>
    </cfRule>
    <cfRule type="cellIs" dxfId="1127" priority="155" operator="greaterThan">
      <formula>$G151</formula>
    </cfRule>
    <cfRule type="cellIs" dxfId="1126" priority="156" operator="equal">
      <formula>"NA"</formula>
    </cfRule>
  </conditionalFormatting>
  <conditionalFormatting sqref="C152:E152">
    <cfRule type="cellIs" dxfId="1125" priority="151" operator="lessThan">
      <formula>$F152</formula>
    </cfRule>
    <cfRule type="cellIs" dxfId="1124" priority="152" operator="greaterThan">
      <formula>$G152</formula>
    </cfRule>
    <cfRule type="cellIs" dxfId="1123" priority="153" operator="equal">
      <formula>"NA"</formula>
    </cfRule>
  </conditionalFormatting>
  <conditionalFormatting sqref="C153:E153">
    <cfRule type="cellIs" dxfId="1122" priority="148" operator="lessThan">
      <formula>$F153</formula>
    </cfRule>
    <cfRule type="cellIs" dxfId="1121" priority="149" operator="greaterThan">
      <formula>$G153</formula>
    </cfRule>
    <cfRule type="cellIs" dxfId="1120" priority="150" operator="equal">
      <formula>"NA"</formula>
    </cfRule>
  </conditionalFormatting>
  <conditionalFormatting sqref="C154:E154">
    <cfRule type="cellIs" dxfId="1119" priority="145" operator="lessThan">
      <formula>$F154</formula>
    </cfRule>
    <cfRule type="cellIs" dxfId="1118" priority="146" operator="greaterThan">
      <formula>$G154</formula>
    </cfRule>
    <cfRule type="cellIs" dxfId="1117" priority="147" operator="equal">
      <formula>"NA"</formula>
    </cfRule>
  </conditionalFormatting>
  <conditionalFormatting sqref="C155:E155">
    <cfRule type="cellIs" dxfId="1116" priority="142" operator="lessThan">
      <formula>$F155</formula>
    </cfRule>
    <cfRule type="cellIs" dxfId="1115" priority="143" operator="greaterThan">
      <formula>$G155</formula>
    </cfRule>
    <cfRule type="cellIs" dxfId="1114" priority="144" operator="equal">
      <formula>"NA"</formula>
    </cfRule>
  </conditionalFormatting>
  <conditionalFormatting sqref="C156:E156">
    <cfRule type="cellIs" dxfId="1113" priority="139" operator="lessThan">
      <formula>$F156</formula>
    </cfRule>
    <cfRule type="cellIs" dxfId="1112" priority="140" operator="greaterThan">
      <formula>$G156</formula>
    </cfRule>
    <cfRule type="cellIs" dxfId="1111" priority="141" operator="equal">
      <formula>"NA"</formula>
    </cfRule>
  </conditionalFormatting>
  <conditionalFormatting sqref="C157:E157">
    <cfRule type="cellIs" dxfId="1110" priority="136" operator="lessThan">
      <formula>$F157</formula>
    </cfRule>
    <cfRule type="cellIs" dxfId="1109" priority="137" operator="greaterThan">
      <formula>$G157</formula>
    </cfRule>
    <cfRule type="cellIs" dxfId="1108" priority="138" operator="equal">
      <formula>"NA"</formula>
    </cfRule>
  </conditionalFormatting>
  <conditionalFormatting sqref="C158:E158">
    <cfRule type="cellIs" dxfId="1107" priority="133" operator="lessThan">
      <formula>$F158</formula>
    </cfRule>
    <cfRule type="cellIs" dxfId="1106" priority="134" operator="greaterThan">
      <formula>$G158</formula>
    </cfRule>
    <cfRule type="cellIs" dxfId="1105" priority="135" operator="equal">
      <formula>"NA"</formula>
    </cfRule>
  </conditionalFormatting>
  <conditionalFormatting sqref="C174:E174">
    <cfRule type="cellIs" dxfId="1104" priority="130" operator="lessThan">
      <formula>$F174</formula>
    </cfRule>
    <cfRule type="cellIs" dxfId="1103" priority="131" operator="greaterThan">
      <formula>$G174</formula>
    </cfRule>
    <cfRule type="cellIs" dxfId="1102" priority="132" operator="equal">
      <formula>"NA"</formula>
    </cfRule>
  </conditionalFormatting>
  <conditionalFormatting sqref="C175:E175">
    <cfRule type="cellIs" dxfId="1101" priority="127" operator="lessThan">
      <formula>$F175</formula>
    </cfRule>
    <cfRule type="cellIs" dxfId="1100" priority="128" operator="greaterThan">
      <formula>$G175</formula>
    </cfRule>
    <cfRule type="cellIs" dxfId="1099" priority="129" operator="equal">
      <formula>"NA"</formula>
    </cfRule>
  </conditionalFormatting>
  <conditionalFormatting sqref="C176:E176">
    <cfRule type="cellIs" dxfId="1098" priority="124" operator="lessThan">
      <formula>$F176</formula>
    </cfRule>
    <cfRule type="cellIs" dxfId="1097" priority="125" operator="greaterThan">
      <formula>$G176</formula>
    </cfRule>
    <cfRule type="cellIs" dxfId="1096" priority="126" operator="equal">
      <formula>"NA"</formula>
    </cfRule>
  </conditionalFormatting>
  <conditionalFormatting sqref="C177:E177">
    <cfRule type="cellIs" dxfId="1095" priority="121" operator="lessThan">
      <formula>$F177</formula>
    </cfRule>
    <cfRule type="cellIs" dxfId="1094" priority="122" operator="greaterThan">
      <formula>$G177</formula>
    </cfRule>
    <cfRule type="cellIs" dxfId="1093" priority="123" operator="equal">
      <formula>"NA"</formula>
    </cfRule>
  </conditionalFormatting>
  <conditionalFormatting sqref="C178:E178">
    <cfRule type="cellIs" dxfId="1092" priority="118" operator="lessThan">
      <formula>$F178</formula>
    </cfRule>
    <cfRule type="cellIs" dxfId="1091" priority="119" operator="greaterThan">
      <formula>$G178</formula>
    </cfRule>
    <cfRule type="cellIs" dxfId="1090" priority="120" operator="equal">
      <formula>"NA"</formula>
    </cfRule>
  </conditionalFormatting>
  <conditionalFormatting sqref="C179:E179">
    <cfRule type="cellIs" dxfId="1089" priority="115" operator="lessThan">
      <formula>$F179</formula>
    </cfRule>
    <cfRule type="cellIs" dxfId="1088" priority="116" operator="greaterThan">
      <formula>$G179</formula>
    </cfRule>
    <cfRule type="cellIs" dxfId="1087" priority="117" operator="equal">
      <formula>"NA"</formula>
    </cfRule>
  </conditionalFormatting>
  <conditionalFormatting sqref="C186:E186">
    <cfRule type="cellIs" dxfId="1086" priority="112" operator="lessThan">
      <formula>$F186</formula>
    </cfRule>
    <cfRule type="cellIs" dxfId="1085" priority="113" operator="greaterThan">
      <formula>$G186</formula>
    </cfRule>
    <cfRule type="cellIs" dxfId="1084" priority="114" operator="equal">
      <formula>"NA"</formula>
    </cfRule>
  </conditionalFormatting>
  <conditionalFormatting sqref="C187:E187">
    <cfRule type="cellIs" dxfId="1083" priority="109" operator="lessThan">
      <formula>$F187</formula>
    </cfRule>
    <cfRule type="cellIs" dxfId="1082" priority="110" operator="greaterThan">
      <formula>$G187</formula>
    </cfRule>
    <cfRule type="cellIs" dxfId="1081" priority="111" operator="equal">
      <formula>"NA"</formula>
    </cfRule>
  </conditionalFormatting>
  <conditionalFormatting sqref="C188:E188">
    <cfRule type="cellIs" dxfId="1080" priority="106" operator="lessThan">
      <formula>$F188</formula>
    </cfRule>
    <cfRule type="cellIs" dxfId="1079" priority="107" operator="greaterThan">
      <formula>$G188</formula>
    </cfRule>
    <cfRule type="cellIs" dxfId="1078" priority="108" operator="equal">
      <formula>"NA"</formula>
    </cfRule>
  </conditionalFormatting>
  <conditionalFormatting sqref="C195:E195">
    <cfRule type="cellIs" dxfId="1077" priority="103" operator="lessThan">
      <formula>$F195</formula>
    </cfRule>
    <cfRule type="cellIs" dxfId="1076" priority="104" operator="greaterThan">
      <formula>$G195</formula>
    </cfRule>
    <cfRule type="cellIs" dxfId="1075" priority="105" operator="equal">
      <formula>"NA"</formula>
    </cfRule>
  </conditionalFormatting>
  <conditionalFormatting sqref="C196:E196">
    <cfRule type="cellIs" dxfId="1074" priority="100" operator="lessThan">
      <formula>$F196</formula>
    </cfRule>
    <cfRule type="cellIs" dxfId="1073" priority="101" operator="greaterThan">
      <formula>$G196</formula>
    </cfRule>
    <cfRule type="cellIs" dxfId="1072" priority="102" operator="equal">
      <formula>"NA"</formula>
    </cfRule>
  </conditionalFormatting>
  <conditionalFormatting sqref="C197:E197">
    <cfRule type="cellIs" dxfId="1071" priority="97" operator="lessThan">
      <formula>$F197</formula>
    </cfRule>
    <cfRule type="cellIs" dxfId="1070" priority="98" operator="greaterThan">
      <formula>$G197</formula>
    </cfRule>
    <cfRule type="cellIs" dxfId="1069" priority="99" operator="equal">
      <formula>"NA"</formula>
    </cfRule>
  </conditionalFormatting>
  <conditionalFormatting sqref="C198:E198">
    <cfRule type="cellIs" dxfId="1068" priority="94" operator="lessThan">
      <formula>$F198</formula>
    </cfRule>
    <cfRule type="cellIs" dxfId="1067" priority="95" operator="greaterThan">
      <formula>$G198</formula>
    </cfRule>
    <cfRule type="cellIs" dxfId="1066" priority="96" operator="equal">
      <formula>"NA"</formula>
    </cfRule>
  </conditionalFormatting>
  <conditionalFormatting sqref="C199:E199">
    <cfRule type="cellIs" dxfId="1065" priority="91" operator="lessThan">
      <formula>$F199</formula>
    </cfRule>
    <cfRule type="cellIs" dxfId="1064" priority="92" operator="greaterThan">
      <formula>$G199</formula>
    </cfRule>
    <cfRule type="cellIs" dxfId="1063" priority="93" operator="equal">
      <formula>"NA"</formula>
    </cfRule>
  </conditionalFormatting>
  <conditionalFormatting sqref="C200:E200">
    <cfRule type="cellIs" dxfId="1062" priority="88" operator="lessThan">
      <formula>$F200</formula>
    </cfRule>
    <cfRule type="cellIs" dxfId="1061" priority="89" operator="greaterThan">
      <formula>$G200</formula>
    </cfRule>
    <cfRule type="cellIs" dxfId="1060" priority="90" operator="equal">
      <formula>"NA"</formula>
    </cfRule>
  </conditionalFormatting>
  <conditionalFormatting sqref="C201:E201">
    <cfRule type="cellIs" dxfId="1059" priority="85" operator="lessThan">
      <formula>$F201</formula>
    </cfRule>
    <cfRule type="cellIs" dxfId="1058" priority="86" operator="greaterThan">
      <formula>$G201</formula>
    </cfRule>
    <cfRule type="cellIs" dxfId="1057" priority="87" operator="equal">
      <formula>"NA"</formula>
    </cfRule>
  </conditionalFormatting>
  <conditionalFormatting sqref="C202:E202">
    <cfRule type="cellIs" dxfId="1056" priority="82" operator="lessThan">
      <formula>$F202</formula>
    </cfRule>
    <cfRule type="cellIs" dxfId="1055" priority="83" operator="greaterThan">
      <formula>$G202</formula>
    </cfRule>
    <cfRule type="cellIs" dxfId="1054" priority="84" operator="equal">
      <formula>"NA"</formula>
    </cfRule>
  </conditionalFormatting>
  <conditionalFormatting sqref="C203:E203">
    <cfRule type="cellIs" dxfId="1053" priority="79" operator="lessThan">
      <formula>$F203</formula>
    </cfRule>
    <cfRule type="cellIs" dxfId="1052" priority="80" operator="greaterThan">
      <formula>$G203</formula>
    </cfRule>
    <cfRule type="cellIs" dxfId="1051" priority="81" operator="equal">
      <formula>"NA"</formula>
    </cfRule>
  </conditionalFormatting>
  <conditionalFormatting sqref="C172:E172">
    <cfRule type="cellIs" dxfId="1050" priority="76" operator="lessThan">
      <formula>$F172</formula>
    </cfRule>
    <cfRule type="cellIs" dxfId="1049" priority="77" operator="greaterThan">
      <formula>$G172</formula>
    </cfRule>
    <cfRule type="cellIs" dxfId="1048" priority="78" operator="equal">
      <formula>"NA"</formula>
    </cfRule>
  </conditionalFormatting>
  <conditionalFormatting sqref="C173:E173">
    <cfRule type="cellIs" dxfId="1047" priority="73" operator="lessThan">
      <formula>$F173</formula>
    </cfRule>
    <cfRule type="cellIs" dxfId="1046" priority="74" operator="greaterThan">
      <formula>$G173</formula>
    </cfRule>
    <cfRule type="cellIs" dxfId="1045" priority="75" operator="equal">
      <formula>"NA"</formula>
    </cfRule>
  </conditionalFormatting>
  <conditionalFormatting sqref="C64:E64">
    <cfRule type="cellIs" dxfId="1044" priority="34" operator="lessThan">
      <formula>$F64</formula>
    </cfRule>
    <cfRule type="cellIs" dxfId="1043" priority="35" operator="greaterThan">
      <formula>$G64</formula>
    </cfRule>
    <cfRule type="cellIs" dxfId="1042" priority="36" operator="equal">
      <formula>"NA"</formula>
    </cfRule>
  </conditionalFormatting>
  <conditionalFormatting sqref="C70:E70">
    <cfRule type="cellIs" dxfId="1041" priority="31" operator="lessThan">
      <formula>$F70</formula>
    </cfRule>
    <cfRule type="cellIs" dxfId="1040" priority="32" operator="greaterThan">
      <formula>$G70</formula>
    </cfRule>
    <cfRule type="cellIs" dxfId="1039" priority="33" operator="equal">
      <formula>"NA"</formula>
    </cfRule>
  </conditionalFormatting>
  <conditionalFormatting sqref="C37:E37">
    <cfRule type="cellIs" dxfId="1038" priority="70" operator="lessThan">
      <formula>$F37</formula>
    </cfRule>
    <cfRule type="cellIs" dxfId="1037" priority="71" operator="greaterThan">
      <formula>$G37</formula>
    </cfRule>
    <cfRule type="cellIs" dxfId="1036" priority="72" operator="equal">
      <formula>"NA"</formula>
    </cfRule>
  </conditionalFormatting>
  <conditionalFormatting sqref="C38:E38">
    <cfRule type="cellIs" dxfId="1035" priority="67" operator="lessThan">
      <formula>$F38</formula>
    </cfRule>
    <cfRule type="cellIs" dxfId="1034" priority="68" operator="greaterThan">
      <formula>$G38</formula>
    </cfRule>
    <cfRule type="cellIs" dxfId="1033" priority="69" operator="equal">
      <formula>"NA"</formula>
    </cfRule>
  </conditionalFormatting>
  <conditionalFormatting sqref="C44:E44">
    <cfRule type="cellIs" dxfId="1032" priority="64" operator="lessThan">
      <formula>$F44</formula>
    </cfRule>
    <cfRule type="cellIs" dxfId="1031" priority="65" operator="greaterThan">
      <formula>$G44</formula>
    </cfRule>
    <cfRule type="cellIs" dxfId="1030" priority="66" operator="equal">
      <formula>"NA"</formula>
    </cfRule>
  </conditionalFormatting>
  <conditionalFormatting sqref="C45:E45">
    <cfRule type="cellIs" dxfId="1029" priority="61" operator="lessThan">
      <formula>$F45</formula>
    </cfRule>
    <cfRule type="cellIs" dxfId="1028" priority="62" operator="greaterThan">
      <formula>$G45</formula>
    </cfRule>
    <cfRule type="cellIs" dxfId="1027" priority="63" operator="equal">
      <formula>"NA"</formula>
    </cfRule>
  </conditionalFormatting>
  <conditionalFormatting sqref="C71:E71">
    <cfRule type="cellIs" dxfId="1026" priority="28" operator="lessThan">
      <formula>$F71</formula>
    </cfRule>
    <cfRule type="cellIs" dxfId="1025" priority="29" operator="greaterThan">
      <formula>$G71</formula>
    </cfRule>
    <cfRule type="cellIs" dxfId="1024" priority="30" operator="equal">
      <formula>"NA"</formula>
    </cfRule>
  </conditionalFormatting>
  <conditionalFormatting sqref="C72:E72">
    <cfRule type="cellIs" dxfId="1023" priority="25" operator="lessThan">
      <formula>$F72</formula>
    </cfRule>
    <cfRule type="cellIs" dxfId="1022" priority="26" operator="greaterThan">
      <formula>$G72</formula>
    </cfRule>
    <cfRule type="cellIs" dxfId="1021" priority="27" operator="equal">
      <formula>"NA"</formula>
    </cfRule>
  </conditionalFormatting>
  <conditionalFormatting sqref="C46:E46">
    <cfRule type="cellIs" dxfId="1020" priority="58" operator="lessThan">
      <formula>$F46</formula>
    </cfRule>
    <cfRule type="cellIs" dxfId="1019" priority="59" operator="greaterThan">
      <formula>$G46</formula>
    </cfRule>
    <cfRule type="cellIs" dxfId="1018" priority="60" operator="equal">
      <formula>"NA"</formula>
    </cfRule>
  </conditionalFormatting>
  <conditionalFormatting sqref="C52:E52">
    <cfRule type="cellIs" dxfId="1017" priority="55" operator="lessThan">
      <formula>$F52</formula>
    </cfRule>
    <cfRule type="cellIs" dxfId="1016" priority="56" operator="greaterThan">
      <formula>$G52</formula>
    </cfRule>
    <cfRule type="cellIs" dxfId="1015" priority="57" operator="equal">
      <formula>"NA"</formula>
    </cfRule>
  </conditionalFormatting>
  <conditionalFormatting sqref="C53:E53">
    <cfRule type="cellIs" dxfId="1014" priority="52" operator="lessThan">
      <formula>$F53</formula>
    </cfRule>
    <cfRule type="cellIs" dxfId="1013" priority="53" operator="greaterThan">
      <formula>$G53</formula>
    </cfRule>
    <cfRule type="cellIs" dxfId="1012" priority="54" operator="equal">
      <formula>"NA"</formula>
    </cfRule>
  </conditionalFormatting>
  <conditionalFormatting sqref="C54:E54">
    <cfRule type="cellIs" dxfId="1011" priority="49" operator="lessThan">
      <formula>$F54</formula>
    </cfRule>
    <cfRule type="cellIs" dxfId="1010" priority="50" operator="greaterThan">
      <formula>$G54</formula>
    </cfRule>
    <cfRule type="cellIs" dxfId="1009" priority="51" operator="equal">
      <formula>"NA"</formula>
    </cfRule>
  </conditionalFormatting>
  <conditionalFormatting sqref="C55:E55">
    <cfRule type="cellIs" dxfId="1008" priority="46" operator="lessThan">
      <formula>$F55</formula>
    </cfRule>
    <cfRule type="cellIs" dxfId="1007" priority="47" operator="greaterThan">
      <formula>$G55</formula>
    </cfRule>
    <cfRule type="cellIs" dxfId="1006" priority="48" operator="equal">
      <formula>"NA"</formula>
    </cfRule>
  </conditionalFormatting>
  <conditionalFormatting sqref="C56:E56">
    <cfRule type="cellIs" dxfId="1005" priority="43" operator="lessThan">
      <formula>$F56</formula>
    </cfRule>
    <cfRule type="cellIs" dxfId="1004" priority="44" operator="greaterThan">
      <formula>$G56</formula>
    </cfRule>
    <cfRule type="cellIs" dxfId="1003" priority="45" operator="equal">
      <formula>"NA"</formula>
    </cfRule>
  </conditionalFormatting>
  <conditionalFormatting sqref="C62:E62">
    <cfRule type="cellIs" dxfId="1002" priority="40" operator="lessThan">
      <formula>$F62</formula>
    </cfRule>
    <cfRule type="cellIs" dxfId="1001" priority="41" operator="greaterThan">
      <formula>$G62</formula>
    </cfRule>
    <cfRule type="cellIs" dxfId="1000" priority="42" operator="equal">
      <formula>"NA"</formula>
    </cfRule>
  </conditionalFormatting>
  <conditionalFormatting sqref="C63:E63">
    <cfRule type="cellIs" dxfId="999" priority="37" operator="lessThan">
      <formula>$F63</formula>
    </cfRule>
    <cfRule type="cellIs" dxfId="998" priority="38" operator="greaterThan">
      <formula>$G63</formula>
    </cfRule>
    <cfRule type="cellIs" dxfId="997" priority="39" operator="equal">
      <formula>"NA"</formula>
    </cfRule>
  </conditionalFormatting>
  <conditionalFormatting sqref="C164:E164">
    <cfRule type="cellIs" dxfId="996" priority="22" operator="lessThan">
      <formula>$F164</formula>
    </cfRule>
    <cfRule type="cellIs" dxfId="995" priority="23" operator="greaterThan">
      <formula>$G164</formula>
    </cfRule>
    <cfRule type="cellIs" dxfId="994" priority="24" operator="equal">
      <formula>"NA"</formula>
    </cfRule>
  </conditionalFormatting>
  <conditionalFormatting sqref="C165:E165">
    <cfRule type="cellIs" dxfId="993" priority="19" operator="lessThan">
      <formula>$F165</formula>
    </cfRule>
    <cfRule type="cellIs" dxfId="992" priority="20" operator="greaterThan">
      <formula>$G165</formula>
    </cfRule>
    <cfRule type="cellIs" dxfId="991" priority="21" operator="equal">
      <formula>"NA"</formula>
    </cfRule>
  </conditionalFormatting>
  <conditionalFormatting sqref="C166:E166">
    <cfRule type="cellIs" dxfId="990" priority="16" operator="lessThan">
      <formula>$F166</formula>
    </cfRule>
    <cfRule type="cellIs" dxfId="989" priority="17" operator="greaterThan">
      <formula>$G166</formula>
    </cfRule>
    <cfRule type="cellIs" dxfId="988" priority="18" operator="equal">
      <formula>"NA"</formula>
    </cfRule>
  </conditionalFormatting>
  <conditionalFormatting sqref="C167:E167">
    <cfRule type="cellIs" dxfId="987" priority="13" operator="lessThan">
      <formula>$F167</formula>
    </cfRule>
    <cfRule type="cellIs" dxfId="986" priority="14" operator="greaterThan">
      <formula>$G167</formula>
    </cfRule>
    <cfRule type="cellIs" dxfId="985" priority="15" operator="equal">
      <formula>"NA"</formula>
    </cfRule>
  </conditionalFormatting>
  <conditionalFormatting sqref="C168:E168">
    <cfRule type="cellIs" dxfId="984" priority="10" operator="lessThan">
      <formula>$F168</formula>
    </cfRule>
    <cfRule type="cellIs" dxfId="983" priority="11" operator="greaterThan">
      <formula>$G168</formula>
    </cfRule>
    <cfRule type="cellIs" dxfId="982" priority="12" operator="equal">
      <formula>"NA"</formula>
    </cfRule>
  </conditionalFormatting>
  <conditionalFormatting sqref="C169:E169">
    <cfRule type="cellIs" dxfId="981" priority="7" operator="lessThan">
      <formula>$F169</formula>
    </cfRule>
    <cfRule type="cellIs" dxfId="980" priority="8" operator="greaterThan">
      <formula>$G169</formula>
    </cfRule>
    <cfRule type="cellIs" dxfId="979" priority="9" operator="equal">
      <formula>"NA"</formula>
    </cfRule>
  </conditionalFormatting>
  <conditionalFormatting sqref="C170:E170">
    <cfRule type="cellIs" dxfId="978" priority="4" operator="lessThan">
      <formula>$F170</formula>
    </cfRule>
    <cfRule type="cellIs" dxfId="977" priority="5" operator="greaterThan">
      <formula>$G170</formula>
    </cfRule>
    <cfRule type="cellIs" dxfId="976" priority="6" operator="equal">
      <formula>"NA"</formula>
    </cfRule>
  </conditionalFormatting>
  <conditionalFormatting sqref="C171:E171">
    <cfRule type="cellIs" dxfId="975" priority="1" operator="lessThan">
      <formula>$F171</formula>
    </cfRule>
    <cfRule type="cellIs" dxfId="974" priority="2" operator="greaterThan">
      <formula>$G171</formula>
    </cfRule>
    <cfRule type="cellIs" dxfId="973" priority="3" operator="equal">
      <formula>"NA"</formula>
    </cfRule>
  </conditionalFormatting>
  <dataValidations count="5">
    <dataValidation type="list" allowBlank="1" showInputMessage="1" showErrorMessage="1" sqref="G24:H24" xr:uid="{00000000-0002-0000-0000-000000000000}">
      <formula1>"In-house, Customer's Facility"</formula1>
    </dataValidation>
    <dataValidation type="list" allowBlank="1" showInputMessage="1" showErrorMessage="1" sqref="G26:H26" xr:uid="{00000000-0002-0000-0000-000001000000}">
      <formula1>"Digital, Analog"</formula1>
    </dataValidation>
    <dataValidation allowBlank="1" showErrorMessage="1" sqref="B338:B339 B149:B158 B79:B80 A62:B64 B88:B92 B98:B102 B108:B112 B118:B121 A70:B72 A36:B37 B127:B132 B186:B189 C189:AT189 B195:B204 B330:B332 B276:B279 B285:B288 B294:B297 B303:B306 B312:B315 B321:B324 B139:B142 A44:B46 A52:B56 B164:B179 A211:B213 A219:B221 A227:B229 A235:B237 A243:B245 A251:B253 A259:B261 A267:B269" xr:uid="{00000000-0002-0000-0000-000002000000}"/>
    <dataValidation type="list" allowBlank="1" showInputMessage="1" showErrorMessage="1" sqref="G28:H28" xr:uid="{00000000-0002-0000-0000-000003000000}">
      <formula1>"90 Days, 1 Year"</formula1>
    </dataValidation>
    <dataValidation type="list" allowBlank="1" showInputMessage="1" showErrorMessage="1" sqref="B14:C14" xr:uid="{00000000-0002-0000-0000-000004000000}">
      <formula1>"8845A,8846A"</formula1>
    </dataValidation>
  </dataValidations>
  <printOptions horizontalCentered="1" gridLinesSet="0"/>
  <pageMargins left="0.5" right="0.5" top="0.5" bottom="0.5" header="0.5" footer="0.25"/>
  <pageSetup scale="55" orientation="portrait" verticalDpi="4294967292" r:id="rId1"/>
  <headerFooter alignWithMargins="0">
    <oddFooter>&amp;CPage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00B050"/>
    <pageSetUpPr autoPageBreaks="0"/>
  </sheetPr>
  <dimension ref="A1:BC373"/>
  <sheetViews>
    <sheetView showGridLines="0" topLeftCell="A70" zoomScale="60" zoomScaleNormal="60" zoomScaleSheetLayoutView="55" workbookViewId="0">
      <selection activeCell="C19" sqref="C19"/>
    </sheetView>
  </sheetViews>
  <sheetFormatPr defaultRowHeight="16.5" outlineLevelCol="1"/>
  <cols>
    <col min="1" max="9" width="20.7265625" style="20" customWidth="1"/>
    <col min="10" max="10" width="2.7265625" style="20" customWidth="1"/>
    <col min="11" max="11" width="2" style="88" customWidth="1"/>
    <col min="12" max="12" width="20.81640625" style="59" customWidth="1"/>
    <col min="13" max="13" width="20.81640625" style="59" hidden="1" customWidth="1"/>
    <col min="14" max="15" width="1.7265625" style="20" customWidth="1"/>
    <col min="16" max="18" width="20.7265625" style="20" customWidth="1"/>
    <col min="19" max="21" width="23.7265625" style="20" customWidth="1" outlineLevel="1"/>
    <col min="22" max="35" width="20.7265625" style="20" customWidth="1" outlineLevel="1"/>
    <col min="36" max="37" width="20.7265625" style="20" customWidth="1"/>
    <col min="38" max="38" width="2.1796875" style="20" customWidth="1"/>
    <col min="39" max="40" width="9.7265625" style="20" customWidth="1" outlineLevel="1"/>
    <col min="41" max="41" width="2.1796875" style="20" customWidth="1" outlineLevel="1"/>
    <col min="42" max="43" width="9.7265625" style="20" customWidth="1" outlineLevel="1"/>
    <col min="44" max="44" width="2.1796875" style="20" customWidth="1" outlineLevel="1"/>
    <col min="45" max="46" width="9.7265625" style="20" customWidth="1" outlineLevel="1"/>
    <col min="47" max="47" width="2.1796875" style="20" customWidth="1" outlineLevel="1"/>
    <col min="48" max="49" width="9.7265625" style="20" customWidth="1" outlineLevel="1"/>
    <col min="50" max="50" width="2.1796875" style="20" customWidth="1" outlineLevel="1"/>
    <col min="51" max="52" width="9.7265625" style="20" customWidth="1" outlineLevel="1"/>
    <col min="53" max="53" width="2.1796875" style="20" customWidth="1" outlineLevel="1"/>
    <col min="54" max="55" width="9.7265625" style="20" customWidth="1" outlineLevel="1"/>
    <col min="56" max="216" width="9.1796875" style="20"/>
    <col min="217" max="217" width="17.7265625" style="20" customWidth="1"/>
    <col min="218" max="222" width="13.7265625" style="20" customWidth="1"/>
    <col min="223" max="223" width="7.7265625" style="20" customWidth="1"/>
    <col min="224" max="224" width="13.7265625" style="20" customWidth="1"/>
    <col min="225" max="225" width="9.7265625" style="20" bestFit="1" customWidth="1"/>
    <col min="226" max="226" width="12.453125" style="20" bestFit="1" customWidth="1"/>
    <col min="227" max="227" width="10.54296875" style="20" customWidth="1"/>
    <col min="228" max="228" width="19.453125" style="20" bestFit="1" customWidth="1"/>
    <col min="229" max="229" width="13.453125" style="20" bestFit="1" customWidth="1"/>
    <col min="230" max="232" width="9.1796875" style="20"/>
    <col min="233" max="233" width="22.81640625" style="20" bestFit="1" customWidth="1"/>
    <col min="234" max="234" width="21.26953125" style="20" bestFit="1" customWidth="1"/>
    <col min="235" max="235" width="23.81640625" style="20" bestFit="1" customWidth="1"/>
    <col min="236" max="472" width="9.1796875" style="20"/>
    <col min="473" max="473" width="17.7265625" style="20" customWidth="1"/>
    <col min="474" max="478" width="13.7265625" style="20" customWidth="1"/>
    <col min="479" max="479" width="7.7265625" style="20" customWidth="1"/>
    <col min="480" max="480" width="13.7265625" style="20" customWidth="1"/>
    <col min="481" max="481" width="9.7265625" style="20" bestFit="1" customWidth="1"/>
    <col min="482" max="482" width="12.453125" style="20" bestFit="1" customWidth="1"/>
    <col min="483" max="483" width="10.54296875" style="20" customWidth="1"/>
    <col min="484" max="484" width="19.453125" style="20" bestFit="1" customWidth="1"/>
    <col min="485" max="485" width="13.453125" style="20" bestFit="1" customWidth="1"/>
    <col min="486" max="488" width="9.1796875" style="20"/>
    <col min="489" max="489" width="22.81640625" style="20" bestFit="1" customWidth="1"/>
    <col min="490" max="490" width="21.26953125" style="20" bestFit="1" customWidth="1"/>
    <col min="491" max="491" width="23.81640625" style="20" bestFit="1" customWidth="1"/>
    <col min="492" max="728" width="9.1796875" style="20"/>
    <col min="729" max="729" width="17.7265625" style="20" customWidth="1"/>
    <col min="730" max="734" width="13.7265625" style="20" customWidth="1"/>
    <col min="735" max="735" width="7.7265625" style="20" customWidth="1"/>
    <col min="736" max="736" width="13.7265625" style="20" customWidth="1"/>
    <col min="737" max="737" width="9.7265625" style="20" bestFit="1" customWidth="1"/>
    <col min="738" max="738" width="12.453125" style="20" bestFit="1" customWidth="1"/>
    <col min="739" max="739" width="10.54296875" style="20" customWidth="1"/>
    <col min="740" max="740" width="19.453125" style="20" bestFit="1" customWidth="1"/>
    <col min="741" max="741" width="13.453125" style="20" bestFit="1" customWidth="1"/>
    <col min="742" max="744" width="9.1796875" style="20"/>
    <col min="745" max="745" width="22.81640625" style="20" bestFit="1" customWidth="1"/>
    <col min="746" max="746" width="21.26953125" style="20" bestFit="1" customWidth="1"/>
    <col min="747" max="747" width="23.81640625" style="20" bestFit="1" customWidth="1"/>
    <col min="748" max="984" width="9.1796875" style="20"/>
    <col min="985" max="985" width="17.7265625" style="20" customWidth="1"/>
    <col min="986" max="990" width="13.7265625" style="20" customWidth="1"/>
    <col min="991" max="991" width="7.7265625" style="20" customWidth="1"/>
    <col min="992" max="992" width="13.7265625" style="20" customWidth="1"/>
    <col min="993" max="993" width="9.7265625" style="20" bestFit="1" customWidth="1"/>
    <col min="994" max="994" width="12.453125" style="20" bestFit="1" customWidth="1"/>
    <col min="995" max="995" width="10.54296875" style="20" customWidth="1"/>
    <col min="996" max="996" width="19.453125" style="20" bestFit="1" customWidth="1"/>
    <col min="997" max="997" width="13.453125" style="20" bestFit="1" customWidth="1"/>
    <col min="998" max="1000" width="9.1796875" style="20"/>
    <col min="1001" max="1001" width="22.81640625" style="20" bestFit="1" customWidth="1"/>
    <col min="1002" max="1002" width="21.26953125" style="20" bestFit="1" customWidth="1"/>
    <col min="1003" max="1003" width="23.81640625" style="20" bestFit="1" customWidth="1"/>
    <col min="1004" max="1240" width="9.1796875" style="20"/>
    <col min="1241" max="1241" width="17.7265625" style="20" customWidth="1"/>
    <col min="1242" max="1246" width="13.7265625" style="20" customWidth="1"/>
    <col min="1247" max="1247" width="7.7265625" style="20" customWidth="1"/>
    <col min="1248" max="1248" width="13.7265625" style="20" customWidth="1"/>
    <col min="1249" max="1249" width="9.7265625" style="20" bestFit="1" customWidth="1"/>
    <col min="1250" max="1250" width="12.453125" style="20" bestFit="1" customWidth="1"/>
    <col min="1251" max="1251" width="10.54296875" style="20" customWidth="1"/>
    <col min="1252" max="1252" width="19.453125" style="20" bestFit="1" customWidth="1"/>
    <col min="1253" max="1253" width="13.453125" style="20" bestFit="1" customWidth="1"/>
    <col min="1254" max="1256" width="9.1796875" style="20"/>
    <col min="1257" max="1257" width="22.81640625" style="20" bestFit="1" customWidth="1"/>
    <col min="1258" max="1258" width="21.26953125" style="20" bestFit="1" customWidth="1"/>
    <col min="1259" max="1259" width="23.81640625" style="20" bestFit="1" customWidth="1"/>
    <col min="1260" max="1496" width="9.1796875" style="20"/>
    <col min="1497" max="1497" width="17.7265625" style="20" customWidth="1"/>
    <col min="1498" max="1502" width="13.7265625" style="20" customWidth="1"/>
    <col min="1503" max="1503" width="7.7265625" style="20" customWidth="1"/>
    <col min="1504" max="1504" width="13.7265625" style="20" customWidth="1"/>
    <col min="1505" max="1505" width="9.7265625" style="20" bestFit="1" customWidth="1"/>
    <col min="1506" max="1506" width="12.453125" style="20" bestFit="1" customWidth="1"/>
    <col min="1507" max="1507" width="10.54296875" style="20" customWidth="1"/>
    <col min="1508" max="1508" width="19.453125" style="20" bestFit="1" customWidth="1"/>
    <col min="1509" max="1509" width="13.453125" style="20" bestFit="1" customWidth="1"/>
    <col min="1510" max="1512" width="9.1796875" style="20"/>
    <col min="1513" max="1513" width="22.81640625" style="20" bestFit="1" customWidth="1"/>
    <col min="1514" max="1514" width="21.26953125" style="20" bestFit="1" customWidth="1"/>
    <col min="1515" max="1515" width="23.81640625" style="20" bestFit="1" customWidth="1"/>
    <col min="1516" max="1752" width="9.1796875" style="20"/>
    <col min="1753" max="1753" width="17.7265625" style="20" customWidth="1"/>
    <col min="1754" max="1758" width="13.7265625" style="20" customWidth="1"/>
    <col min="1759" max="1759" width="7.7265625" style="20" customWidth="1"/>
    <col min="1760" max="1760" width="13.7265625" style="20" customWidth="1"/>
    <col min="1761" max="1761" width="9.7265625" style="20" bestFit="1" customWidth="1"/>
    <col min="1762" max="1762" width="12.453125" style="20" bestFit="1" customWidth="1"/>
    <col min="1763" max="1763" width="10.54296875" style="20" customWidth="1"/>
    <col min="1764" max="1764" width="19.453125" style="20" bestFit="1" customWidth="1"/>
    <col min="1765" max="1765" width="13.453125" style="20" bestFit="1" customWidth="1"/>
    <col min="1766" max="1768" width="9.1796875" style="20"/>
    <col min="1769" max="1769" width="22.81640625" style="20" bestFit="1" customWidth="1"/>
    <col min="1770" max="1770" width="21.26953125" style="20" bestFit="1" customWidth="1"/>
    <col min="1771" max="1771" width="23.81640625" style="20" bestFit="1" customWidth="1"/>
    <col min="1772" max="2008" width="9.1796875" style="20"/>
    <col min="2009" max="2009" width="17.7265625" style="20" customWidth="1"/>
    <col min="2010" max="2014" width="13.7265625" style="20" customWidth="1"/>
    <col min="2015" max="2015" width="7.7265625" style="20" customWidth="1"/>
    <col min="2016" max="2016" width="13.7265625" style="20" customWidth="1"/>
    <col min="2017" max="2017" width="9.7265625" style="20" bestFit="1" customWidth="1"/>
    <col min="2018" max="2018" width="12.453125" style="20" bestFit="1" customWidth="1"/>
    <col min="2019" max="2019" width="10.54296875" style="20" customWidth="1"/>
    <col min="2020" max="2020" width="19.453125" style="20" bestFit="1" customWidth="1"/>
    <col min="2021" max="2021" width="13.453125" style="20" bestFit="1" customWidth="1"/>
    <col min="2022" max="2024" width="9.1796875" style="20"/>
    <col min="2025" max="2025" width="22.81640625" style="20" bestFit="1" customWidth="1"/>
    <col min="2026" max="2026" width="21.26953125" style="20" bestFit="1" customWidth="1"/>
    <col min="2027" max="2027" width="23.81640625" style="20" bestFit="1" customWidth="1"/>
    <col min="2028" max="2264" width="9.1796875" style="20"/>
    <col min="2265" max="2265" width="17.7265625" style="20" customWidth="1"/>
    <col min="2266" max="2270" width="13.7265625" style="20" customWidth="1"/>
    <col min="2271" max="2271" width="7.7265625" style="20" customWidth="1"/>
    <col min="2272" max="2272" width="13.7265625" style="20" customWidth="1"/>
    <col min="2273" max="2273" width="9.7265625" style="20" bestFit="1" customWidth="1"/>
    <col min="2274" max="2274" width="12.453125" style="20" bestFit="1" customWidth="1"/>
    <col min="2275" max="2275" width="10.54296875" style="20" customWidth="1"/>
    <col min="2276" max="2276" width="19.453125" style="20" bestFit="1" customWidth="1"/>
    <col min="2277" max="2277" width="13.453125" style="20" bestFit="1" customWidth="1"/>
    <col min="2278" max="2280" width="9.1796875" style="20"/>
    <col min="2281" max="2281" width="22.81640625" style="20" bestFit="1" customWidth="1"/>
    <col min="2282" max="2282" width="21.26953125" style="20" bestFit="1" customWidth="1"/>
    <col min="2283" max="2283" width="23.81640625" style="20" bestFit="1" customWidth="1"/>
    <col min="2284" max="2520" width="9.1796875" style="20"/>
    <col min="2521" max="2521" width="17.7265625" style="20" customWidth="1"/>
    <col min="2522" max="2526" width="13.7265625" style="20" customWidth="1"/>
    <col min="2527" max="2527" width="7.7265625" style="20" customWidth="1"/>
    <col min="2528" max="2528" width="13.7265625" style="20" customWidth="1"/>
    <col min="2529" max="2529" width="9.7265625" style="20" bestFit="1" customWidth="1"/>
    <col min="2530" max="2530" width="12.453125" style="20" bestFit="1" customWidth="1"/>
    <col min="2531" max="2531" width="10.54296875" style="20" customWidth="1"/>
    <col min="2532" max="2532" width="19.453125" style="20" bestFit="1" customWidth="1"/>
    <col min="2533" max="2533" width="13.453125" style="20" bestFit="1" customWidth="1"/>
    <col min="2534" max="2536" width="9.1796875" style="20"/>
    <col min="2537" max="2537" width="22.81640625" style="20" bestFit="1" customWidth="1"/>
    <col min="2538" max="2538" width="21.26953125" style="20" bestFit="1" customWidth="1"/>
    <col min="2539" max="2539" width="23.81640625" style="20" bestFit="1" customWidth="1"/>
    <col min="2540" max="2776" width="9.1796875" style="20"/>
    <col min="2777" max="2777" width="17.7265625" style="20" customWidth="1"/>
    <col min="2778" max="2782" width="13.7265625" style="20" customWidth="1"/>
    <col min="2783" max="2783" width="7.7265625" style="20" customWidth="1"/>
    <col min="2784" max="2784" width="13.7265625" style="20" customWidth="1"/>
    <col min="2785" max="2785" width="9.7265625" style="20" bestFit="1" customWidth="1"/>
    <col min="2786" max="2786" width="12.453125" style="20" bestFit="1" customWidth="1"/>
    <col min="2787" max="2787" width="10.54296875" style="20" customWidth="1"/>
    <col min="2788" max="2788" width="19.453125" style="20" bestFit="1" customWidth="1"/>
    <col min="2789" max="2789" width="13.453125" style="20" bestFit="1" customWidth="1"/>
    <col min="2790" max="2792" width="9.1796875" style="20"/>
    <col min="2793" max="2793" width="22.81640625" style="20" bestFit="1" customWidth="1"/>
    <col min="2794" max="2794" width="21.26953125" style="20" bestFit="1" customWidth="1"/>
    <col min="2795" max="2795" width="23.81640625" style="20" bestFit="1" customWidth="1"/>
    <col min="2796" max="3032" width="9.1796875" style="20"/>
    <col min="3033" max="3033" width="17.7265625" style="20" customWidth="1"/>
    <col min="3034" max="3038" width="13.7265625" style="20" customWidth="1"/>
    <col min="3039" max="3039" width="7.7265625" style="20" customWidth="1"/>
    <col min="3040" max="3040" width="13.7265625" style="20" customWidth="1"/>
    <col min="3041" max="3041" width="9.7265625" style="20" bestFit="1" customWidth="1"/>
    <col min="3042" max="3042" width="12.453125" style="20" bestFit="1" customWidth="1"/>
    <col min="3043" max="3043" width="10.54296875" style="20" customWidth="1"/>
    <col min="3044" max="3044" width="19.453125" style="20" bestFit="1" customWidth="1"/>
    <col min="3045" max="3045" width="13.453125" style="20" bestFit="1" customWidth="1"/>
    <col min="3046" max="3048" width="9.1796875" style="20"/>
    <col min="3049" max="3049" width="22.81640625" style="20" bestFit="1" customWidth="1"/>
    <col min="3050" max="3050" width="21.26953125" style="20" bestFit="1" customWidth="1"/>
    <col min="3051" max="3051" width="23.81640625" style="20" bestFit="1" customWidth="1"/>
    <col min="3052" max="3288" width="9.1796875" style="20"/>
    <col min="3289" max="3289" width="17.7265625" style="20" customWidth="1"/>
    <col min="3290" max="3294" width="13.7265625" style="20" customWidth="1"/>
    <col min="3295" max="3295" width="7.7265625" style="20" customWidth="1"/>
    <col min="3296" max="3296" width="13.7265625" style="20" customWidth="1"/>
    <col min="3297" max="3297" width="9.7265625" style="20" bestFit="1" customWidth="1"/>
    <col min="3298" max="3298" width="12.453125" style="20" bestFit="1" customWidth="1"/>
    <col min="3299" max="3299" width="10.54296875" style="20" customWidth="1"/>
    <col min="3300" max="3300" width="19.453125" style="20" bestFit="1" customWidth="1"/>
    <col min="3301" max="3301" width="13.453125" style="20" bestFit="1" customWidth="1"/>
    <col min="3302" max="3304" width="9.1796875" style="20"/>
    <col min="3305" max="3305" width="22.81640625" style="20" bestFit="1" customWidth="1"/>
    <col min="3306" max="3306" width="21.26953125" style="20" bestFit="1" customWidth="1"/>
    <col min="3307" max="3307" width="23.81640625" style="20" bestFit="1" customWidth="1"/>
    <col min="3308" max="3544" width="9.1796875" style="20"/>
    <col min="3545" max="3545" width="17.7265625" style="20" customWidth="1"/>
    <col min="3546" max="3550" width="13.7265625" style="20" customWidth="1"/>
    <col min="3551" max="3551" width="7.7265625" style="20" customWidth="1"/>
    <col min="3552" max="3552" width="13.7265625" style="20" customWidth="1"/>
    <col min="3553" max="3553" width="9.7265625" style="20" bestFit="1" customWidth="1"/>
    <col min="3554" max="3554" width="12.453125" style="20" bestFit="1" customWidth="1"/>
    <col min="3555" max="3555" width="10.54296875" style="20" customWidth="1"/>
    <col min="3556" max="3556" width="19.453125" style="20" bestFit="1" customWidth="1"/>
    <col min="3557" max="3557" width="13.453125" style="20" bestFit="1" customWidth="1"/>
    <col min="3558" max="3560" width="9.1796875" style="20"/>
    <col min="3561" max="3561" width="22.81640625" style="20" bestFit="1" customWidth="1"/>
    <col min="3562" max="3562" width="21.26953125" style="20" bestFit="1" customWidth="1"/>
    <col min="3563" max="3563" width="23.81640625" style="20" bestFit="1" customWidth="1"/>
    <col min="3564" max="3800" width="9.1796875" style="20"/>
    <col min="3801" max="3801" width="17.7265625" style="20" customWidth="1"/>
    <col min="3802" max="3806" width="13.7265625" style="20" customWidth="1"/>
    <col min="3807" max="3807" width="7.7265625" style="20" customWidth="1"/>
    <col min="3808" max="3808" width="13.7265625" style="20" customWidth="1"/>
    <col min="3809" max="3809" width="9.7265625" style="20" bestFit="1" customWidth="1"/>
    <col min="3810" max="3810" width="12.453125" style="20" bestFit="1" customWidth="1"/>
    <col min="3811" max="3811" width="10.54296875" style="20" customWidth="1"/>
    <col min="3812" max="3812" width="19.453125" style="20" bestFit="1" customWidth="1"/>
    <col min="3813" max="3813" width="13.453125" style="20" bestFit="1" customWidth="1"/>
    <col min="3814" max="3816" width="9.1796875" style="20"/>
    <col min="3817" max="3817" width="22.81640625" style="20" bestFit="1" customWidth="1"/>
    <col min="3818" max="3818" width="21.26953125" style="20" bestFit="1" customWidth="1"/>
    <col min="3819" max="3819" width="23.81640625" style="20" bestFit="1" customWidth="1"/>
    <col min="3820" max="4056" width="9.1796875" style="20"/>
    <col min="4057" max="4057" width="17.7265625" style="20" customWidth="1"/>
    <col min="4058" max="4062" width="13.7265625" style="20" customWidth="1"/>
    <col min="4063" max="4063" width="7.7265625" style="20" customWidth="1"/>
    <col min="4064" max="4064" width="13.7265625" style="20" customWidth="1"/>
    <col min="4065" max="4065" width="9.7265625" style="20" bestFit="1" customWidth="1"/>
    <col min="4066" max="4066" width="12.453125" style="20" bestFit="1" customWidth="1"/>
    <col min="4067" max="4067" width="10.54296875" style="20" customWidth="1"/>
    <col min="4068" max="4068" width="19.453125" style="20" bestFit="1" customWidth="1"/>
    <col min="4069" max="4069" width="13.453125" style="20" bestFit="1" customWidth="1"/>
    <col min="4070" max="4072" width="9.1796875" style="20"/>
    <col min="4073" max="4073" width="22.81640625" style="20" bestFit="1" customWidth="1"/>
    <col min="4074" max="4074" width="21.26953125" style="20" bestFit="1" customWidth="1"/>
    <col min="4075" max="4075" width="23.81640625" style="20" bestFit="1" customWidth="1"/>
    <col min="4076" max="4312" width="9.1796875" style="20"/>
    <col min="4313" max="4313" width="17.7265625" style="20" customWidth="1"/>
    <col min="4314" max="4318" width="13.7265625" style="20" customWidth="1"/>
    <col min="4319" max="4319" width="7.7265625" style="20" customWidth="1"/>
    <col min="4320" max="4320" width="13.7265625" style="20" customWidth="1"/>
    <col min="4321" max="4321" width="9.7265625" style="20" bestFit="1" customWidth="1"/>
    <col min="4322" max="4322" width="12.453125" style="20" bestFit="1" customWidth="1"/>
    <col min="4323" max="4323" width="10.54296875" style="20" customWidth="1"/>
    <col min="4324" max="4324" width="19.453125" style="20" bestFit="1" customWidth="1"/>
    <col min="4325" max="4325" width="13.453125" style="20" bestFit="1" customWidth="1"/>
    <col min="4326" max="4328" width="9.1796875" style="20"/>
    <col min="4329" max="4329" width="22.81640625" style="20" bestFit="1" customWidth="1"/>
    <col min="4330" max="4330" width="21.26953125" style="20" bestFit="1" customWidth="1"/>
    <col min="4331" max="4331" width="23.81640625" style="20" bestFit="1" customWidth="1"/>
    <col min="4332" max="4568" width="9.1796875" style="20"/>
    <col min="4569" max="4569" width="17.7265625" style="20" customWidth="1"/>
    <col min="4570" max="4574" width="13.7265625" style="20" customWidth="1"/>
    <col min="4575" max="4575" width="7.7265625" style="20" customWidth="1"/>
    <col min="4576" max="4576" width="13.7265625" style="20" customWidth="1"/>
    <col min="4577" max="4577" width="9.7265625" style="20" bestFit="1" customWidth="1"/>
    <col min="4578" max="4578" width="12.453125" style="20" bestFit="1" customWidth="1"/>
    <col min="4579" max="4579" width="10.54296875" style="20" customWidth="1"/>
    <col min="4580" max="4580" width="19.453125" style="20" bestFit="1" customWidth="1"/>
    <col min="4581" max="4581" width="13.453125" style="20" bestFit="1" customWidth="1"/>
    <col min="4582" max="4584" width="9.1796875" style="20"/>
    <col min="4585" max="4585" width="22.81640625" style="20" bestFit="1" customWidth="1"/>
    <col min="4586" max="4586" width="21.26953125" style="20" bestFit="1" customWidth="1"/>
    <col min="4587" max="4587" width="23.81640625" style="20" bestFit="1" customWidth="1"/>
    <col min="4588" max="4824" width="9.1796875" style="20"/>
    <col min="4825" max="4825" width="17.7265625" style="20" customWidth="1"/>
    <col min="4826" max="4830" width="13.7265625" style="20" customWidth="1"/>
    <col min="4831" max="4831" width="7.7265625" style="20" customWidth="1"/>
    <col min="4832" max="4832" width="13.7265625" style="20" customWidth="1"/>
    <col min="4833" max="4833" width="9.7265625" style="20" bestFit="1" customWidth="1"/>
    <col min="4834" max="4834" width="12.453125" style="20" bestFit="1" customWidth="1"/>
    <col min="4835" max="4835" width="10.54296875" style="20" customWidth="1"/>
    <col min="4836" max="4836" width="19.453125" style="20" bestFit="1" customWidth="1"/>
    <col min="4837" max="4837" width="13.453125" style="20" bestFit="1" customWidth="1"/>
    <col min="4838" max="4840" width="9.1796875" style="20"/>
    <col min="4841" max="4841" width="22.81640625" style="20" bestFit="1" customWidth="1"/>
    <col min="4842" max="4842" width="21.26953125" style="20" bestFit="1" customWidth="1"/>
    <col min="4843" max="4843" width="23.81640625" style="20" bestFit="1" customWidth="1"/>
    <col min="4844" max="5080" width="9.1796875" style="20"/>
    <col min="5081" max="5081" width="17.7265625" style="20" customWidth="1"/>
    <col min="5082" max="5086" width="13.7265625" style="20" customWidth="1"/>
    <col min="5087" max="5087" width="7.7265625" style="20" customWidth="1"/>
    <col min="5088" max="5088" width="13.7265625" style="20" customWidth="1"/>
    <col min="5089" max="5089" width="9.7265625" style="20" bestFit="1" customWidth="1"/>
    <col min="5090" max="5090" width="12.453125" style="20" bestFit="1" customWidth="1"/>
    <col min="5091" max="5091" width="10.54296875" style="20" customWidth="1"/>
    <col min="5092" max="5092" width="19.453125" style="20" bestFit="1" customWidth="1"/>
    <col min="5093" max="5093" width="13.453125" style="20" bestFit="1" customWidth="1"/>
    <col min="5094" max="5096" width="9.1796875" style="20"/>
    <col min="5097" max="5097" width="22.81640625" style="20" bestFit="1" customWidth="1"/>
    <col min="5098" max="5098" width="21.26953125" style="20" bestFit="1" customWidth="1"/>
    <col min="5099" max="5099" width="23.81640625" style="20" bestFit="1" customWidth="1"/>
    <col min="5100" max="5336" width="9.1796875" style="20"/>
    <col min="5337" max="5337" width="17.7265625" style="20" customWidth="1"/>
    <col min="5338" max="5342" width="13.7265625" style="20" customWidth="1"/>
    <col min="5343" max="5343" width="7.7265625" style="20" customWidth="1"/>
    <col min="5344" max="5344" width="13.7265625" style="20" customWidth="1"/>
    <col min="5345" max="5345" width="9.7265625" style="20" bestFit="1" customWidth="1"/>
    <col min="5346" max="5346" width="12.453125" style="20" bestFit="1" customWidth="1"/>
    <col min="5347" max="5347" width="10.54296875" style="20" customWidth="1"/>
    <col min="5348" max="5348" width="19.453125" style="20" bestFit="1" customWidth="1"/>
    <col min="5349" max="5349" width="13.453125" style="20" bestFit="1" customWidth="1"/>
    <col min="5350" max="5352" width="9.1796875" style="20"/>
    <col min="5353" max="5353" width="22.81640625" style="20" bestFit="1" customWidth="1"/>
    <col min="5354" max="5354" width="21.26953125" style="20" bestFit="1" customWidth="1"/>
    <col min="5355" max="5355" width="23.81640625" style="20" bestFit="1" customWidth="1"/>
    <col min="5356" max="5592" width="9.1796875" style="20"/>
    <col min="5593" max="5593" width="17.7265625" style="20" customWidth="1"/>
    <col min="5594" max="5598" width="13.7265625" style="20" customWidth="1"/>
    <col min="5599" max="5599" width="7.7265625" style="20" customWidth="1"/>
    <col min="5600" max="5600" width="13.7265625" style="20" customWidth="1"/>
    <col min="5601" max="5601" width="9.7265625" style="20" bestFit="1" customWidth="1"/>
    <col min="5602" max="5602" width="12.453125" style="20" bestFit="1" customWidth="1"/>
    <col min="5603" max="5603" width="10.54296875" style="20" customWidth="1"/>
    <col min="5604" max="5604" width="19.453125" style="20" bestFit="1" customWidth="1"/>
    <col min="5605" max="5605" width="13.453125" style="20" bestFit="1" customWidth="1"/>
    <col min="5606" max="5608" width="9.1796875" style="20"/>
    <col min="5609" max="5609" width="22.81640625" style="20" bestFit="1" customWidth="1"/>
    <col min="5610" max="5610" width="21.26953125" style="20" bestFit="1" customWidth="1"/>
    <col min="5611" max="5611" width="23.81640625" style="20" bestFit="1" customWidth="1"/>
    <col min="5612" max="5848" width="9.1796875" style="20"/>
    <col min="5849" max="5849" width="17.7265625" style="20" customWidth="1"/>
    <col min="5850" max="5854" width="13.7265625" style="20" customWidth="1"/>
    <col min="5855" max="5855" width="7.7265625" style="20" customWidth="1"/>
    <col min="5856" max="5856" width="13.7265625" style="20" customWidth="1"/>
    <col min="5857" max="5857" width="9.7265625" style="20" bestFit="1" customWidth="1"/>
    <col min="5858" max="5858" width="12.453125" style="20" bestFit="1" customWidth="1"/>
    <col min="5859" max="5859" width="10.54296875" style="20" customWidth="1"/>
    <col min="5860" max="5860" width="19.453125" style="20" bestFit="1" customWidth="1"/>
    <col min="5861" max="5861" width="13.453125" style="20" bestFit="1" customWidth="1"/>
    <col min="5862" max="5864" width="9.1796875" style="20"/>
    <col min="5865" max="5865" width="22.81640625" style="20" bestFit="1" customWidth="1"/>
    <col min="5866" max="5866" width="21.26953125" style="20" bestFit="1" customWidth="1"/>
    <col min="5867" max="5867" width="23.81640625" style="20" bestFit="1" customWidth="1"/>
    <col min="5868" max="6104" width="9.1796875" style="20"/>
    <col min="6105" max="6105" width="17.7265625" style="20" customWidth="1"/>
    <col min="6106" max="6110" width="13.7265625" style="20" customWidth="1"/>
    <col min="6111" max="6111" width="7.7265625" style="20" customWidth="1"/>
    <col min="6112" max="6112" width="13.7265625" style="20" customWidth="1"/>
    <col min="6113" max="6113" width="9.7265625" style="20" bestFit="1" customWidth="1"/>
    <col min="6114" max="6114" width="12.453125" style="20" bestFit="1" customWidth="1"/>
    <col min="6115" max="6115" width="10.54296875" style="20" customWidth="1"/>
    <col min="6116" max="6116" width="19.453125" style="20" bestFit="1" customWidth="1"/>
    <col min="6117" max="6117" width="13.453125" style="20" bestFit="1" customWidth="1"/>
    <col min="6118" max="6120" width="9.1796875" style="20"/>
    <col min="6121" max="6121" width="22.81640625" style="20" bestFit="1" customWidth="1"/>
    <col min="6122" max="6122" width="21.26953125" style="20" bestFit="1" customWidth="1"/>
    <col min="6123" max="6123" width="23.81640625" style="20" bestFit="1" customWidth="1"/>
    <col min="6124" max="6360" width="9.1796875" style="20"/>
    <col min="6361" max="6361" width="17.7265625" style="20" customWidth="1"/>
    <col min="6362" max="6366" width="13.7265625" style="20" customWidth="1"/>
    <col min="6367" max="6367" width="7.7265625" style="20" customWidth="1"/>
    <col min="6368" max="6368" width="13.7265625" style="20" customWidth="1"/>
    <col min="6369" max="6369" width="9.7265625" style="20" bestFit="1" customWidth="1"/>
    <col min="6370" max="6370" width="12.453125" style="20" bestFit="1" customWidth="1"/>
    <col min="6371" max="6371" width="10.54296875" style="20" customWidth="1"/>
    <col min="6372" max="6372" width="19.453125" style="20" bestFit="1" customWidth="1"/>
    <col min="6373" max="6373" width="13.453125" style="20" bestFit="1" customWidth="1"/>
    <col min="6374" max="6376" width="9.1796875" style="20"/>
    <col min="6377" max="6377" width="22.81640625" style="20" bestFit="1" customWidth="1"/>
    <col min="6378" max="6378" width="21.26953125" style="20" bestFit="1" customWidth="1"/>
    <col min="6379" max="6379" width="23.81640625" style="20" bestFit="1" customWidth="1"/>
    <col min="6380" max="6616" width="9.1796875" style="20"/>
    <col min="6617" max="6617" width="17.7265625" style="20" customWidth="1"/>
    <col min="6618" max="6622" width="13.7265625" style="20" customWidth="1"/>
    <col min="6623" max="6623" width="7.7265625" style="20" customWidth="1"/>
    <col min="6624" max="6624" width="13.7265625" style="20" customWidth="1"/>
    <col min="6625" max="6625" width="9.7265625" style="20" bestFit="1" customWidth="1"/>
    <col min="6626" max="6626" width="12.453125" style="20" bestFit="1" customWidth="1"/>
    <col min="6627" max="6627" width="10.54296875" style="20" customWidth="1"/>
    <col min="6628" max="6628" width="19.453125" style="20" bestFit="1" customWidth="1"/>
    <col min="6629" max="6629" width="13.453125" style="20" bestFit="1" customWidth="1"/>
    <col min="6630" max="6632" width="9.1796875" style="20"/>
    <col min="6633" max="6633" width="22.81640625" style="20" bestFit="1" customWidth="1"/>
    <col min="6634" max="6634" width="21.26953125" style="20" bestFit="1" customWidth="1"/>
    <col min="6635" max="6635" width="23.81640625" style="20" bestFit="1" customWidth="1"/>
    <col min="6636" max="6872" width="9.1796875" style="20"/>
    <col min="6873" max="6873" width="17.7265625" style="20" customWidth="1"/>
    <col min="6874" max="6878" width="13.7265625" style="20" customWidth="1"/>
    <col min="6879" max="6879" width="7.7265625" style="20" customWidth="1"/>
    <col min="6880" max="6880" width="13.7265625" style="20" customWidth="1"/>
    <col min="6881" max="6881" width="9.7265625" style="20" bestFit="1" customWidth="1"/>
    <col min="6882" max="6882" width="12.453125" style="20" bestFit="1" customWidth="1"/>
    <col min="6883" max="6883" width="10.54296875" style="20" customWidth="1"/>
    <col min="6884" max="6884" width="19.453125" style="20" bestFit="1" customWidth="1"/>
    <col min="6885" max="6885" width="13.453125" style="20" bestFit="1" customWidth="1"/>
    <col min="6886" max="6888" width="9.1796875" style="20"/>
    <col min="6889" max="6889" width="22.81640625" style="20" bestFit="1" customWidth="1"/>
    <col min="6890" max="6890" width="21.26953125" style="20" bestFit="1" customWidth="1"/>
    <col min="6891" max="6891" width="23.81640625" style="20" bestFit="1" customWidth="1"/>
    <col min="6892" max="7128" width="9.1796875" style="20"/>
    <col min="7129" max="7129" width="17.7265625" style="20" customWidth="1"/>
    <col min="7130" max="7134" width="13.7265625" style="20" customWidth="1"/>
    <col min="7135" max="7135" width="7.7265625" style="20" customWidth="1"/>
    <col min="7136" max="7136" width="13.7265625" style="20" customWidth="1"/>
    <col min="7137" max="7137" width="9.7265625" style="20" bestFit="1" customWidth="1"/>
    <col min="7138" max="7138" width="12.453125" style="20" bestFit="1" customWidth="1"/>
    <col min="7139" max="7139" width="10.54296875" style="20" customWidth="1"/>
    <col min="7140" max="7140" width="19.453125" style="20" bestFit="1" customWidth="1"/>
    <col min="7141" max="7141" width="13.453125" style="20" bestFit="1" customWidth="1"/>
    <col min="7142" max="7144" width="9.1796875" style="20"/>
    <col min="7145" max="7145" width="22.81640625" style="20" bestFit="1" customWidth="1"/>
    <col min="7146" max="7146" width="21.26953125" style="20" bestFit="1" customWidth="1"/>
    <col min="7147" max="7147" width="23.81640625" style="20" bestFit="1" customWidth="1"/>
    <col min="7148" max="7384" width="9.1796875" style="20"/>
    <col min="7385" max="7385" width="17.7265625" style="20" customWidth="1"/>
    <col min="7386" max="7390" width="13.7265625" style="20" customWidth="1"/>
    <col min="7391" max="7391" width="7.7265625" style="20" customWidth="1"/>
    <col min="7392" max="7392" width="13.7265625" style="20" customWidth="1"/>
    <col min="7393" max="7393" width="9.7265625" style="20" bestFit="1" customWidth="1"/>
    <col min="7394" max="7394" width="12.453125" style="20" bestFit="1" customWidth="1"/>
    <col min="7395" max="7395" width="10.54296875" style="20" customWidth="1"/>
    <col min="7396" max="7396" width="19.453125" style="20" bestFit="1" customWidth="1"/>
    <col min="7397" max="7397" width="13.453125" style="20" bestFit="1" customWidth="1"/>
    <col min="7398" max="7400" width="9.1796875" style="20"/>
    <col min="7401" max="7401" width="22.81640625" style="20" bestFit="1" customWidth="1"/>
    <col min="7402" max="7402" width="21.26953125" style="20" bestFit="1" customWidth="1"/>
    <col min="7403" max="7403" width="23.81640625" style="20" bestFit="1" customWidth="1"/>
    <col min="7404" max="7640" width="9.1796875" style="20"/>
    <col min="7641" max="7641" width="17.7265625" style="20" customWidth="1"/>
    <col min="7642" max="7646" width="13.7265625" style="20" customWidth="1"/>
    <col min="7647" max="7647" width="7.7265625" style="20" customWidth="1"/>
    <col min="7648" max="7648" width="13.7265625" style="20" customWidth="1"/>
    <col min="7649" max="7649" width="9.7265625" style="20" bestFit="1" customWidth="1"/>
    <col min="7650" max="7650" width="12.453125" style="20" bestFit="1" customWidth="1"/>
    <col min="7651" max="7651" width="10.54296875" style="20" customWidth="1"/>
    <col min="7652" max="7652" width="19.453125" style="20" bestFit="1" customWidth="1"/>
    <col min="7653" max="7653" width="13.453125" style="20" bestFit="1" customWidth="1"/>
    <col min="7654" max="7656" width="9.1796875" style="20"/>
    <col min="7657" max="7657" width="22.81640625" style="20" bestFit="1" customWidth="1"/>
    <col min="7658" max="7658" width="21.26953125" style="20" bestFit="1" customWidth="1"/>
    <col min="7659" max="7659" width="23.81640625" style="20" bestFit="1" customWidth="1"/>
    <col min="7660" max="7896" width="9.1796875" style="20"/>
    <col min="7897" max="7897" width="17.7265625" style="20" customWidth="1"/>
    <col min="7898" max="7902" width="13.7265625" style="20" customWidth="1"/>
    <col min="7903" max="7903" width="7.7265625" style="20" customWidth="1"/>
    <col min="7904" max="7904" width="13.7265625" style="20" customWidth="1"/>
    <col min="7905" max="7905" width="9.7265625" style="20" bestFit="1" customWidth="1"/>
    <col min="7906" max="7906" width="12.453125" style="20" bestFit="1" customWidth="1"/>
    <col min="7907" max="7907" width="10.54296875" style="20" customWidth="1"/>
    <col min="7908" max="7908" width="19.453125" style="20" bestFit="1" customWidth="1"/>
    <col min="7909" max="7909" width="13.453125" style="20" bestFit="1" customWidth="1"/>
    <col min="7910" max="7912" width="9.1796875" style="20"/>
    <col min="7913" max="7913" width="22.81640625" style="20" bestFit="1" customWidth="1"/>
    <col min="7914" max="7914" width="21.26953125" style="20" bestFit="1" customWidth="1"/>
    <col min="7915" max="7915" width="23.81640625" style="20" bestFit="1" customWidth="1"/>
    <col min="7916" max="8152" width="9.1796875" style="20"/>
    <col min="8153" max="8153" width="17.7265625" style="20" customWidth="1"/>
    <col min="8154" max="8158" width="13.7265625" style="20" customWidth="1"/>
    <col min="8159" max="8159" width="7.7265625" style="20" customWidth="1"/>
    <col min="8160" max="8160" width="13.7265625" style="20" customWidth="1"/>
    <col min="8161" max="8161" width="9.7265625" style="20" bestFit="1" customWidth="1"/>
    <col min="8162" max="8162" width="12.453125" style="20" bestFit="1" customWidth="1"/>
    <col min="8163" max="8163" width="10.54296875" style="20" customWidth="1"/>
    <col min="8164" max="8164" width="19.453125" style="20" bestFit="1" customWidth="1"/>
    <col min="8165" max="8165" width="13.453125" style="20" bestFit="1" customWidth="1"/>
    <col min="8166" max="8168" width="9.1796875" style="20"/>
    <col min="8169" max="8169" width="22.81640625" style="20" bestFit="1" customWidth="1"/>
    <col min="8170" max="8170" width="21.26953125" style="20" bestFit="1" customWidth="1"/>
    <col min="8171" max="8171" width="23.81640625" style="20" bestFit="1" customWidth="1"/>
    <col min="8172" max="8408" width="9.1796875" style="20"/>
    <col min="8409" max="8409" width="17.7265625" style="20" customWidth="1"/>
    <col min="8410" max="8414" width="13.7265625" style="20" customWidth="1"/>
    <col min="8415" max="8415" width="7.7265625" style="20" customWidth="1"/>
    <col min="8416" max="8416" width="13.7265625" style="20" customWidth="1"/>
    <col min="8417" max="8417" width="9.7265625" style="20" bestFit="1" customWidth="1"/>
    <col min="8418" max="8418" width="12.453125" style="20" bestFit="1" customWidth="1"/>
    <col min="8419" max="8419" width="10.54296875" style="20" customWidth="1"/>
    <col min="8420" max="8420" width="19.453125" style="20" bestFit="1" customWidth="1"/>
    <col min="8421" max="8421" width="13.453125" style="20" bestFit="1" customWidth="1"/>
    <col min="8422" max="8424" width="9.1796875" style="20"/>
    <col min="8425" max="8425" width="22.81640625" style="20" bestFit="1" customWidth="1"/>
    <col min="8426" max="8426" width="21.26953125" style="20" bestFit="1" customWidth="1"/>
    <col min="8427" max="8427" width="23.81640625" style="20" bestFit="1" customWidth="1"/>
    <col min="8428" max="8664" width="9.1796875" style="20"/>
    <col min="8665" max="8665" width="17.7265625" style="20" customWidth="1"/>
    <col min="8666" max="8670" width="13.7265625" style="20" customWidth="1"/>
    <col min="8671" max="8671" width="7.7265625" style="20" customWidth="1"/>
    <col min="8672" max="8672" width="13.7265625" style="20" customWidth="1"/>
    <col min="8673" max="8673" width="9.7265625" style="20" bestFit="1" customWidth="1"/>
    <col min="8674" max="8674" width="12.453125" style="20" bestFit="1" customWidth="1"/>
    <col min="8675" max="8675" width="10.54296875" style="20" customWidth="1"/>
    <col min="8676" max="8676" width="19.453125" style="20" bestFit="1" customWidth="1"/>
    <col min="8677" max="8677" width="13.453125" style="20" bestFit="1" customWidth="1"/>
    <col min="8678" max="8680" width="9.1796875" style="20"/>
    <col min="8681" max="8681" width="22.81640625" style="20" bestFit="1" customWidth="1"/>
    <col min="8682" max="8682" width="21.26953125" style="20" bestFit="1" customWidth="1"/>
    <col min="8683" max="8683" width="23.81640625" style="20" bestFit="1" customWidth="1"/>
    <col min="8684" max="8920" width="9.1796875" style="20"/>
    <col min="8921" max="8921" width="17.7265625" style="20" customWidth="1"/>
    <col min="8922" max="8926" width="13.7265625" style="20" customWidth="1"/>
    <col min="8927" max="8927" width="7.7265625" style="20" customWidth="1"/>
    <col min="8928" max="8928" width="13.7265625" style="20" customWidth="1"/>
    <col min="8929" max="8929" width="9.7265625" style="20" bestFit="1" customWidth="1"/>
    <col min="8930" max="8930" width="12.453125" style="20" bestFit="1" customWidth="1"/>
    <col min="8931" max="8931" width="10.54296875" style="20" customWidth="1"/>
    <col min="8932" max="8932" width="19.453125" style="20" bestFit="1" customWidth="1"/>
    <col min="8933" max="8933" width="13.453125" style="20" bestFit="1" customWidth="1"/>
    <col min="8934" max="8936" width="9.1796875" style="20"/>
    <col min="8937" max="8937" width="22.81640625" style="20" bestFit="1" customWidth="1"/>
    <col min="8938" max="8938" width="21.26953125" style="20" bestFit="1" customWidth="1"/>
    <col min="8939" max="8939" width="23.81640625" style="20" bestFit="1" customWidth="1"/>
    <col min="8940" max="9176" width="9.1796875" style="20"/>
    <col min="9177" max="9177" width="17.7265625" style="20" customWidth="1"/>
    <col min="9178" max="9182" width="13.7265625" style="20" customWidth="1"/>
    <col min="9183" max="9183" width="7.7265625" style="20" customWidth="1"/>
    <col min="9184" max="9184" width="13.7265625" style="20" customWidth="1"/>
    <col min="9185" max="9185" width="9.7265625" style="20" bestFit="1" customWidth="1"/>
    <col min="9186" max="9186" width="12.453125" style="20" bestFit="1" customWidth="1"/>
    <col min="9187" max="9187" width="10.54296875" style="20" customWidth="1"/>
    <col min="9188" max="9188" width="19.453125" style="20" bestFit="1" customWidth="1"/>
    <col min="9189" max="9189" width="13.453125" style="20" bestFit="1" customWidth="1"/>
    <col min="9190" max="9192" width="9.1796875" style="20"/>
    <col min="9193" max="9193" width="22.81640625" style="20" bestFit="1" customWidth="1"/>
    <col min="9194" max="9194" width="21.26953125" style="20" bestFit="1" customWidth="1"/>
    <col min="9195" max="9195" width="23.81640625" style="20" bestFit="1" customWidth="1"/>
    <col min="9196" max="9432" width="9.1796875" style="20"/>
    <col min="9433" max="9433" width="17.7265625" style="20" customWidth="1"/>
    <col min="9434" max="9438" width="13.7265625" style="20" customWidth="1"/>
    <col min="9439" max="9439" width="7.7265625" style="20" customWidth="1"/>
    <col min="9440" max="9440" width="13.7265625" style="20" customWidth="1"/>
    <col min="9441" max="9441" width="9.7265625" style="20" bestFit="1" customWidth="1"/>
    <col min="9442" max="9442" width="12.453125" style="20" bestFit="1" customWidth="1"/>
    <col min="9443" max="9443" width="10.54296875" style="20" customWidth="1"/>
    <col min="9444" max="9444" width="19.453125" style="20" bestFit="1" customWidth="1"/>
    <col min="9445" max="9445" width="13.453125" style="20" bestFit="1" customWidth="1"/>
    <col min="9446" max="9448" width="9.1796875" style="20"/>
    <col min="9449" max="9449" width="22.81640625" style="20" bestFit="1" customWidth="1"/>
    <col min="9450" max="9450" width="21.26953125" style="20" bestFit="1" customWidth="1"/>
    <col min="9451" max="9451" width="23.81640625" style="20" bestFit="1" customWidth="1"/>
    <col min="9452" max="9688" width="9.1796875" style="20"/>
    <col min="9689" max="9689" width="17.7265625" style="20" customWidth="1"/>
    <col min="9690" max="9694" width="13.7265625" style="20" customWidth="1"/>
    <col min="9695" max="9695" width="7.7265625" style="20" customWidth="1"/>
    <col min="9696" max="9696" width="13.7265625" style="20" customWidth="1"/>
    <col min="9697" max="9697" width="9.7265625" style="20" bestFit="1" customWidth="1"/>
    <col min="9698" max="9698" width="12.453125" style="20" bestFit="1" customWidth="1"/>
    <col min="9699" max="9699" width="10.54296875" style="20" customWidth="1"/>
    <col min="9700" max="9700" width="19.453125" style="20" bestFit="1" customWidth="1"/>
    <col min="9701" max="9701" width="13.453125" style="20" bestFit="1" customWidth="1"/>
    <col min="9702" max="9704" width="9.1796875" style="20"/>
    <col min="9705" max="9705" width="22.81640625" style="20" bestFit="1" customWidth="1"/>
    <col min="9706" max="9706" width="21.26953125" style="20" bestFit="1" customWidth="1"/>
    <col min="9707" max="9707" width="23.81640625" style="20" bestFit="1" customWidth="1"/>
    <col min="9708" max="9944" width="9.1796875" style="20"/>
    <col min="9945" max="9945" width="17.7265625" style="20" customWidth="1"/>
    <col min="9946" max="9950" width="13.7265625" style="20" customWidth="1"/>
    <col min="9951" max="9951" width="7.7265625" style="20" customWidth="1"/>
    <col min="9952" max="9952" width="13.7265625" style="20" customWidth="1"/>
    <col min="9953" max="9953" width="9.7265625" style="20" bestFit="1" customWidth="1"/>
    <col min="9954" max="9954" width="12.453125" style="20" bestFit="1" customWidth="1"/>
    <col min="9955" max="9955" width="10.54296875" style="20" customWidth="1"/>
    <col min="9956" max="9956" width="19.453125" style="20" bestFit="1" customWidth="1"/>
    <col min="9957" max="9957" width="13.453125" style="20" bestFit="1" customWidth="1"/>
    <col min="9958" max="9960" width="9.1796875" style="20"/>
    <col min="9961" max="9961" width="22.81640625" style="20" bestFit="1" customWidth="1"/>
    <col min="9962" max="9962" width="21.26953125" style="20" bestFit="1" customWidth="1"/>
    <col min="9963" max="9963" width="23.81640625" style="20" bestFit="1" customWidth="1"/>
    <col min="9964" max="10200" width="9.1796875" style="20"/>
    <col min="10201" max="10201" width="17.7265625" style="20" customWidth="1"/>
    <col min="10202" max="10206" width="13.7265625" style="20" customWidth="1"/>
    <col min="10207" max="10207" width="7.7265625" style="20" customWidth="1"/>
    <col min="10208" max="10208" width="13.7265625" style="20" customWidth="1"/>
    <col min="10209" max="10209" width="9.7265625" style="20" bestFit="1" customWidth="1"/>
    <col min="10210" max="10210" width="12.453125" style="20" bestFit="1" customWidth="1"/>
    <col min="10211" max="10211" width="10.54296875" style="20" customWidth="1"/>
    <col min="10212" max="10212" width="19.453125" style="20" bestFit="1" customWidth="1"/>
    <col min="10213" max="10213" width="13.453125" style="20" bestFit="1" customWidth="1"/>
    <col min="10214" max="10216" width="9.1796875" style="20"/>
    <col min="10217" max="10217" width="22.81640625" style="20" bestFit="1" customWidth="1"/>
    <col min="10218" max="10218" width="21.26953125" style="20" bestFit="1" customWidth="1"/>
    <col min="10219" max="10219" width="23.81640625" style="20" bestFit="1" customWidth="1"/>
    <col min="10220" max="10456" width="9.1796875" style="20"/>
    <col min="10457" max="10457" width="17.7265625" style="20" customWidth="1"/>
    <col min="10458" max="10462" width="13.7265625" style="20" customWidth="1"/>
    <col min="10463" max="10463" width="7.7265625" style="20" customWidth="1"/>
    <col min="10464" max="10464" width="13.7265625" style="20" customWidth="1"/>
    <col min="10465" max="10465" width="9.7265625" style="20" bestFit="1" customWidth="1"/>
    <col min="10466" max="10466" width="12.453125" style="20" bestFit="1" customWidth="1"/>
    <col min="10467" max="10467" width="10.54296875" style="20" customWidth="1"/>
    <col min="10468" max="10468" width="19.453125" style="20" bestFit="1" customWidth="1"/>
    <col min="10469" max="10469" width="13.453125" style="20" bestFit="1" customWidth="1"/>
    <col min="10470" max="10472" width="9.1796875" style="20"/>
    <col min="10473" max="10473" width="22.81640625" style="20" bestFit="1" customWidth="1"/>
    <col min="10474" max="10474" width="21.26953125" style="20" bestFit="1" customWidth="1"/>
    <col min="10475" max="10475" width="23.81640625" style="20" bestFit="1" customWidth="1"/>
    <col min="10476" max="10712" width="9.1796875" style="20"/>
    <col min="10713" max="10713" width="17.7265625" style="20" customWidth="1"/>
    <col min="10714" max="10718" width="13.7265625" style="20" customWidth="1"/>
    <col min="10719" max="10719" width="7.7265625" style="20" customWidth="1"/>
    <col min="10720" max="10720" width="13.7265625" style="20" customWidth="1"/>
    <col min="10721" max="10721" width="9.7265625" style="20" bestFit="1" customWidth="1"/>
    <col min="10722" max="10722" width="12.453125" style="20" bestFit="1" customWidth="1"/>
    <col min="10723" max="10723" width="10.54296875" style="20" customWidth="1"/>
    <col min="10724" max="10724" width="19.453125" style="20" bestFit="1" customWidth="1"/>
    <col min="10725" max="10725" width="13.453125" style="20" bestFit="1" customWidth="1"/>
    <col min="10726" max="10728" width="9.1796875" style="20"/>
    <col min="10729" max="10729" width="22.81640625" style="20" bestFit="1" customWidth="1"/>
    <col min="10730" max="10730" width="21.26953125" style="20" bestFit="1" customWidth="1"/>
    <col min="10731" max="10731" width="23.81640625" style="20" bestFit="1" customWidth="1"/>
    <col min="10732" max="10968" width="9.1796875" style="20"/>
    <col min="10969" max="10969" width="17.7265625" style="20" customWidth="1"/>
    <col min="10970" max="10974" width="13.7265625" style="20" customWidth="1"/>
    <col min="10975" max="10975" width="7.7265625" style="20" customWidth="1"/>
    <col min="10976" max="10976" width="13.7265625" style="20" customWidth="1"/>
    <col min="10977" max="10977" width="9.7265625" style="20" bestFit="1" customWidth="1"/>
    <col min="10978" max="10978" width="12.453125" style="20" bestFit="1" customWidth="1"/>
    <col min="10979" max="10979" width="10.54296875" style="20" customWidth="1"/>
    <col min="10980" max="10980" width="19.453125" style="20" bestFit="1" customWidth="1"/>
    <col min="10981" max="10981" width="13.453125" style="20" bestFit="1" customWidth="1"/>
    <col min="10982" max="10984" width="9.1796875" style="20"/>
    <col min="10985" max="10985" width="22.81640625" style="20" bestFit="1" customWidth="1"/>
    <col min="10986" max="10986" width="21.26953125" style="20" bestFit="1" customWidth="1"/>
    <col min="10987" max="10987" width="23.81640625" style="20" bestFit="1" customWidth="1"/>
    <col min="10988" max="11224" width="9.1796875" style="20"/>
    <col min="11225" max="11225" width="17.7265625" style="20" customWidth="1"/>
    <col min="11226" max="11230" width="13.7265625" style="20" customWidth="1"/>
    <col min="11231" max="11231" width="7.7265625" style="20" customWidth="1"/>
    <col min="11232" max="11232" width="13.7265625" style="20" customWidth="1"/>
    <col min="11233" max="11233" width="9.7265625" style="20" bestFit="1" customWidth="1"/>
    <col min="11234" max="11234" width="12.453125" style="20" bestFit="1" customWidth="1"/>
    <col min="11235" max="11235" width="10.54296875" style="20" customWidth="1"/>
    <col min="11236" max="11236" width="19.453125" style="20" bestFit="1" customWidth="1"/>
    <col min="11237" max="11237" width="13.453125" style="20" bestFit="1" customWidth="1"/>
    <col min="11238" max="11240" width="9.1796875" style="20"/>
    <col min="11241" max="11241" width="22.81640625" style="20" bestFit="1" customWidth="1"/>
    <col min="11242" max="11242" width="21.26953125" style="20" bestFit="1" customWidth="1"/>
    <col min="11243" max="11243" width="23.81640625" style="20" bestFit="1" customWidth="1"/>
    <col min="11244" max="11480" width="9.1796875" style="20"/>
    <col min="11481" max="11481" width="17.7265625" style="20" customWidth="1"/>
    <col min="11482" max="11486" width="13.7265625" style="20" customWidth="1"/>
    <col min="11487" max="11487" width="7.7265625" style="20" customWidth="1"/>
    <col min="11488" max="11488" width="13.7265625" style="20" customWidth="1"/>
    <col min="11489" max="11489" width="9.7265625" style="20" bestFit="1" customWidth="1"/>
    <col min="11490" max="11490" width="12.453125" style="20" bestFit="1" customWidth="1"/>
    <col min="11491" max="11491" width="10.54296875" style="20" customWidth="1"/>
    <col min="11492" max="11492" width="19.453125" style="20" bestFit="1" customWidth="1"/>
    <col min="11493" max="11493" width="13.453125" style="20" bestFit="1" customWidth="1"/>
    <col min="11494" max="11496" width="9.1796875" style="20"/>
    <col min="11497" max="11497" width="22.81640625" style="20" bestFit="1" customWidth="1"/>
    <col min="11498" max="11498" width="21.26953125" style="20" bestFit="1" customWidth="1"/>
    <col min="11499" max="11499" width="23.81640625" style="20" bestFit="1" customWidth="1"/>
    <col min="11500" max="11736" width="9.1796875" style="20"/>
    <col min="11737" max="11737" width="17.7265625" style="20" customWidth="1"/>
    <col min="11738" max="11742" width="13.7265625" style="20" customWidth="1"/>
    <col min="11743" max="11743" width="7.7265625" style="20" customWidth="1"/>
    <col min="11744" max="11744" width="13.7265625" style="20" customWidth="1"/>
    <col min="11745" max="11745" width="9.7265625" style="20" bestFit="1" customWidth="1"/>
    <col min="11746" max="11746" width="12.453125" style="20" bestFit="1" customWidth="1"/>
    <col min="11747" max="11747" width="10.54296875" style="20" customWidth="1"/>
    <col min="11748" max="11748" width="19.453125" style="20" bestFit="1" customWidth="1"/>
    <col min="11749" max="11749" width="13.453125" style="20" bestFit="1" customWidth="1"/>
    <col min="11750" max="11752" width="9.1796875" style="20"/>
    <col min="11753" max="11753" width="22.81640625" style="20" bestFit="1" customWidth="1"/>
    <col min="11754" max="11754" width="21.26953125" style="20" bestFit="1" customWidth="1"/>
    <col min="11755" max="11755" width="23.81640625" style="20" bestFit="1" customWidth="1"/>
    <col min="11756" max="11992" width="9.1796875" style="20"/>
    <col min="11993" max="11993" width="17.7265625" style="20" customWidth="1"/>
    <col min="11994" max="11998" width="13.7265625" style="20" customWidth="1"/>
    <col min="11999" max="11999" width="7.7265625" style="20" customWidth="1"/>
    <col min="12000" max="12000" width="13.7265625" style="20" customWidth="1"/>
    <col min="12001" max="12001" width="9.7265625" style="20" bestFit="1" customWidth="1"/>
    <col min="12002" max="12002" width="12.453125" style="20" bestFit="1" customWidth="1"/>
    <col min="12003" max="12003" width="10.54296875" style="20" customWidth="1"/>
    <col min="12004" max="12004" width="19.453125" style="20" bestFit="1" customWidth="1"/>
    <col min="12005" max="12005" width="13.453125" style="20" bestFit="1" customWidth="1"/>
    <col min="12006" max="12008" width="9.1796875" style="20"/>
    <col min="12009" max="12009" width="22.81640625" style="20" bestFit="1" customWidth="1"/>
    <col min="12010" max="12010" width="21.26953125" style="20" bestFit="1" customWidth="1"/>
    <col min="12011" max="12011" width="23.81640625" style="20" bestFit="1" customWidth="1"/>
    <col min="12012" max="12248" width="9.1796875" style="20"/>
    <col min="12249" max="12249" width="17.7265625" style="20" customWidth="1"/>
    <col min="12250" max="12254" width="13.7265625" style="20" customWidth="1"/>
    <col min="12255" max="12255" width="7.7265625" style="20" customWidth="1"/>
    <col min="12256" max="12256" width="13.7265625" style="20" customWidth="1"/>
    <col min="12257" max="12257" width="9.7265625" style="20" bestFit="1" customWidth="1"/>
    <col min="12258" max="12258" width="12.453125" style="20" bestFit="1" customWidth="1"/>
    <col min="12259" max="12259" width="10.54296875" style="20" customWidth="1"/>
    <col min="12260" max="12260" width="19.453125" style="20" bestFit="1" customWidth="1"/>
    <col min="12261" max="12261" width="13.453125" style="20" bestFit="1" customWidth="1"/>
    <col min="12262" max="12264" width="9.1796875" style="20"/>
    <col min="12265" max="12265" width="22.81640625" style="20" bestFit="1" customWidth="1"/>
    <col min="12266" max="12266" width="21.26953125" style="20" bestFit="1" customWidth="1"/>
    <col min="12267" max="12267" width="23.81640625" style="20" bestFit="1" customWidth="1"/>
    <col min="12268" max="12504" width="9.1796875" style="20"/>
    <col min="12505" max="12505" width="17.7265625" style="20" customWidth="1"/>
    <col min="12506" max="12510" width="13.7265625" style="20" customWidth="1"/>
    <col min="12511" max="12511" width="7.7265625" style="20" customWidth="1"/>
    <col min="12512" max="12512" width="13.7265625" style="20" customWidth="1"/>
    <col min="12513" max="12513" width="9.7265625" style="20" bestFit="1" customWidth="1"/>
    <col min="12514" max="12514" width="12.453125" style="20" bestFit="1" customWidth="1"/>
    <col min="12515" max="12515" width="10.54296875" style="20" customWidth="1"/>
    <col min="12516" max="12516" width="19.453125" style="20" bestFit="1" customWidth="1"/>
    <col min="12517" max="12517" width="13.453125" style="20" bestFit="1" customWidth="1"/>
    <col min="12518" max="12520" width="9.1796875" style="20"/>
    <col min="12521" max="12521" width="22.81640625" style="20" bestFit="1" customWidth="1"/>
    <col min="12522" max="12522" width="21.26953125" style="20" bestFit="1" customWidth="1"/>
    <col min="12523" max="12523" width="23.81640625" style="20" bestFit="1" customWidth="1"/>
    <col min="12524" max="12760" width="9.1796875" style="20"/>
    <col min="12761" max="12761" width="17.7265625" style="20" customWidth="1"/>
    <col min="12762" max="12766" width="13.7265625" style="20" customWidth="1"/>
    <col min="12767" max="12767" width="7.7265625" style="20" customWidth="1"/>
    <col min="12768" max="12768" width="13.7265625" style="20" customWidth="1"/>
    <col min="12769" max="12769" width="9.7265625" style="20" bestFit="1" customWidth="1"/>
    <col min="12770" max="12770" width="12.453125" style="20" bestFit="1" customWidth="1"/>
    <col min="12771" max="12771" width="10.54296875" style="20" customWidth="1"/>
    <col min="12772" max="12772" width="19.453125" style="20" bestFit="1" customWidth="1"/>
    <col min="12773" max="12773" width="13.453125" style="20" bestFit="1" customWidth="1"/>
    <col min="12774" max="12776" width="9.1796875" style="20"/>
    <col min="12777" max="12777" width="22.81640625" style="20" bestFit="1" customWidth="1"/>
    <col min="12778" max="12778" width="21.26953125" style="20" bestFit="1" customWidth="1"/>
    <col min="12779" max="12779" width="23.81640625" style="20" bestFit="1" customWidth="1"/>
    <col min="12780" max="13016" width="9.1796875" style="20"/>
    <col min="13017" max="13017" width="17.7265625" style="20" customWidth="1"/>
    <col min="13018" max="13022" width="13.7265625" style="20" customWidth="1"/>
    <col min="13023" max="13023" width="7.7265625" style="20" customWidth="1"/>
    <col min="13024" max="13024" width="13.7265625" style="20" customWidth="1"/>
    <col min="13025" max="13025" width="9.7265625" style="20" bestFit="1" customWidth="1"/>
    <col min="13026" max="13026" width="12.453125" style="20" bestFit="1" customWidth="1"/>
    <col min="13027" max="13027" width="10.54296875" style="20" customWidth="1"/>
    <col min="13028" max="13028" width="19.453125" style="20" bestFit="1" customWidth="1"/>
    <col min="13029" max="13029" width="13.453125" style="20" bestFit="1" customWidth="1"/>
    <col min="13030" max="13032" width="9.1796875" style="20"/>
    <col min="13033" max="13033" width="22.81640625" style="20" bestFit="1" customWidth="1"/>
    <col min="13034" max="13034" width="21.26953125" style="20" bestFit="1" customWidth="1"/>
    <col min="13035" max="13035" width="23.81640625" style="20" bestFit="1" customWidth="1"/>
    <col min="13036" max="13272" width="9.1796875" style="20"/>
    <col min="13273" max="13273" width="17.7265625" style="20" customWidth="1"/>
    <col min="13274" max="13278" width="13.7265625" style="20" customWidth="1"/>
    <col min="13279" max="13279" width="7.7265625" style="20" customWidth="1"/>
    <col min="13280" max="13280" width="13.7265625" style="20" customWidth="1"/>
    <col min="13281" max="13281" width="9.7265625" style="20" bestFit="1" customWidth="1"/>
    <col min="13282" max="13282" width="12.453125" style="20" bestFit="1" customWidth="1"/>
    <col min="13283" max="13283" width="10.54296875" style="20" customWidth="1"/>
    <col min="13284" max="13284" width="19.453125" style="20" bestFit="1" customWidth="1"/>
    <col min="13285" max="13285" width="13.453125" style="20" bestFit="1" customWidth="1"/>
    <col min="13286" max="13288" width="9.1796875" style="20"/>
    <col min="13289" max="13289" width="22.81640625" style="20" bestFit="1" customWidth="1"/>
    <col min="13290" max="13290" width="21.26953125" style="20" bestFit="1" customWidth="1"/>
    <col min="13291" max="13291" width="23.81640625" style="20" bestFit="1" customWidth="1"/>
    <col min="13292" max="13528" width="9.1796875" style="20"/>
    <col min="13529" max="13529" width="17.7265625" style="20" customWidth="1"/>
    <col min="13530" max="13534" width="13.7265625" style="20" customWidth="1"/>
    <col min="13535" max="13535" width="7.7265625" style="20" customWidth="1"/>
    <col min="13536" max="13536" width="13.7265625" style="20" customWidth="1"/>
    <col min="13537" max="13537" width="9.7265625" style="20" bestFit="1" customWidth="1"/>
    <col min="13538" max="13538" width="12.453125" style="20" bestFit="1" customWidth="1"/>
    <col min="13539" max="13539" width="10.54296875" style="20" customWidth="1"/>
    <col min="13540" max="13540" width="19.453125" style="20" bestFit="1" customWidth="1"/>
    <col min="13541" max="13541" width="13.453125" style="20" bestFit="1" customWidth="1"/>
    <col min="13542" max="13544" width="9.1796875" style="20"/>
    <col min="13545" max="13545" width="22.81640625" style="20" bestFit="1" customWidth="1"/>
    <col min="13546" max="13546" width="21.26953125" style="20" bestFit="1" customWidth="1"/>
    <col min="13547" max="13547" width="23.81640625" style="20" bestFit="1" customWidth="1"/>
    <col min="13548" max="13784" width="9.1796875" style="20"/>
    <col min="13785" max="13785" width="17.7265625" style="20" customWidth="1"/>
    <col min="13786" max="13790" width="13.7265625" style="20" customWidth="1"/>
    <col min="13791" max="13791" width="7.7265625" style="20" customWidth="1"/>
    <col min="13792" max="13792" width="13.7265625" style="20" customWidth="1"/>
    <col min="13793" max="13793" width="9.7265625" style="20" bestFit="1" customWidth="1"/>
    <col min="13794" max="13794" width="12.453125" style="20" bestFit="1" customWidth="1"/>
    <col min="13795" max="13795" width="10.54296875" style="20" customWidth="1"/>
    <col min="13796" max="13796" width="19.453125" style="20" bestFit="1" customWidth="1"/>
    <col min="13797" max="13797" width="13.453125" style="20" bestFit="1" customWidth="1"/>
    <col min="13798" max="13800" width="9.1796875" style="20"/>
    <col min="13801" max="13801" width="22.81640625" style="20" bestFit="1" customWidth="1"/>
    <col min="13802" max="13802" width="21.26953125" style="20" bestFit="1" customWidth="1"/>
    <col min="13803" max="13803" width="23.81640625" style="20" bestFit="1" customWidth="1"/>
    <col min="13804" max="14040" width="9.1796875" style="20"/>
    <col min="14041" max="14041" width="17.7265625" style="20" customWidth="1"/>
    <col min="14042" max="14046" width="13.7265625" style="20" customWidth="1"/>
    <col min="14047" max="14047" width="7.7265625" style="20" customWidth="1"/>
    <col min="14048" max="14048" width="13.7265625" style="20" customWidth="1"/>
    <col min="14049" max="14049" width="9.7265625" style="20" bestFit="1" customWidth="1"/>
    <col min="14050" max="14050" width="12.453125" style="20" bestFit="1" customWidth="1"/>
    <col min="14051" max="14051" width="10.54296875" style="20" customWidth="1"/>
    <col min="14052" max="14052" width="19.453125" style="20" bestFit="1" customWidth="1"/>
    <col min="14053" max="14053" width="13.453125" style="20" bestFit="1" customWidth="1"/>
    <col min="14054" max="14056" width="9.1796875" style="20"/>
    <col min="14057" max="14057" width="22.81640625" style="20" bestFit="1" customWidth="1"/>
    <col min="14058" max="14058" width="21.26953125" style="20" bestFit="1" customWidth="1"/>
    <col min="14059" max="14059" width="23.81640625" style="20" bestFit="1" customWidth="1"/>
    <col min="14060" max="14296" width="9.1796875" style="20"/>
    <col min="14297" max="14297" width="17.7265625" style="20" customWidth="1"/>
    <col min="14298" max="14302" width="13.7265625" style="20" customWidth="1"/>
    <col min="14303" max="14303" width="7.7265625" style="20" customWidth="1"/>
    <col min="14304" max="14304" width="13.7265625" style="20" customWidth="1"/>
    <col min="14305" max="14305" width="9.7265625" style="20" bestFit="1" customWidth="1"/>
    <col min="14306" max="14306" width="12.453125" style="20" bestFit="1" customWidth="1"/>
    <col min="14307" max="14307" width="10.54296875" style="20" customWidth="1"/>
    <col min="14308" max="14308" width="19.453125" style="20" bestFit="1" customWidth="1"/>
    <col min="14309" max="14309" width="13.453125" style="20" bestFit="1" customWidth="1"/>
    <col min="14310" max="14312" width="9.1796875" style="20"/>
    <col min="14313" max="14313" width="22.81640625" style="20" bestFit="1" customWidth="1"/>
    <col min="14314" max="14314" width="21.26953125" style="20" bestFit="1" customWidth="1"/>
    <col min="14315" max="14315" width="23.81640625" style="20" bestFit="1" customWidth="1"/>
    <col min="14316" max="14552" width="9.1796875" style="20"/>
    <col min="14553" max="14553" width="17.7265625" style="20" customWidth="1"/>
    <col min="14554" max="14558" width="13.7265625" style="20" customWidth="1"/>
    <col min="14559" max="14559" width="7.7265625" style="20" customWidth="1"/>
    <col min="14560" max="14560" width="13.7265625" style="20" customWidth="1"/>
    <col min="14561" max="14561" width="9.7265625" style="20" bestFit="1" customWidth="1"/>
    <col min="14562" max="14562" width="12.453125" style="20" bestFit="1" customWidth="1"/>
    <col min="14563" max="14563" width="10.54296875" style="20" customWidth="1"/>
    <col min="14564" max="14564" width="19.453125" style="20" bestFit="1" customWidth="1"/>
    <col min="14565" max="14565" width="13.453125" style="20" bestFit="1" customWidth="1"/>
    <col min="14566" max="14568" width="9.1796875" style="20"/>
    <col min="14569" max="14569" width="22.81640625" style="20" bestFit="1" customWidth="1"/>
    <col min="14570" max="14570" width="21.26953125" style="20" bestFit="1" customWidth="1"/>
    <col min="14571" max="14571" width="23.81640625" style="20" bestFit="1" customWidth="1"/>
    <col min="14572" max="14808" width="9.1796875" style="20"/>
    <col min="14809" max="14809" width="17.7265625" style="20" customWidth="1"/>
    <col min="14810" max="14814" width="13.7265625" style="20" customWidth="1"/>
    <col min="14815" max="14815" width="7.7265625" style="20" customWidth="1"/>
    <col min="14816" max="14816" width="13.7265625" style="20" customWidth="1"/>
    <col min="14817" max="14817" width="9.7265625" style="20" bestFit="1" customWidth="1"/>
    <col min="14818" max="14818" width="12.453125" style="20" bestFit="1" customWidth="1"/>
    <col min="14819" max="14819" width="10.54296875" style="20" customWidth="1"/>
    <col min="14820" max="14820" width="19.453125" style="20" bestFit="1" customWidth="1"/>
    <col min="14821" max="14821" width="13.453125" style="20" bestFit="1" customWidth="1"/>
    <col min="14822" max="14824" width="9.1796875" style="20"/>
    <col min="14825" max="14825" width="22.81640625" style="20" bestFit="1" customWidth="1"/>
    <col min="14826" max="14826" width="21.26953125" style="20" bestFit="1" customWidth="1"/>
    <col min="14827" max="14827" width="23.81640625" style="20" bestFit="1" customWidth="1"/>
    <col min="14828" max="15064" width="9.1796875" style="20"/>
    <col min="15065" max="15065" width="17.7265625" style="20" customWidth="1"/>
    <col min="15066" max="15070" width="13.7265625" style="20" customWidth="1"/>
    <col min="15071" max="15071" width="7.7265625" style="20" customWidth="1"/>
    <col min="15072" max="15072" width="13.7265625" style="20" customWidth="1"/>
    <col min="15073" max="15073" width="9.7265625" style="20" bestFit="1" customWidth="1"/>
    <col min="15074" max="15074" width="12.453125" style="20" bestFit="1" customWidth="1"/>
    <col min="15075" max="15075" width="10.54296875" style="20" customWidth="1"/>
    <col min="15076" max="15076" width="19.453125" style="20" bestFit="1" customWidth="1"/>
    <col min="15077" max="15077" width="13.453125" style="20" bestFit="1" customWidth="1"/>
    <col min="15078" max="15080" width="9.1796875" style="20"/>
    <col min="15081" max="15081" width="22.81640625" style="20" bestFit="1" customWidth="1"/>
    <col min="15082" max="15082" width="21.26953125" style="20" bestFit="1" customWidth="1"/>
    <col min="15083" max="15083" width="23.81640625" style="20" bestFit="1" customWidth="1"/>
    <col min="15084" max="15320" width="9.1796875" style="20"/>
    <col min="15321" max="15321" width="17.7265625" style="20" customWidth="1"/>
    <col min="15322" max="15326" width="13.7265625" style="20" customWidth="1"/>
    <col min="15327" max="15327" width="7.7265625" style="20" customWidth="1"/>
    <col min="15328" max="15328" width="13.7265625" style="20" customWidth="1"/>
    <col min="15329" max="15329" width="9.7265625" style="20" bestFit="1" customWidth="1"/>
    <col min="15330" max="15330" width="12.453125" style="20" bestFit="1" customWidth="1"/>
    <col min="15331" max="15331" width="10.54296875" style="20" customWidth="1"/>
    <col min="15332" max="15332" width="19.453125" style="20" bestFit="1" customWidth="1"/>
    <col min="15333" max="15333" width="13.453125" style="20" bestFit="1" customWidth="1"/>
    <col min="15334" max="15336" width="9.1796875" style="20"/>
    <col min="15337" max="15337" width="22.81640625" style="20" bestFit="1" customWidth="1"/>
    <col min="15338" max="15338" width="21.26953125" style="20" bestFit="1" customWidth="1"/>
    <col min="15339" max="15339" width="23.81640625" style="20" bestFit="1" customWidth="1"/>
    <col min="15340" max="15576" width="9.1796875" style="20"/>
    <col min="15577" max="15577" width="17.7265625" style="20" customWidth="1"/>
    <col min="15578" max="15582" width="13.7265625" style="20" customWidth="1"/>
    <col min="15583" max="15583" width="7.7265625" style="20" customWidth="1"/>
    <col min="15584" max="15584" width="13.7265625" style="20" customWidth="1"/>
    <col min="15585" max="15585" width="9.7265625" style="20" bestFit="1" customWidth="1"/>
    <col min="15586" max="15586" width="12.453125" style="20" bestFit="1" customWidth="1"/>
    <col min="15587" max="15587" width="10.54296875" style="20" customWidth="1"/>
    <col min="15588" max="15588" width="19.453125" style="20" bestFit="1" customWidth="1"/>
    <col min="15589" max="15589" width="13.453125" style="20" bestFit="1" customWidth="1"/>
    <col min="15590" max="15592" width="9.1796875" style="20"/>
    <col min="15593" max="15593" width="22.81640625" style="20" bestFit="1" customWidth="1"/>
    <col min="15594" max="15594" width="21.26953125" style="20" bestFit="1" customWidth="1"/>
    <col min="15595" max="15595" width="23.81640625" style="20" bestFit="1" customWidth="1"/>
    <col min="15596" max="15832" width="9.1796875" style="20"/>
    <col min="15833" max="15833" width="17.7265625" style="20" customWidth="1"/>
    <col min="15834" max="15838" width="13.7265625" style="20" customWidth="1"/>
    <col min="15839" max="15839" width="7.7265625" style="20" customWidth="1"/>
    <col min="15840" max="15840" width="13.7265625" style="20" customWidth="1"/>
    <col min="15841" max="15841" width="9.7265625" style="20" bestFit="1" customWidth="1"/>
    <col min="15842" max="15842" width="12.453125" style="20" bestFit="1" customWidth="1"/>
    <col min="15843" max="15843" width="10.54296875" style="20" customWidth="1"/>
    <col min="15844" max="15844" width="19.453125" style="20" bestFit="1" customWidth="1"/>
    <col min="15845" max="15845" width="13.453125" style="20" bestFit="1" customWidth="1"/>
    <col min="15846" max="15848" width="9.1796875" style="20"/>
    <col min="15849" max="15849" width="22.81640625" style="20" bestFit="1" customWidth="1"/>
    <col min="15850" max="15850" width="21.26953125" style="20" bestFit="1" customWidth="1"/>
    <col min="15851" max="15851" width="23.81640625" style="20" bestFit="1" customWidth="1"/>
    <col min="15852" max="16088" width="9.1796875" style="20"/>
    <col min="16089" max="16089" width="17.7265625" style="20" customWidth="1"/>
    <col min="16090" max="16094" width="13.7265625" style="20" customWidth="1"/>
    <col min="16095" max="16095" width="7.7265625" style="20" customWidth="1"/>
    <col min="16096" max="16096" width="13.7265625" style="20" customWidth="1"/>
    <col min="16097" max="16097" width="9.7265625" style="20" bestFit="1" customWidth="1"/>
    <col min="16098" max="16098" width="12.453125" style="20" bestFit="1" customWidth="1"/>
    <col min="16099" max="16099" width="10.54296875" style="20" customWidth="1"/>
    <col min="16100" max="16100" width="19.453125" style="20" bestFit="1" customWidth="1"/>
    <col min="16101" max="16101" width="13.453125" style="20" bestFit="1" customWidth="1"/>
    <col min="16102" max="16104" width="9.1796875" style="20"/>
    <col min="16105" max="16105" width="22.81640625" style="20" bestFit="1" customWidth="1"/>
    <col min="16106" max="16106" width="21.26953125" style="20" bestFit="1" customWidth="1"/>
    <col min="16107" max="16107" width="23.81640625" style="20" bestFit="1" customWidth="1"/>
    <col min="16108" max="16380" width="9.1796875" style="20"/>
    <col min="16381" max="16384" width="9.1796875" style="20" customWidth="1"/>
  </cols>
  <sheetData>
    <row r="1" spans="1:55" s="1" customFormat="1" ht="18.399999999999999" customHeight="1">
      <c r="A1" s="278"/>
      <c r="B1" s="278"/>
      <c r="C1" s="278"/>
      <c r="D1" s="278"/>
      <c r="E1" s="278"/>
      <c r="F1" s="278"/>
      <c r="G1" s="278"/>
      <c r="H1" s="278"/>
      <c r="I1" s="278"/>
      <c r="J1" s="278"/>
      <c r="L1" s="58"/>
    </row>
    <row r="2" spans="1:55" s="1" customFormat="1" ht="18.399999999999999" customHeight="1">
      <c r="L2" s="58"/>
    </row>
    <row r="3" spans="1:55" s="1" customFormat="1" ht="18.399999999999999" customHeight="1">
      <c r="L3" s="58"/>
    </row>
    <row r="4" spans="1:55" s="1" customFormat="1" ht="18.399999999999999" customHeight="1"/>
    <row r="5" spans="1:55" s="1" customFormat="1" ht="18.399999999999999" customHeight="1">
      <c r="A5" s="2"/>
      <c r="B5" s="2"/>
      <c r="C5" s="2"/>
    </row>
    <row r="6" spans="1:55" s="1" customFormat="1" ht="31.4" customHeight="1">
      <c r="A6" s="651" t="str">
        <f>CONCATENATE("Calibration Report of ",'TECH DATA ENTRY'!B12," ",'TECH DATA ENTRY'!B14," ",'TECH DATA ENTRY'!B16," ",)</f>
        <v xml:space="preserve">Calibration Report of Fluke 8846A Digital Multimeter </v>
      </c>
      <c r="B6" s="651"/>
      <c r="C6" s="651"/>
      <c r="D6" s="651"/>
      <c r="E6" s="651"/>
      <c r="F6" s="651"/>
      <c r="G6" s="651"/>
      <c r="H6" s="651"/>
      <c r="I6" s="651"/>
      <c r="J6" s="651"/>
      <c r="L6" s="146"/>
      <c r="M6" s="146"/>
    </row>
    <row r="7" spans="1:55" s="1" customFormat="1" ht="31.4" customHeight="1" thickBot="1">
      <c r="A7" s="651"/>
      <c r="B7" s="651"/>
      <c r="C7" s="651"/>
      <c r="D7" s="651"/>
      <c r="E7" s="651"/>
      <c r="F7" s="651"/>
      <c r="G7" s="651"/>
      <c r="H7" s="651"/>
      <c r="I7" s="651"/>
      <c r="J7" s="651"/>
      <c r="K7" s="75"/>
      <c r="L7" s="58"/>
      <c r="M7" s="58"/>
    </row>
    <row r="8" spans="1:55" s="1" customFormat="1" ht="14.5" customHeight="1">
      <c r="A8" s="643"/>
      <c r="B8" s="643"/>
      <c r="C8" s="643"/>
      <c r="D8" s="643"/>
      <c r="E8" s="643"/>
      <c r="F8" s="643"/>
      <c r="G8" s="643"/>
      <c r="L8" s="58"/>
      <c r="M8" s="58"/>
      <c r="O8" s="63"/>
      <c r="P8" s="64"/>
      <c r="Q8" s="64"/>
      <c r="R8" s="65"/>
      <c r="S8" s="64"/>
      <c r="T8" s="64"/>
      <c r="U8" s="64"/>
      <c r="V8" s="64"/>
      <c r="W8" s="64"/>
      <c r="X8" s="65"/>
      <c r="AI8" s="71"/>
    </row>
    <row r="9" spans="1:55" s="1" customFormat="1" ht="22.15" customHeight="1">
      <c r="A9" s="236"/>
      <c r="B9" s="236"/>
      <c r="C9" s="236"/>
      <c r="D9" s="236"/>
      <c r="F9" s="650"/>
      <c r="G9" s="650"/>
      <c r="J9" s="58"/>
      <c r="K9" s="58"/>
      <c r="L9" s="58"/>
      <c r="M9" s="58"/>
      <c r="O9" s="66"/>
      <c r="P9" s="72" t="s">
        <v>65</v>
      </c>
      <c r="R9" s="71"/>
      <c r="S9" s="72" t="s">
        <v>66</v>
      </c>
      <c r="X9" s="71"/>
      <c r="AI9" s="71"/>
      <c r="AJ9" s="270" t="b">
        <v>1</v>
      </c>
      <c r="AK9" s="250">
        <f>IF(AJ9 = TRUE,0,1)</f>
        <v>0</v>
      </c>
      <c r="AP9" s="267"/>
      <c r="AQ9" s="267"/>
      <c r="AR9" s="267"/>
      <c r="AS9" s="267"/>
      <c r="AT9" s="267"/>
      <c r="AU9" s="267"/>
      <c r="AV9" s="267"/>
      <c r="AW9" s="267"/>
      <c r="AX9" s="267"/>
      <c r="AY9" s="267"/>
      <c r="AZ9" s="267"/>
      <c r="BA9" s="266"/>
    </row>
    <row r="10" spans="1:55" s="1" customFormat="1" ht="10.15" customHeight="1">
      <c r="A10" s="236"/>
      <c r="B10" s="236"/>
      <c r="C10" s="236"/>
      <c r="D10" s="236"/>
      <c r="J10" s="58"/>
      <c r="K10" s="58"/>
      <c r="L10" s="58"/>
      <c r="M10" s="58"/>
      <c r="O10" s="66"/>
      <c r="R10" s="71"/>
      <c r="X10" s="71"/>
      <c r="AI10" s="71"/>
      <c r="AP10" s="267"/>
      <c r="AQ10" s="267"/>
      <c r="AR10" s="267"/>
      <c r="AS10" s="267"/>
      <c r="AT10" s="267"/>
      <c r="AU10" s="267"/>
      <c r="AV10" s="267"/>
      <c r="AW10" s="267"/>
      <c r="AX10" s="267"/>
      <c r="AY10" s="267"/>
      <c r="AZ10" s="267"/>
      <c r="BA10" s="266"/>
    </row>
    <row r="11" spans="1:55" s="1" customFormat="1" ht="22.15" customHeight="1">
      <c r="A11" s="236"/>
      <c r="B11" s="236"/>
      <c r="C11" s="236"/>
      <c r="D11" s="236"/>
      <c r="F11" s="650"/>
      <c r="G11" s="650"/>
      <c r="J11" s="251"/>
      <c r="K11" s="251"/>
      <c r="L11" s="251"/>
      <c r="M11" s="251"/>
      <c r="O11" s="66"/>
      <c r="P11" s="275" t="s">
        <v>123</v>
      </c>
      <c r="Q11" s="275">
        <f ca="1">RAND()</f>
        <v>0.62919548347258425</v>
      </c>
      <c r="R11" s="71"/>
      <c r="S11" s="657" t="str">
        <f>IF(P11="ACC CAL WITH GB - Method 6","Z540.3 Method 6-Guard Bands based on Test Uncertainty Ratio",IF(P11="ACC CAL WITH GB - Method 5","Z540.3 Method 5-Guard Bands based on Expanded Uncertainty",IF(P11="DATA NO UNC","Decision Rules based on Simple Acceptance, ISO/IEC Guide 98-4 and ILAC-G8:03/2009",IF(P11="ACC CAL WITHOUT GB","Decision Rules based on Simple Acceptance, ISO/IEC Guide 98-4 and ILAC-G8:03/2009",'TECH DATA ENTRY'!B28))))</f>
        <v>Z540.3 Method 6-Guard Bands based on Test Uncertainty Ratio</v>
      </c>
      <c r="T11" s="657"/>
      <c r="U11" s="657"/>
      <c r="X11" s="71"/>
      <c r="AI11" s="71"/>
      <c r="AJ11" s="271" t="b">
        <v>0</v>
      </c>
      <c r="AK11" s="274" t="b">
        <v>1</v>
      </c>
      <c r="AP11" s="267"/>
      <c r="AQ11" s="267"/>
      <c r="AR11" s="267"/>
      <c r="AS11" s="267"/>
      <c r="AT11" s="267"/>
      <c r="AU11" s="267"/>
      <c r="AV11" s="267"/>
      <c r="AW11" s="267"/>
      <c r="AX11" s="267"/>
      <c r="AY11" s="267"/>
      <c r="AZ11" s="267"/>
      <c r="BA11" s="266"/>
    </row>
    <row r="12" spans="1:55" s="1" customFormat="1" ht="18.5" thickBot="1">
      <c r="B12" s="60"/>
      <c r="C12" s="61"/>
      <c r="D12" s="60"/>
      <c r="E12" s="62"/>
      <c r="G12" s="61"/>
      <c r="H12" s="56"/>
      <c r="I12" s="56"/>
      <c r="J12" s="57"/>
      <c r="K12" s="56"/>
      <c r="L12" s="58"/>
      <c r="M12" s="58"/>
      <c r="O12" s="67"/>
      <c r="P12" s="68"/>
      <c r="Q12" s="68"/>
      <c r="R12" s="272"/>
      <c r="S12" s="68"/>
      <c r="T12" s="68"/>
      <c r="U12" s="68"/>
      <c r="V12" s="196"/>
      <c r="W12" s="196"/>
      <c r="X12" s="197"/>
      <c r="AI12" s="71"/>
      <c r="AP12" s="267"/>
      <c r="AQ12" s="267"/>
      <c r="AR12" s="267"/>
      <c r="AS12" s="267"/>
      <c r="AT12" s="267"/>
      <c r="AU12" s="267"/>
      <c r="AV12" s="267"/>
      <c r="AW12" s="267"/>
      <c r="AX12" s="267"/>
      <c r="AY12" s="267"/>
      <c r="AZ12" s="267"/>
      <c r="BA12" s="266"/>
    </row>
    <row r="13" spans="1:55" s="1" customFormat="1" ht="34.9" customHeight="1">
      <c r="B13" s="269"/>
      <c r="C13" s="269"/>
      <c r="D13" s="269"/>
      <c r="E13" s="269"/>
      <c r="F13" s="269"/>
      <c r="G13" s="269"/>
      <c r="H13" s="269"/>
      <c r="I13" s="268"/>
      <c r="J13" s="56"/>
      <c r="K13" s="56"/>
      <c r="L13" s="58"/>
      <c r="M13" s="58"/>
      <c r="N13" s="31"/>
      <c r="O13" s="77"/>
      <c r="P13" s="31"/>
      <c r="Q13" s="31"/>
      <c r="R13" s="31"/>
      <c r="S13" s="31"/>
      <c r="T13" s="31"/>
      <c r="U13" s="31"/>
      <c r="V13" s="31"/>
      <c r="W13" s="31"/>
      <c r="X13" s="31"/>
      <c r="Y13" s="31"/>
      <c r="AP13" s="267"/>
    </row>
    <row r="14" spans="1:55" s="296" customFormat="1" ht="28.15" customHeight="1">
      <c r="A14" s="289" t="str">
        <f>IF('TECH DATA ENTRY'!A31="","",'TECH DATA ENTRY'!A31)</f>
        <v>DC Voltage Accuracy</v>
      </c>
      <c r="B14" s="293"/>
      <c r="C14" s="294"/>
      <c r="D14" s="293"/>
      <c r="E14" s="293"/>
      <c r="F14" s="293"/>
      <c r="G14" s="294"/>
      <c r="H14" s="293"/>
      <c r="I14" s="295"/>
      <c r="J14" s="224"/>
      <c r="K14" s="224"/>
      <c r="L14" s="224" t="s">
        <v>222</v>
      </c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AK14" s="297"/>
    </row>
    <row r="15" spans="1:55" s="31" customFormat="1" ht="22.15" customHeight="1">
      <c r="A15" s="76" t="str">
        <f>IF('TECH DATA ENTRY'!A32="","",'TECH DATA ENTRY'!A32)</f>
        <v>Range: 100 mV</v>
      </c>
      <c r="H15" s="321"/>
      <c r="O15" s="77"/>
      <c r="AK15" s="1"/>
      <c r="AM15" s="637" t="s">
        <v>116</v>
      </c>
      <c r="AN15" s="637"/>
      <c r="AO15" s="637"/>
      <c r="AP15" s="637"/>
      <c r="AQ15" s="637"/>
      <c r="AR15" s="637"/>
      <c r="AS15" s="637"/>
      <c r="AT15" s="637"/>
      <c r="AV15" s="637" t="s">
        <v>117</v>
      </c>
      <c r="AW15" s="637"/>
      <c r="AX15" s="637"/>
      <c r="AY15" s="637"/>
      <c r="AZ15" s="637"/>
      <c r="BA15" s="637"/>
      <c r="BB15" s="637"/>
      <c r="BC15" s="637"/>
    </row>
    <row r="16" spans="1:55" s="225" customFormat="1" ht="4.9000000000000004" customHeight="1" thickBot="1">
      <c r="A16" s="288" t="str">
        <f>IF('TECH DATA ENTRY'!A33="","",'TECH DATA ENTRY'!A33)</f>
        <v/>
      </c>
      <c r="K16" s="239"/>
      <c r="L16" s="239"/>
      <c r="AK16" s="240"/>
    </row>
    <row r="17" spans="1:55" s="285" customFormat="1" ht="20.149999999999999" customHeight="1">
      <c r="A17" s="644" t="str">
        <f>IF('TECH DATA ENTRY'!A34="","",'TECH DATA ENTRY'!A34)</f>
        <v>Applied</v>
      </c>
      <c r="B17" s="646" t="str">
        <f>IF('TECH DATA ENTRY'!B34="","",'TECH DATA ENTRY'!B34)</f>
        <v>Nominal</v>
      </c>
      <c r="C17" s="648" t="s">
        <v>2</v>
      </c>
      <c r="D17" s="648" t="str">
        <f>IF(LEFT(P$11,3)="ROV", "Measured Value", "As Found")</f>
        <v>As Found</v>
      </c>
      <c r="E17" s="648" t="str">
        <f>IF(LEFT(P$11,3)="ROV", "Correction", "As Left")</f>
        <v>As Left</v>
      </c>
      <c r="F17" s="648" t="s">
        <v>3</v>
      </c>
      <c r="G17" s="653" t="s">
        <v>4</v>
      </c>
      <c r="H17" s="659" t="s">
        <v>30</v>
      </c>
      <c r="I17" s="661" t="s">
        <v>28</v>
      </c>
      <c r="J17" s="284"/>
      <c r="L17" s="658" t="s">
        <v>38</v>
      </c>
      <c r="M17" s="616" t="s">
        <v>31</v>
      </c>
      <c r="N17" s="281"/>
      <c r="O17" s="286"/>
      <c r="P17" s="640" t="s">
        <v>136</v>
      </c>
      <c r="Q17" s="641"/>
      <c r="R17" s="642"/>
      <c r="S17" s="638" t="s">
        <v>115</v>
      </c>
      <c r="T17" s="638"/>
      <c r="U17" s="638"/>
      <c r="V17" s="638"/>
      <c r="W17" s="640" t="s">
        <v>64</v>
      </c>
      <c r="X17" s="641"/>
      <c r="Y17" s="641"/>
      <c r="Z17" s="641"/>
      <c r="AA17" s="641"/>
      <c r="AB17" s="642"/>
      <c r="AC17" s="638" t="s">
        <v>97</v>
      </c>
      <c r="AD17" s="638"/>
      <c r="AE17" s="638"/>
      <c r="AF17" s="638" t="s">
        <v>127</v>
      </c>
      <c r="AG17" s="638"/>
      <c r="AH17" s="638" t="s">
        <v>128</v>
      </c>
      <c r="AI17" s="638"/>
      <c r="AJ17" s="638" t="s">
        <v>28</v>
      </c>
      <c r="AK17" s="638" t="s">
        <v>121</v>
      </c>
      <c r="AL17" s="308"/>
      <c r="AM17" s="639" t="s">
        <v>122</v>
      </c>
      <c r="AN17" s="639"/>
      <c r="AO17" s="308"/>
      <c r="AP17" s="639" t="s">
        <v>119</v>
      </c>
      <c r="AQ17" s="639"/>
      <c r="AR17" s="308"/>
      <c r="AS17" s="639" t="s">
        <v>120</v>
      </c>
      <c r="AT17" s="639"/>
      <c r="AU17" s="308"/>
      <c r="AV17" s="639" t="s">
        <v>122</v>
      </c>
      <c r="AW17" s="639"/>
      <c r="AX17" s="308"/>
      <c r="AY17" s="639" t="s">
        <v>119</v>
      </c>
      <c r="AZ17" s="639"/>
      <c r="BA17" s="308"/>
      <c r="BB17" s="639" t="s">
        <v>120</v>
      </c>
      <c r="BC17" s="639"/>
    </row>
    <row r="18" spans="1:55" s="285" customFormat="1" ht="20.149999999999999" customHeight="1" thickBot="1">
      <c r="A18" s="645"/>
      <c r="B18" s="647"/>
      <c r="C18" s="649"/>
      <c r="D18" s="649"/>
      <c r="E18" s="649"/>
      <c r="F18" s="649"/>
      <c r="G18" s="654"/>
      <c r="H18" s="660"/>
      <c r="I18" s="662"/>
      <c r="J18" s="284"/>
      <c r="L18" s="649"/>
      <c r="M18" s="617"/>
      <c r="O18" s="281"/>
      <c r="P18" s="309" t="s">
        <v>122</v>
      </c>
      <c r="Q18" s="309" t="s">
        <v>119</v>
      </c>
      <c r="R18" s="309" t="s">
        <v>120</v>
      </c>
      <c r="S18" s="309" t="s">
        <v>122</v>
      </c>
      <c r="T18" s="309" t="s">
        <v>119</v>
      </c>
      <c r="U18" s="309" t="s">
        <v>120</v>
      </c>
      <c r="V18" s="309" t="s">
        <v>118</v>
      </c>
      <c r="W18" s="309" t="s">
        <v>63</v>
      </c>
      <c r="X18" s="309" t="s">
        <v>69</v>
      </c>
      <c r="Y18" s="309" t="s">
        <v>71</v>
      </c>
      <c r="Z18" s="309" t="s">
        <v>72</v>
      </c>
      <c r="AA18" s="309" t="s">
        <v>70</v>
      </c>
      <c r="AB18" s="309" t="s">
        <v>75</v>
      </c>
      <c r="AC18" s="309" t="s">
        <v>78</v>
      </c>
      <c r="AD18" s="309" t="s">
        <v>119</v>
      </c>
      <c r="AE18" s="309" t="s">
        <v>120</v>
      </c>
      <c r="AF18" s="309" t="s">
        <v>129</v>
      </c>
      <c r="AG18" s="309" t="s">
        <v>130</v>
      </c>
      <c r="AH18" s="309" t="s">
        <v>129</v>
      </c>
      <c r="AI18" s="309" t="s">
        <v>130</v>
      </c>
      <c r="AJ18" s="652"/>
      <c r="AK18" s="652"/>
      <c r="AL18" s="308"/>
      <c r="AM18" s="310" t="s">
        <v>67</v>
      </c>
      <c r="AN18" s="310" t="s">
        <v>68</v>
      </c>
      <c r="AO18" s="308"/>
      <c r="AP18" s="310" t="s">
        <v>67</v>
      </c>
      <c r="AQ18" s="310" t="s">
        <v>68</v>
      </c>
      <c r="AR18" s="308"/>
      <c r="AS18" s="310" t="s">
        <v>67</v>
      </c>
      <c r="AT18" s="310" t="s">
        <v>68</v>
      </c>
      <c r="AU18" s="308"/>
      <c r="AV18" s="310" t="s">
        <v>67</v>
      </c>
      <c r="AW18" s="310" t="s">
        <v>68</v>
      </c>
      <c r="AX18" s="308"/>
      <c r="AY18" s="310" t="s">
        <v>67</v>
      </c>
      <c r="AZ18" s="310" t="s">
        <v>68</v>
      </c>
      <c r="BA18" s="308"/>
      <c r="BB18" s="310" t="s">
        <v>67</v>
      </c>
      <c r="BC18" s="310" t="s">
        <v>68</v>
      </c>
    </row>
    <row r="19" spans="1:55" s="86" customFormat="1" ht="25" customHeight="1" thickTop="1">
      <c r="A19" s="502">
        <f>IF('TECH DATA ENTRY'!A36="","",'TECH DATA ENTRY'!A36)</f>
        <v>0</v>
      </c>
      <c r="B19" s="340">
        <f>IF('TECH DATA ENTRY'!B36="","",'TECH DATA ENTRY'!B36)</f>
        <v>0</v>
      </c>
      <c r="C19" s="510">
        <f>IF(B19="","",IFERROR('TECH DATA ENTRY'!F36,"NA"))</f>
        <v>-3.5000000000000001E-3</v>
      </c>
      <c r="D19" s="510" t="str">
        <f>IF('TECH DATA ENTRY'!L36="","",'TECH DATA ENTRY'!L36)</f>
        <v/>
      </c>
      <c r="E19" s="510" t="str">
        <f>IF(LEFT(P$11,3)="ROV",AK19,D19)</f>
        <v/>
      </c>
      <c r="F19" s="510">
        <f>IF(B19="","",IFERROR('TECH DATA ENTRY'!G36,"NA"))</f>
        <v>3.5000000000000001E-3</v>
      </c>
      <c r="G19" s="511" t="str">
        <f>IF(D19="","",IF(OR($P$11="ACC CAL WITHOUT GB",$P$11="DATA NO UNC"),P19,IF($P$11="ACC CAL WITH GB - Method 5",R19,Q19)))</f>
        <v/>
      </c>
      <c r="H19" s="510" t="str">
        <f>IF(OR(ISTEXT(B19)=TRUE, D19="NA",D19=""),"NA", roundsf(MAX(L19,M19),C19))</f>
        <v>NA</v>
      </c>
      <c r="I19" s="323" t="str">
        <f>IF(AJ19="NA","NA",(IF(AJ19&gt;=4,"≥ 4.0 : 1",TEXT(AJ19,"0.0")&amp;" : 1")))</f>
        <v>NA</v>
      </c>
      <c r="J19" s="298"/>
      <c r="K19" s="246"/>
      <c r="L19" s="243">
        <f>(11/1000000)*ABS(B19)+(0.4/1000)</f>
        <v>4.0000000000000002E-4</v>
      </c>
      <c r="M19" s="244" t="str">
        <f>UNC_CALCULATION!AM8</f>
        <v>NA</v>
      </c>
      <c r="N19" s="85"/>
      <c r="O19" s="58"/>
      <c r="P19" s="69" t="e">
        <f>IF(B19="","",INDEX('AUX TABLES'!$G$4:$K$8,AV19,AW19))</f>
        <v>#VALUE!</v>
      </c>
      <c r="Q19" s="150" t="e">
        <f>IF(AJ$11=FALSE,IF(B19="","",IF(AJ19="NA",P19,INDEX('AUX TABLES'!$G$4:$K$8,AY19,AZ19))),IF(P19="FAIL",P19,INDEX('AUX TABLES'!$G$4:$K$8,AY19,AZ19)))</f>
        <v>#VALUE!</v>
      </c>
      <c r="R19" s="150" t="e">
        <f>IF(AJ$11=FALSE,IF(B19="","",IF(AJ19="NA",P19,INDEX('AUX TABLES'!$G$4:$K$8,BB19,BC19))),IF(P19="FAIL",P19,INDEX('AUX TABLES'!$G$4:$K$8,BB19,BC19)))</f>
        <v>#VALUE!</v>
      </c>
      <c r="S19" s="69" t="e">
        <f>INDEX('AUX TABLES'!$G$4:$K$8,AM19,AN19)</f>
        <v>#VALUE!</v>
      </c>
      <c r="T19" s="69" t="e">
        <f>IF(AJ$11=FALSE,IF(AJ19="NA",S19,INDEX('AUX TABLES'!$G$4:$K$8,AP19,AQ19)),IF(S19="FAIL",S19,INDEX('AUX TABLES'!$G$4:$K$8,AP19,AQ19)))</f>
        <v>#VALUE!</v>
      </c>
      <c r="U19" s="150" t="e">
        <f>IF(AJ$11=FALSE,IF(AJ19="NA",S19,INDEX('AUX TABLES'!$G$4:$K$8,AS19,AT19)),IF(S19="FAIL",S19,INDEX('AUX TABLES'!$G$4:$K$8,AS19,AT19)))</f>
        <v>#VALUE!</v>
      </c>
      <c r="V19" s="150" t="str">
        <f>IF(D19="","",IF(OR($P$11="ACC CAL WITHOUT GB",$P$11="DATA NO UNC"),S19,IF($P$11="ACC CAL WITH GB - Method 5",U19,T19)))</f>
        <v/>
      </c>
      <c r="W19" s="74">
        <f>F19</f>
        <v>3.5000000000000001E-3</v>
      </c>
      <c r="X19" s="74" t="str">
        <f>IFERROR(W19-AD19,"NA")</f>
        <v>NA</v>
      </c>
      <c r="Y19" s="74" t="str">
        <f>IFERROR(W19-AE19,"NA")</f>
        <v>NA</v>
      </c>
      <c r="Z19" s="74" t="str">
        <f>IFERROR(AB19+AE19,"NA")</f>
        <v>NA</v>
      </c>
      <c r="AA19" s="74" t="str">
        <f>IFERROR(AB19+AD19,"NA")</f>
        <v>NA</v>
      </c>
      <c r="AB19" s="74">
        <f>C19</f>
        <v>-3.5000000000000001E-3</v>
      </c>
      <c r="AC19" s="69" t="str">
        <f>IF(ISTEXT('TECH DATA ENTRY'!L36)=TRUE,"NA",'TECH DATA ENTRY'!H36)</f>
        <v>NA</v>
      </c>
      <c r="AD19" s="69" t="str">
        <f>IF(AJ19="NA","NA",IF(AJ19&lt;0,0,ABS(MAX(M19,L19)*(1.04-EXP(0.38*LN((W19-AB19)/(2*MAX(M19,L19)))-0.54)))))</f>
        <v>NA</v>
      </c>
      <c r="AE19" s="69" t="str">
        <f>IF(ISTEXT(D19)=TRUE,"NA",MAX(L19,M19))</f>
        <v>NA</v>
      </c>
      <c r="AF19" s="69" t="e">
        <f>D19-MAX(L19:M19)</f>
        <v>#VALUE!</v>
      </c>
      <c r="AG19" s="69" t="e">
        <f>D19+MAX(L19:M19)</f>
        <v>#VALUE!</v>
      </c>
      <c r="AH19" s="69" t="e">
        <f>E19-MAX(L19:M19)</f>
        <v>#VALUE!</v>
      </c>
      <c r="AI19" s="69" t="e">
        <f>E19+MAX(L19:M19)</f>
        <v>#VALUE!</v>
      </c>
      <c r="AJ19" s="70" t="str">
        <f>IF(OR(ISTEXT('TECH DATA ENTRY'!L36)=TRUE,ISTEXT('TECH DATA ENTRY'!F36)=TRUE,ISTEXT('TECH DATA ENTRY'!G36)=TRUE),"NA",(W19-AB19)/(2*MAX(M19,L19)))</f>
        <v>NA</v>
      </c>
      <c r="AK19" s="69" t="str">
        <f>IF(ISTEXT(D19)=TRUE,"NA",B19-D19)</f>
        <v>NA</v>
      </c>
      <c r="AM19" s="73" t="e">
        <f>IF(LEFT(P$11,3)="ROV",1,IF(D19="NA",5,IF(ISTEXT(B19)=TRUE,IF(D19=B19,1,4),IF(ISTEXT(F19)=TRUE,5,IF(D19+MAX(L19:M19)*AK$9&lt;=W19,1,IF(AND(OR(D19=B19,D19&lt;=W19),D19+MAX(L19:M19)*AK$9&gt;W19),2,IF(D19-MAX(L19:M19)*AK$9&gt;W19,4,3)))))))</f>
        <v>#VALUE!</v>
      </c>
      <c r="AN19" s="73" t="e">
        <f>IF(LEFT(P$11,3)="ROV",1,IF(D19="NA",5,IF(ISTEXT(B19)=TRUE,IF(D19=B19,1,4),IF(ISTEXT(C19)=TRUE,5,IF($D19-MAX(L19:M19)*AK$9&gt;=AB19,1,IF(AND(OR(D19=B19,D19&gt;=AB19),D19-MAX(L19:M19)*AK$9&lt;AB19),2,IF($D19+MAX(L19:M19)*AK$9&lt;AB19,4,3)))))))</f>
        <v>#VALUE!</v>
      </c>
      <c r="AO19" s="87"/>
      <c r="AP19" s="73" t="e">
        <f>IF(LEFT(P$11,3)="ROV",1,IF(D19="NA",5,IF(ISTEXT(B19)=TRUE,IF(D19=B19,1,4),IF(ISTEXT(F19)=TRUE,5,IF((AF19&gt;=W19),4,IF(AND(D19&lt;X19,AG19&gt;=W19),2,IF(AND(D19&gt;=X19,AF19&lt;W19),3,1)))))))</f>
        <v>#VALUE!</v>
      </c>
      <c r="AQ19" s="73" t="e">
        <f>IF(LEFT(P$11,3)="ROV",1,IF(D19="NA",5,IF(ISTEXT(B19)=TRUE,IF(D19=B19,1,4),IF(ISTEXT(C19)=TRUE,5,IF((AG19&lt;=AB19),4,IF(AND(D19&gt;AA19,AF19&lt;=AB19),2,IF(AND(D19&lt;=AA19,AG19&gt;AB19),3,1)))))))</f>
        <v>#VALUE!</v>
      </c>
      <c r="AR19" s="87"/>
      <c r="AS19" s="73" t="e">
        <f>IF(LEFT(P$11,3)="ROV",1,IF(D19="NA",5,IF(ISTEXT(B19)=TRUE,IF(D19=B19,1,4),IF(ISTEXT(F19)=TRUE,5,IF(AF19&gt;=W19,4,IF(AND(D19&gt;=Y19,AF19&lt;W19),3,1))))))</f>
        <v>#VALUE!</v>
      </c>
      <c r="AT19" s="73" t="e">
        <f>IF(LEFT(P$11,3)="ROV",1,IF(D19="NA",5,IF(ISTEXT(B19)=TRUE,IF(D19=B19,1,4),IF(ISTEXT(C19)=TRUE,5,IF(AG19&lt;=AB19,4,IF(AND(D19&lt;=Z19,AG19&gt;AB19),3,1))))))</f>
        <v>#VALUE!</v>
      </c>
      <c r="AV19" s="73" t="e">
        <f>IF(LEFT(P$11,3)="ROV",1,IF(D19="NA",5,IF(ISTEXT(B19)=TRUE,IF(D19=B19,1,4),IF(ISTEXT(F19)=TRUE,5,IF(E19+MAX(L19:M19)*AK$9&lt;=W19,1,IF(AND(OR(E19=B19,E19&lt;=W19),E19+MAX(L19:M19)*AK$9&gt;W19),2,IF(E19-MAX(L19:M19)*AK$9&gt;W19,4,3)))))))</f>
        <v>#VALUE!</v>
      </c>
      <c r="AW19" s="73" t="e">
        <f>IF(LEFT(P$11,3)="ROV",1,IF(D19="NA",5,IF(ISTEXT(B19)=TRUE,IF(D19=B19,1,4),IF(ISTEXT(C19)=TRUE,5,IF($E19-MAX(L19:M19)*AK$9&gt;=AB19,1,IF(AND(OR(E19=B19,E19&gt;=AB19),E19-MAX(L19:M19)*AK$9&lt;AB19),2,IF($E19+MAX(L19:M19)*AK$9&lt;AB19,4,3)))))))</f>
        <v>#VALUE!</v>
      </c>
      <c r="AX19" s="87"/>
      <c r="AY19" s="73" t="e">
        <f>IF(LEFT(P$11,3)="ROV",1,IF(D19="NA",5,IF(ISTEXT(B19)=TRUE,IF(D19=B19,1,4),IF(ISTEXT(F19)=TRUE,5,IF((AH19&gt;=W19),4,IF(AND(E19&lt;X19,AI19&gt;=W19),2,IF(AND(E19&gt;=X19,AH19&lt;W19),3,1)))))))</f>
        <v>#VALUE!</v>
      </c>
      <c r="AZ19" s="73" t="e">
        <f>IF(LEFT(P$11,3)="ROV",1,IF(D19="NA",5,IF(ISTEXT(B19)=TRUE,IF(D19=B19,1,4),IF(ISTEXT(C19)=TRUE,5,IF((AI19&lt;=AB19),4,IF(AND(E19&gt;AA19,AH19&lt;=AB19),2,IF(AND(E19&lt;=AA19,AI19&gt;AB19),3,1)))))))</f>
        <v>#VALUE!</v>
      </c>
      <c r="BA19" s="87"/>
      <c r="BB19" s="73" t="e">
        <f>IF(LEFT(P$11,3)="ROV",1,IF(D19="NA",5,IF(ISTEXT(B19)=TRUE,IF(D19=B19,1,4),IF(ISTEXT(F19)=TRUE,5,IF(AH19&gt;=W19,4,IF(AND(E19&gt;=Y19,AH19&lt;W19),3,1))))))</f>
        <v>#VALUE!</v>
      </c>
      <c r="BC19" s="73" t="e">
        <f>IF(LEFT(P$11,3)="ROV",1,IF(D19="NA",5,IF(ISTEXT(B19)=TRUE,IF(D19=B19,1,4),IF(ISTEXT(C19)=TRUE,5,IF(AI19&lt;=AB19,4,IF(AND(E19&lt;=Z19,AI19&gt;AB19),3,1))))))</f>
        <v>#VALUE!</v>
      </c>
    </row>
    <row r="20" spans="1:55" s="86" customFormat="1" ht="25" customHeight="1">
      <c r="A20" s="502">
        <f>IF('TECH DATA ENTRY'!A37="","",'TECH DATA ENTRY'!A37)</f>
        <v>100</v>
      </c>
      <c r="B20" s="340">
        <f>IF('TECH DATA ENTRY'!B37="","",'TECH DATA ENTRY'!B37)</f>
        <v>100</v>
      </c>
      <c r="C20" s="340">
        <f>IF(B20="","",IFERROR('TECH DATA ENTRY'!F37,"NA"))</f>
        <v>99.992800000000003</v>
      </c>
      <c r="D20" s="340" t="str">
        <f>IF('TECH DATA ENTRY'!L37="","",'TECH DATA ENTRY'!L37)</f>
        <v/>
      </c>
      <c r="E20" s="340" t="str">
        <f t="shared" ref="E20:E83" si="0">IF(LEFT(P$11,3)="ROV",AK20,D20)</f>
        <v/>
      </c>
      <c r="F20" s="340">
        <f>IF(B20="","",IFERROR('TECH DATA ENTRY'!G37,"NA"))</f>
        <v>100.0072</v>
      </c>
      <c r="G20" s="512" t="str">
        <f t="shared" ref="G20:G83" si="1">IF(D20="","",IF(OR($P$11="ACC CAL WITHOUT GB",$P$11="DATA NO UNC"),P20,IF($P$11="ACC CAL WITH GB - Method 5",R20,Q20)))</f>
        <v/>
      </c>
      <c r="H20" s="340" t="str">
        <f>IF(OR(ISTEXT(B20)=TRUE, D20="NA",D20=""),"NA", roundsf(MAX(L20,M20),C20))</f>
        <v>NA</v>
      </c>
      <c r="I20" s="324" t="str">
        <f t="shared" ref="I20:I83" si="2">IF(AJ20="NA","NA",(IF(AJ20&gt;=4,"≥ 4.0 : 1",TEXT(AJ20,"0.0")&amp;" : 1")))</f>
        <v>NA</v>
      </c>
      <c r="J20" s="299"/>
      <c r="K20" s="245"/>
      <c r="L20" s="243">
        <f t="shared" ref="L20:L21" si="3">(11/1000000)*ABS(B20)+(0.4/1000)</f>
        <v>1.5E-3</v>
      </c>
      <c r="M20" s="244" t="str">
        <f>UNC_CALCULATION!AM9</f>
        <v>NA</v>
      </c>
      <c r="N20" s="85"/>
      <c r="O20" s="58"/>
      <c r="P20" s="69" t="e">
        <f>IF(B20="","",INDEX('AUX TABLES'!$G$4:$K$8,AV20,AW20))</f>
        <v>#VALUE!</v>
      </c>
      <c r="Q20" s="150" t="e">
        <f>IF(AJ$11=FALSE,IF(B20="","",IF(AJ20="NA",P20,INDEX('AUX TABLES'!$G$4:$K$8,AY20,AZ20))),IF(P20="FAIL",P20,INDEX('AUX TABLES'!$G$4:$K$8,AY20,AZ20)))</f>
        <v>#VALUE!</v>
      </c>
      <c r="R20" s="150" t="e">
        <f>IF(AJ$11=FALSE,IF(B20="","",IF(AJ20="NA",P20,INDEX('AUX TABLES'!$G$4:$K$8,BB20,BC20))),IF(P20="FAIL",P20,INDEX('AUX TABLES'!$G$4:$K$8,BB20,BC20)))</f>
        <v>#VALUE!</v>
      </c>
      <c r="S20" s="69" t="e">
        <f>INDEX('AUX TABLES'!$G$4:$K$8,AM20,AN20)</f>
        <v>#VALUE!</v>
      </c>
      <c r="T20" s="69" t="e">
        <f>IF(AJ$11=FALSE,IF(AJ20="NA",S20,INDEX('AUX TABLES'!$G$4:$K$8,AP20,AQ20)),IF(S20="FAIL",S20,INDEX('AUX TABLES'!$G$4:$K$8,AP20,AQ20)))</f>
        <v>#VALUE!</v>
      </c>
      <c r="U20" s="150" t="e">
        <f>IF(AJ$11=FALSE,IF(AJ20="NA",S20,INDEX('AUX TABLES'!$G$4:$K$8,AS20,AT20)),IF(S20="FAIL",S20,INDEX('AUX TABLES'!$G$4:$K$8,AS20,AT20)))</f>
        <v>#VALUE!</v>
      </c>
      <c r="V20" s="150" t="str">
        <f t="shared" ref="V20:V83" si="4">IF(D20="","",IF(OR($P$11="ACC CAL WITHOUT GB",$P$11="DATA NO UNC"),S20,IF($P$11="ACC CAL WITH GB - Method 5",U20,T20)))</f>
        <v/>
      </c>
      <c r="W20" s="74">
        <f t="shared" ref="W20:W83" si="5">F20</f>
        <v>100.0072</v>
      </c>
      <c r="X20" s="74" t="str">
        <f t="shared" ref="X20:X83" si="6">IFERROR(W20-AD20,"NA")</f>
        <v>NA</v>
      </c>
      <c r="Y20" s="74" t="str">
        <f t="shared" ref="Y20:Y83" si="7">IFERROR(W20-AE20,"NA")</f>
        <v>NA</v>
      </c>
      <c r="Z20" s="74" t="str">
        <f t="shared" ref="Z20:Z83" si="8">IFERROR(AB20+AE20,"NA")</f>
        <v>NA</v>
      </c>
      <c r="AA20" s="74" t="str">
        <f t="shared" ref="AA20:AA83" si="9">IFERROR(AB20+AD20,"NA")</f>
        <v>NA</v>
      </c>
      <c r="AB20" s="74">
        <f t="shared" ref="AB20:AB83" si="10">C20</f>
        <v>99.992800000000003</v>
      </c>
      <c r="AC20" s="69" t="str">
        <f>IF(ISTEXT('TECH DATA ENTRY'!L37)=TRUE,"NA",'TECH DATA ENTRY'!H37)</f>
        <v>NA</v>
      </c>
      <c r="AD20" s="69" t="str">
        <f t="shared" ref="AD20:AD83" si="11">IF(AJ20="NA","NA",IF(AJ20&lt;0,0,ABS(MAX(M20,L20)*(1.04-EXP(0.38*LN((W20-AB20)/(2*MAX(M20,L20)))-0.54)))))</f>
        <v>NA</v>
      </c>
      <c r="AE20" s="69" t="str">
        <f t="shared" ref="AE20:AE83" si="12">IF(ISTEXT(D20)=TRUE,"NA",MAX(L20,M20))</f>
        <v>NA</v>
      </c>
      <c r="AF20" s="69" t="e">
        <f t="shared" ref="AF20:AF83" si="13">D20-MAX(L20:M20)</f>
        <v>#VALUE!</v>
      </c>
      <c r="AG20" s="69" t="e">
        <f t="shared" ref="AG20:AG83" si="14">D20+MAX(L20:M20)</f>
        <v>#VALUE!</v>
      </c>
      <c r="AH20" s="69" t="e">
        <f t="shared" ref="AH20:AH83" si="15">E20-MAX(L20:M20)</f>
        <v>#VALUE!</v>
      </c>
      <c r="AI20" s="69" t="e">
        <f t="shared" ref="AI20:AI83" si="16">E20+MAX(L20:M20)</f>
        <v>#VALUE!</v>
      </c>
      <c r="AJ20" s="70" t="str">
        <f>IF(OR(ISTEXT('TECH DATA ENTRY'!L37)=TRUE,ISTEXT('TECH DATA ENTRY'!F37)=TRUE,ISTEXT('TECH DATA ENTRY'!G37)=TRUE),"NA",(W20-AB20)/(2*MAX(M20,L20)))</f>
        <v>NA</v>
      </c>
      <c r="AK20" s="69" t="str">
        <f t="shared" ref="AK20:AK83" si="17">IF(ISTEXT(D20)=TRUE,"NA",B20-D20)</f>
        <v>NA</v>
      </c>
      <c r="AM20" s="73" t="e">
        <f t="shared" ref="AM20:AM83" si="18">IF(LEFT(P$11,3)="ROV",1,IF(D20="NA",5,IF(ISTEXT(B20)=TRUE,IF(D20=B20,1,4),IF(ISTEXT(F20)=TRUE,5,IF(D20+MAX(L20:M20)*AK$9&lt;=W20,1,IF(AND(OR(D20=B20,D20&lt;=W20),D20+MAX(L20:M20)*AK$9&gt;W20),2,IF(D20-MAX(L20:M20)*AK$9&gt;W20,4,3)))))))</f>
        <v>#VALUE!</v>
      </c>
      <c r="AN20" s="73" t="e">
        <f t="shared" ref="AN20:AN83" si="19">IF(LEFT(P$11,3)="ROV",1,IF(D20="NA",5,IF(ISTEXT(B20)=TRUE,IF(D20=B20,1,4),IF(ISTEXT(C20)=TRUE,5,IF($D20-MAX(L20:M20)*AK$9&gt;=AB20,1,IF(AND(OR(D20=B20,D20&gt;=AB20),D20-MAX(L20:M20)*AK$9&lt;AB20),2,IF($D20+MAX(L20:M20)*AK$9&lt;AB20,4,3)))))))</f>
        <v>#VALUE!</v>
      </c>
      <c r="AO20" s="87"/>
      <c r="AP20" s="73" t="e">
        <f t="shared" ref="AP20:AP83" si="20">IF(LEFT(P$11,3)="ROV",1,IF(D20="NA",5,IF(ISTEXT(B20)=TRUE,IF(D20=B20,1,4),IF(ISTEXT(F20)=TRUE,5,IF((AF20&gt;=W20),4,IF(AND(D20&lt;X20,AG20&gt;=W20),2,IF(AND(D20&gt;=X20,AF20&lt;W20),3,1)))))))</f>
        <v>#VALUE!</v>
      </c>
      <c r="AQ20" s="73" t="e">
        <f t="shared" ref="AQ20:AQ83" si="21">IF(LEFT(P$11,3)="ROV",1,IF(D20="NA",5,IF(ISTEXT(B20)=TRUE,IF(D20=B20,1,4),IF(ISTEXT(C20)=TRUE,5,IF((AG20&lt;=AB20),4,IF(AND(D20&gt;AA20,AF20&lt;=AB20),2,IF(AND(D20&lt;=AA20,AG20&gt;AB20),3,1)))))))</f>
        <v>#VALUE!</v>
      </c>
      <c r="AR20" s="87"/>
      <c r="AS20" s="73" t="e">
        <f t="shared" ref="AS20:AS83" si="22">IF(LEFT(P$11,3)="ROV",1,IF(D20="NA",5,IF(ISTEXT(B20)=TRUE,IF(D20=B20,1,4),IF(ISTEXT(F20)=TRUE,5,IF(AF20&gt;=W20,4,IF(AND(D20&gt;=Y20,AF20&lt;W20),3,1))))))</f>
        <v>#VALUE!</v>
      </c>
      <c r="AT20" s="73" t="e">
        <f t="shared" ref="AT20:AT83" si="23">IF(LEFT(P$11,3)="ROV",1,IF(D20="NA",5,IF(ISTEXT(B20)=TRUE,IF(D20=B20,1,4),IF(ISTEXT(C20)=TRUE,5,IF(AG20&lt;=AB20,4,IF(AND(D20&lt;=Z20,AG20&gt;AB20),3,1))))))</f>
        <v>#VALUE!</v>
      </c>
      <c r="AV20" s="73" t="e">
        <f t="shared" ref="AV20:AV83" si="24">IF(LEFT(P$11,3)="ROV",1,IF(D20="NA",5,IF(ISTEXT(B20)=TRUE,IF(D20=B20,1,4),IF(ISTEXT(F20)=TRUE,5,IF(E20+MAX(L20:M20)*AK$9&lt;=W20,1,IF(AND(OR(E20=B20,E20&lt;=W20),E20+MAX(L20:M20)*AK$9&gt;W20),2,IF(E20-MAX(L20:M20)*AK$9&gt;W20,4,3)))))))</f>
        <v>#VALUE!</v>
      </c>
      <c r="AW20" s="73" t="e">
        <f t="shared" ref="AW20:AW83" si="25">IF(LEFT(P$11,3)="ROV",1,IF(D20="NA",5,IF(ISTEXT(B20)=TRUE,IF(D20=B20,1,4),IF(ISTEXT(C20)=TRUE,5,IF($E20-MAX(L20:M20)*AK$9&gt;=AB20,1,IF(AND(OR(E20=B20,E20&gt;=AB20),E20-MAX(L20:M20)*AK$9&lt;AB20),2,IF($E20+MAX(L20:M20)*AK$9&lt;AB20,4,3)))))))</f>
        <v>#VALUE!</v>
      </c>
      <c r="AX20" s="87"/>
      <c r="AY20" s="73" t="e">
        <f t="shared" ref="AY20:AY83" si="26">IF(LEFT(P$11,3)="ROV",1,IF(D20="NA",5,IF(ISTEXT(B20)=TRUE,IF(D20=B20,1,4),IF(ISTEXT(F20)=TRUE,5,IF((AH20&gt;=W20),4,IF(AND(E20&lt;X20,AI20&gt;=W20),2,IF(AND(E20&gt;=X20,AH20&lt;W20),3,1)))))))</f>
        <v>#VALUE!</v>
      </c>
      <c r="AZ20" s="73" t="e">
        <f t="shared" ref="AZ20:AZ83" si="27">IF(LEFT(P$11,3)="ROV",1,IF(D20="NA",5,IF(ISTEXT(B20)=TRUE,IF(D20=B20,1,4),IF(ISTEXT(C20)=TRUE,5,IF((AI20&lt;=AB20),4,IF(AND(E20&gt;AA20,AH20&lt;=AB20),2,IF(AND(E20&lt;=AA20,AI20&gt;AB20),3,1)))))))</f>
        <v>#VALUE!</v>
      </c>
      <c r="BA20" s="87"/>
      <c r="BB20" s="73" t="e">
        <f t="shared" ref="BB20:BB83" si="28">IF(LEFT(P$11,3)="ROV",1,IF(D20="NA",5,IF(ISTEXT(B20)=TRUE,IF(D20=B20,1,4),IF(ISTEXT(F20)=TRUE,5,IF(AH20&gt;=W20,4,IF(AND(E20&gt;=Y20,AH20&lt;W20),3,1))))))</f>
        <v>#VALUE!</v>
      </c>
      <c r="BC20" s="73" t="e">
        <f t="shared" ref="BC20:BC83" si="29">IF(LEFT(P$11,3)="ROV",1,IF(D20="NA",5,IF(ISTEXT(B20)=TRUE,IF(D20=B20,1,4),IF(ISTEXT(C20)=TRUE,5,IF(AI20&lt;=AB20,4,IF(AND(E20&lt;=Z20,AI20&gt;AB20),3,1))))))</f>
        <v>#VALUE!</v>
      </c>
    </row>
    <row r="21" spans="1:55" s="86" customFormat="1" ht="25" customHeight="1" thickBot="1">
      <c r="A21" s="503">
        <f>IF('TECH DATA ENTRY'!A38="","",'TECH DATA ENTRY'!A38)</f>
        <v>-100</v>
      </c>
      <c r="B21" s="504">
        <f>IF('TECH DATA ENTRY'!B38="","",'TECH DATA ENTRY'!B38)</f>
        <v>-100</v>
      </c>
      <c r="C21" s="504">
        <f>IF(B21="","",IFERROR('TECH DATA ENTRY'!F38,"NA"))</f>
        <v>-100.0072</v>
      </c>
      <c r="D21" s="504" t="str">
        <f>IF('TECH DATA ENTRY'!L38="","",'TECH DATA ENTRY'!L38)</f>
        <v/>
      </c>
      <c r="E21" s="504" t="str">
        <f t="shared" si="0"/>
        <v/>
      </c>
      <c r="F21" s="504">
        <f>IF(B21="","",IFERROR('TECH DATA ENTRY'!G38,"NA"))</f>
        <v>-99.992800000000003</v>
      </c>
      <c r="G21" s="513" t="str">
        <f t="shared" si="1"/>
        <v/>
      </c>
      <c r="H21" s="504" t="str">
        <f>IF(OR(ISTEXT(B21)=TRUE, D21="NA",D21=""),"NA", roundsf(MAX(L21,M21),C21))</f>
        <v>NA</v>
      </c>
      <c r="I21" s="505" t="str">
        <f t="shared" si="2"/>
        <v>NA</v>
      </c>
      <c r="J21" s="299"/>
      <c r="K21" s="245"/>
      <c r="L21" s="243">
        <f t="shared" si="3"/>
        <v>1.5E-3</v>
      </c>
      <c r="M21" s="244" t="str">
        <f>UNC_CALCULATION!AM10</f>
        <v>NA</v>
      </c>
      <c r="N21" s="85"/>
      <c r="O21" s="58"/>
      <c r="P21" s="69" t="e">
        <f>IF(B21="","",INDEX('AUX TABLES'!$G$4:$K$8,AV21,AW21))</f>
        <v>#VALUE!</v>
      </c>
      <c r="Q21" s="150" t="e">
        <f>IF(AJ$11=FALSE,IF(B21="","",IF(AJ21="NA",P21,INDEX('AUX TABLES'!$G$4:$K$8,AY21,AZ21))),IF(P21="FAIL",P21,INDEX('AUX TABLES'!$G$4:$K$8,AY21,AZ21)))</f>
        <v>#VALUE!</v>
      </c>
      <c r="R21" s="150" t="e">
        <f>IF(AJ$11=FALSE,IF(B21="","",IF(AJ21="NA",P21,INDEX('AUX TABLES'!$G$4:$K$8,BB21,BC21))),IF(P21="FAIL",P21,INDEX('AUX TABLES'!$G$4:$K$8,BB21,BC21)))</f>
        <v>#VALUE!</v>
      </c>
      <c r="S21" s="69" t="e">
        <f>INDEX('AUX TABLES'!$G$4:$K$8,AM21,AN21)</f>
        <v>#VALUE!</v>
      </c>
      <c r="T21" s="69" t="e">
        <f>IF(AJ$11=FALSE,IF(AJ21="NA",S21,INDEX('AUX TABLES'!$G$4:$K$8,AP21,AQ21)),IF(S21="FAIL",S21,INDEX('AUX TABLES'!$G$4:$K$8,AP21,AQ21)))</f>
        <v>#VALUE!</v>
      </c>
      <c r="U21" s="150" t="e">
        <f>IF(AJ$11=FALSE,IF(AJ21="NA",S21,INDEX('AUX TABLES'!$G$4:$K$8,AS21,AT21)),IF(S21="FAIL",S21,INDEX('AUX TABLES'!$G$4:$K$8,AS21,AT21)))</f>
        <v>#VALUE!</v>
      </c>
      <c r="V21" s="150" t="str">
        <f t="shared" si="4"/>
        <v/>
      </c>
      <c r="W21" s="74">
        <f t="shared" si="5"/>
        <v>-99.992800000000003</v>
      </c>
      <c r="X21" s="74" t="str">
        <f t="shared" si="6"/>
        <v>NA</v>
      </c>
      <c r="Y21" s="74" t="str">
        <f t="shared" si="7"/>
        <v>NA</v>
      </c>
      <c r="Z21" s="74" t="str">
        <f t="shared" si="8"/>
        <v>NA</v>
      </c>
      <c r="AA21" s="74" t="str">
        <f t="shared" si="9"/>
        <v>NA</v>
      </c>
      <c r="AB21" s="74">
        <f t="shared" si="10"/>
        <v>-100.0072</v>
      </c>
      <c r="AC21" s="69" t="str">
        <f>IF(ISTEXT('TECH DATA ENTRY'!L38)=TRUE,"NA",'TECH DATA ENTRY'!H38)</f>
        <v>NA</v>
      </c>
      <c r="AD21" s="69" t="str">
        <f t="shared" si="11"/>
        <v>NA</v>
      </c>
      <c r="AE21" s="69" t="str">
        <f t="shared" si="12"/>
        <v>NA</v>
      </c>
      <c r="AF21" s="69" t="e">
        <f t="shared" si="13"/>
        <v>#VALUE!</v>
      </c>
      <c r="AG21" s="69" t="e">
        <f t="shared" si="14"/>
        <v>#VALUE!</v>
      </c>
      <c r="AH21" s="69" t="e">
        <f t="shared" si="15"/>
        <v>#VALUE!</v>
      </c>
      <c r="AI21" s="69" t="e">
        <f t="shared" si="16"/>
        <v>#VALUE!</v>
      </c>
      <c r="AJ21" s="70" t="str">
        <f>IF(OR(ISTEXT('TECH DATA ENTRY'!L38)=TRUE,ISTEXT('TECH DATA ENTRY'!F38)=TRUE,ISTEXT('TECH DATA ENTRY'!G38)=TRUE),"NA",(W21-AB21)/(2*MAX(M21,L21)))</f>
        <v>NA</v>
      </c>
      <c r="AK21" s="69" t="str">
        <f t="shared" si="17"/>
        <v>NA</v>
      </c>
      <c r="AM21" s="73" t="e">
        <f t="shared" si="18"/>
        <v>#VALUE!</v>
      </c>
      <c r="AN21" s="73" t="e">
        <f t="shared" si="19"/>
        <v>#VALUE!</v>
      </c>
      <c r="AO21" s="87"/>
      <c r="AP21" s="73" t="e">
        <f t="shared" si="20"/>
        <v>#VALUE!</v>
      </c>
      <c r="AQ21" s="73" t="e">
        <f t="shared" si="21"/>
        <v>#VALUE!</v>
      </c>
      <c r="AR21" s="87"/>
      <c r="AS21" s="73" t="e">
        <f t="shared" si="22"/>
        <v>#VALUE!</v>
      </c>
      <c r="AT21" s="73" t="e">
        <f t="shared" si="23"/>
        <v>#VALUE!</v>
      </c>
      <c r="AV21" s="73" t="e">
        <f t="shared" si="24"/>
        <v>#VALUE!</v>
      </c>
      <c r="AW21" s="73" t="e">
        <f t="shared" si="25"/>
        <v>#VALUE!</v>
      </c>
      <c r="AX21" s="87"/>
      <c r="AY21" s="73" t="e">
        <f t="shared" si="26"/>
        <v>#VALUE!</v>
      </c>
      <c r="AZ21" s="73" t="e">
        <f t="shared" si="27"/>
        <v>#VALUE!</v>
      </c>
      <c r="BA21" s="87"/>
      <c r="BB21" s="73" t="e">
        <f t="shared" si="28"/>
        <v>#VALUE!</v>
      </c>
      <c r="BC21" s="73" t="e">
        <f t="shared" si="29"/>
        <v>#VALUE!</v>
      </c>
    </row>
    <row r="22" spans="1:55" s="296" customFormat="1" ht="28.15" customHeight="1">
      <c r="A22" s="550" t="str">
        <f>IF('TECH DATA ENTRY'!A39="","",'TECH DATA ENTRY'!A39)</f>
        <v/>
      </c>
      <c r="B22" s="551"/>
      <c r="C22" s="552"/>
      <c r="D22" s="551"/>
      <c r="E22" s="551"/>
      <c r="F22" s="551"/>
      <c r="G22" s="552"/>
      <c r="H22" s="551"/>
      <c r="I22" s="553"/>
      <c r="J22" s="224"/>
      <c r="K22" s="224"/>
      <c r="L22" s="224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AK22" s="297"/>
    </row>
    <row r="23" spans="1:55" s="31" customFormat="1" ht="22.15" customHeight="1">
      <c r="A23" s="76" t="str">
        <f>IF('TECH DATA ENTRY'!A40="","",'TECH DATA ENTRY'!A40)</f>
        <v>Range: 1 V</v>
      </c>
      <c r="H23" s="321"/>
      <c r="O23" s="77"/>
      <c r="AK23" s="1"/>
      <c r="AM23" s="637" t="s">
        <v>116</v>
      </c>
      <c r="AN23" s="637"/>
      <c r="AO23" s="637"/>
      <c r="AP23" s="637"/>
      <c r="AQ23" s="637"/>
      <c r="AR23" s="637"/>
      <c r="AS23" s="637"/>
      <c r="AT23" s="637"/>
      <c r="AV23" s="637" t="s">
        <v>117</v>
      </c>
      <c r="AW23" s="637"/>
      <c r="AX23" s="637"/>
      <c r="AY23" s="637"/>
      <c r="AZ23" s="637"/>
      <c r="BA23" s="637"/>
      <c r="BB23" s="637"/>
      <c r="BC23" s="637"/>
    </row>
    <row r="24" spans="1:55" s="225" customFormat="1" ht="4.9000000000000004" customHeight="1" thickBot="1">
      <c r="A24" s="288" t="str">
        <f>IF('TECH DATA ENTRY'!A41="","",'TECH DATA ENTRY'!A41)</f>
        <v/>
      </c>
      <c r="K24" s="239"/>
      <c r="L24" s="239"/>
      <c r="AK24" s="240"/>
    </row>
    <row r="25" spans="1:55" s="285" customFormat="1" ht="20.149999999999999" customHeight="1">
      <c r="A25" s="644" t="str">
        <f>IF('TECH DATA ENTRY'!A42="","",'TECH DATA ENTRY'!A42)</f>
        <v>Applied</v>
      </c>
      <c r="B25" s="646" t="str">
        <f>IF('TECH DATA ENTRY'!B42="","",'TECH DATA ENTRY'!B42)</f>
        <v>Nominal</v>
      </c>
      <c r="C25" s="648" t="s">
        <v>2</v>
      </c>
      <c r="D25" s="648" t="str">
        <f>IF(LEFT(P$11,3)="ROV", "Measured Value", "As Found")</f>
        <v>As Found</v>
      </c>
      <c r="E25" s="648" t="str">
        <f>IF(LEFT(P$11,3)="ROV", "Correction", "As Left")</f>
        <v>As Left</v>
      </c>
      <c r="F25" s="648" t="s">
        <v>3</v>
      </c>
      <c r="G25" s="653" t="s">
        <v>4</v>
      </c>
      <c r="H25" s="659" t="s">
        <v>30</v>
      </c>
      <c r="I25" s="661" t="s">
        <v>28</v>
      </c>
      <c r="J25" s="284"/>
      <c r="L25" s="658" t="s">
        <v>38</v>
      </c>
      <c r="M25" s="616" t="s">
        <v>31</v>
      </c>
      <c r="N25" s="281"/>
      <c r="O25" s="286"/>
      <c r="P25" s="640" t="s">
        <v>136</v>
      </c>
      <c r="Q25" s="641"/>
      <c r="R25" s="642"/>
      <c r="S25" s="638" t="s">
        <v>115</v>
      </c>
      <c r="T25" s="638"/>
      <c r="U25" s="638"/>
      <c r="V25" s="638"/>
      <c r="W25" s="640" t="s">
        <v>64</v>
      </c>
      <c r="X25" s="641"/>
      <c r="Y25" s="641"/>
      <c r="Z25" s="641"/>
      <c r="AA25" s="641"/>
      <c r="AB25" s="642"/>
      <c r="AC25" s="638" t="s">
        <v>97</v>
      </c>
      <c r="AD25" s="638"/>
      <c r="AE25" s="638"/>
      <c r="AF25" s="638" t="s">
        <v>127</v>
      </c>
      <c r="AG25" s="638"/>
      <c r="AH25" s="638" t="s">
        <v>128</v>
      </c>
      <c r="AI25" s="638"/>
      <c r="AJ25" s="638" t="s">
        <v>28</v>
      </c>
      <c r="AK25" s="638" t="s">
        <v>121</v>
      </c>
      <c r="AL25" s="308"/>
      <c r="AM25" s="639" t="s">
        <v>122</v>
      </c>
      <c r="AN25" s="639"/>
      <c r="AO25" s="308"/>
      <c r="AP25" s="639" t="s">
        <v>119</v>
      </c>
      <c r="AQ25" s="639"/>
      <c r="AR25" s="308"/>
      <c r="AS25" s="639" t="s">
        <v>120</v>
      </c>
      <c r="AT25" s="639"/>
      <c r="AU25" s="308"/>
      <c r="AV25" s="639" t="s">
        <v>122</v>
      </c>
      <c r="AW25" s="639"/>
      <c r="AX25" s="308"/>
      <c r="AY25" s="639" t="s">
        <v>119</v>
      </c>
      <c r="AZ25" s="639"/>
      <c r="BA25" s="308"/>
      <c r="BB25" s="639" t="s">
        <v>120</v>
      </c>
      <c r="BC25" s="639"/>
    </row>
    <row r="26" spans="1:55" s="285" customFormat="1" ht="20.149999999999999" customHeight="1" thickBot="1">
      <c r="A26" s="645"/>
      <c r="B26" s="647"/>
      <c r="C26" s="649"/>
      <c r="D26" s="649"/>
      <c r="E26" s="649"/>
      <c r="F26" s="649"/>
      <c r="G26" s="654"/>
      <c r="H26" s="660"/>
      <c r="I26" s="662"/>
      <c r="J26" s="284"/>
      <c r="L26" s="649"/>
      <c r="M26" s="617"/>
      <c r="O26" s="281"/>
      <c r="P26" s="309" t="s">
        <v>122</v>
      </c>
      <c r="Q26" s="309" t="s">
        <v>119</v>
      </c>
      <c r="R26" s="309" t="s">
        <v>120</v>
      </c>
      <c r="S26" s="309" t="s">
        <v>122</v>
      </c>
      <c r="T26" s="309" t="s">
        <v>119</v>
      </c>
      <c r="U26" s="309" t="s">
        <v>120</v>
      </c>
      <c r="V26" s="309" t="s">
        <v>118</v>
      </c>
      <c r="W26" s="309" t="s">
        <v>63</v>
      </c>
      <c r="X26" s="309" t="s">
        <v>69</v>
      </c>
      <c r="Y26" s="309" t="s">
        <v>71</v>
      </c>
      <c r="Z26" s="309" t="s">
        <v>72</v>
      </c>
      <c r="AA26" s="309" t="s">
        <v>70</v>
      </c>
      <c r="AB26" s="309" t="s">
        <v>75</v>
      </c>
      <c r="AC26" s="309" t="s">
        <v>78</v>
      </c>
      <c r="AD26" s="309" t="s">
        <v>119</v>
      </c>
      <c r="AE26" s="309" t="s">
        <v>120</v>
      </c>
      <c r="AF26" s="309" t="s">
        <v>129</v>
      </c>
      <c r="AG26" s="309" t="s">
        <v>130</v>
      </c>
      <c r="AH26" s="309" t="s">
        <v>129</v>
      </c>
      <c r="AI26" s="309" t="s">
        <v>130</v>
      </c>
      <c r="AJ26" s="652"/>
      <c r="AK26" s="652"/>
      <c r="AL26" s="308"/>
      <c r="AM26" s="310" t="s">
        <v>67</v>
      </c>
      <c r="AN26" s="310" t="s">
        <v>68</v>
      </c>
      <c r="AO26" s="308"/>
      <c r="AP26" s="310" t="s">
        <v>67</v>
      </c>
      <c r="AQ26" s="310" t="s">
        <v>68</v>
      </c>
      <c r="AR26" s="308"/>
      <c r="AS26" s="310" t="s">
        <v>67</v>
      </c>
      <c r="AT26" s="310" t="s">
        <v>68</v>
      </c>
      <c r="AU26" s="308"/>
      <c r="AV26" s="310" t="s">
        <v>67</v>
      </c>
      <c r="AW26" s="310" t="s">
        <v>68</v>
      </c>
      <c r="AX26" s="308"/>
      <c r="AY26" s="310" t="s">
        <v>67</v>
      </c>
      <c r="AZ26" s="310" t="s">
        <v>68</v>
      </c>
      <c r="BA26" s="308"/>
      <c r="BB26" s="310" t="s">
        <v>67</v>
      </c>
      <c r="BC26" s="310" t="s">
        <v>68</v>
      </c>
    </row>
    <row r="27" spans="1:55" s="86" customFormat="1" ht="25" customHeight="1" thickTop="1">
      <c r="A27" s="499">
        <f>IF('TECH DATA ENTRY'!A44="","",'TECH DATA ENTRY'!A44)</f>
        <v>0</v>
      </c>
      <c r="B27" s="347">
        <f>IF('TECH DATA ENTRY'!B44="","",'TECH DATA ENTRY'!B44)</f>
        <v>0</v>
      </c>
      <c r="C27" s="347">
        <f>IF(B27="","",IFERROR('TECH DATA ENTRY'!F44,"NA"))</f>
        <v>-6.9999999999999999E-6</v>
      </c>
      <c r="D27" s="347" t="str">
        <f>IF('TECH DATA ENTRY'!L44="","",'TECH DATA ENTRY'!L44)</f>
        <v/>
      </c>
      <c r="E27" s="347" t="str">
        <f t="shared" si="0"/>
        <v/>
      </c>
      <c r="F27" s="347">
        <f>IF(B27="","",IFERROR('TECH DATA ENTRY'!G44,"NA"))</f>
        <v>6.9999999999999999E-6</v>
      </c>
      <c r="G27" s="514" t="str">
        <f t="shared" si="1"/>
        <v/>
      </c>
      <c r="H27" s="347" t="str">
        <f>IF(OR(ISTEXT(B27)=TRUE, D27="NA",D27=""),"NA", roundsf(MAX(L27,M27),C27))</f>
        <v>NA</v>
      </c>
      <c r="I27" s="325" t="str">
        <f t="shared" si="2"/>
        <v>NA</v>
      </c>
      <c r="J27" s="299"/>
      <c r="K27" s="245"/>
      <c r="L27" s="243">
        <f>(5.1/1000000)*ABS(B27)+(0.7/1000000)</f>
        <v>6.9999999999999997E-7</v>
      </c>
      <c r="M27" s="244" t="str">
        <f>UNC_CALCULATION!AM16</f>
        <v>NA</v>
      </c>
      <c r="N27" s="85"/>
      <c r="O27" s="58"/>
      <c r="P27" s="69" t="e">
        <f>IF(B27="","",INDEX('AUX TABLES'!$G$4:$K$8,AV27,AW27))</f>
        <v>#VALUE!</v>
      </c>
      <c r="Q27" s="150" t="e">
        <f>IF(AJ$11=FALSE,IF(B27="","",IF(AJ27="NA",P27,INDEX('AUX TABLES'!$G$4:$K$8,AY27,AZ27))),IF(P27="FAIL",P27,INDEX('AUX TABLES'!$G$4:$K$8,AY27,AZ27)))</f>
        <v>#VALUE!</v>
      </c>
      <c r="R27" s="150" t="e">
        <f>IF(AJ$11=FALSE,IF(B27="","",IF(AJ27="NA",P27,INDEX('AUX TABLES'!$G$4:$K$8,BB27,BC27))),IF(P27="FAIL",P27,INDEX('AUX TABLES'!$G$4:$K$8,BB27,BC27)))</f>
        <v>#VALUE!</v>
      </c>
      <c r="S27" s="69" t="e">
        <f>INDEX('AUX TABLES'!$G$4:$K$8,AM27,AN27)</f>
        <v>#VALUE!</v>
      </c>
      <c r="T27" s="69" t="e">
        <f>IF(AJ$11=FALSE,IF(AJ27="NA",S27,INDEX('AUX TABLES'!$G$4:$K$8,AP27,AQ27)),IF(S27="FAIL",S27,INDEX('AUX TABLES'!$G$4:$K$8,AP27,AQ27)))</f>
        <v>#VALUE!</v>
      </c>
      <c r="U27" s="150" t="e">
        <f>IF(AJ$11=FALSE,IF(AJ27="NA",S27,INDEX('AUX TABLES'!$G$4:$K$8,AS27,AT27)),IF(S27="FAIL",S27,INDEX('AUX TABLES'!$G$4:$K$8,AS27,AT27)))</f>
        <v>#VALUE!</v>
      </c>
      <c r="V27" s="150" t="str">
        <f t="shared" si="4"/>
        <v/>
      </c>
      <c r="W27" s="74">
        <f t="shared" si="5"/>
        <v>6.9999999999999999E-6</v>
      </c>
      <c r="X27" s="74" t="str">
        <f t="shared" si="6"/>
        <v>NA</v>
      </c>
      <c r="Y27" s="74" t="str">
        <f t="shared" si="7"/>
        <v>NA</v>
      </c>
      <c r="Z27" s="74" t="str">
        <f t="shared" si="8"/>
        <v>NA</v>
      </c>
      <c r="AA27" s="74" t="str">
        <f t="shared" si="9"/>
        <v>NA</v>
      </c>
      <c r="AB27" s="74">
        <f t="shared" si="10"/>
        <v>-6.9999999999999999E-6</v>
      </c>
      <c r="AC27" s="69" t="str">
        <f>IF(ISTEXT('TECH DATA ENTRY'!L44)=TRUE,"NA",'TECH DATA ENTRY'!H44)</f>
        <v>NA</v>
      </c>
      <c r="AD27" s="69" t="str">
        <f t="shared" si="11"/>
        <v>NA</v>
      </c>
      <c r="AE27" s="69" t="str">
        <f t="shared" si="12"/>
        <v>NA</v>
      </c>
      <c r="AF27" s="69" t="e">
        <f t="shared" si="13"/>
        <v>#VALUE!</v>
      </c>
      <c r="AG27" s="69" t="e">
        <f t="shared" si="14"/>
        <v>#VALUE!</v>
      </c>
      <c r="AH27" s="69" t="e">
        <f t="shared" si="15"/>
        <v>#VALUE!</v>
      </c>
      <c r="AI27" s="69" t="e">
        <f t="shared" si="16"/>
        <v>#VALUE!</v>
      </c>
      <c r="AJ27" s="70" t="str">
        <f>IF(OR(ISTEXT('TECH DATA ENTRY'!L44)=TRUE,ISTEXT('TECH DATA ENTRY'!F44)=TRUE,ISTEXT('TECH DATA ENTRY'!G44)=TRUE),"NA",(W27-AB27)/(2*MAX(M27,L27)))</f>
        <v>NA</v>
      </c>
      <c r="AK27" s="69" t="str">
        <f t="shared" si="17"/>
        <v>NA</v>
      </c>
      <c r="AM27" s="73" t="e">
        <f t="shared" si="18"/>
        <v>#VALUE!</v>
      </c>
      <c r="AN27" s="73" t="e">
        <f t="shared" si="19"/>
        <v>#VALUE!</v>
      </c>
      <c r="AO27" s="87"/>
      <c r="AP27" s="73" t="e">
        <f t="shared" si="20"/>
        <v>#VALUE!</v>
      </c>
      <c r="AQ27" s="73" t="e">
        <f t="shared" si="21"/>
        <v>#VALUE!</v>
      </c>
      <c r="AR27" s="87"/>
      <c r="AS27" s="73" t="e">
        <f t="shared" si="22"/>
        <v>#VALUE!</v>
      </c>
      <c r="AT27" s="73" t="e">
        <f t="shared" si="23"/>
        <v>#VALUE!</v>
      </c>
      <c r="AV27" s="73" t="e">
        <f t="shared" si="24"/>
        <v>#VALUE!</v>
      </c>
      <c r="AW27" s="73" t="e">
        <f t="shared" si="25"/>
        <v>#VALUE!</v>
      </c>
      <c r="AX27" s="87"/>
      <c r="AY27" s="73" t="e">
        <f t="shared" si="26"/>
        <v>#VALUE!</v>
      </c>
      <c r="AZ27" s="73" t="e">
        <f t="shared" si="27"/>
        <v>#VALUE!</v>
      </c>
      <c r="BA27" s="87"/>
      <c r="BB27" s="73" t="e">
        <f t="shared" si="28"/>
        <v>#VALUE!</v>
      </c>
      <c r="BC27" s="73" t="e">
        <f t="shared" si="29"/>
        <v>#VALUE!</v>
      </c>
    </row>
    <row r="28" spans="1:55" s="86" customFormat="1" ht="25" customHeight="1">
      <c r="A28" s="499">
        <f>IF('TECH DATA ENTRY'!A45="","",'TECH DATA ENTRY'!A45)</f>
        <v>1</v>
      </c>
      <c r="B28" s="347">
        <f>IF('TECH DATA ENTRY'!B45="","",'TECH DATA ENTRY'!B45)</f>
        <v>1</v>
      </c>
      <c r="C28" s="347">
        <f>IF(B28="","",IFERROR('TECH DATA ENTRY'!F45,"NA"))</f>
        <v>0.99996799999999997</v>
      </c>
      <c r="D28" s="347" t="str">
        <f>IF('TECH DATA ENTRY'!L45="","",'TECH DATA ENTRY'!L45)</f>
        <v/>
      </c>
      <c r="E28" s="347" t="str">
        <f t="shared" si="0"/>
        <v/>
      </c>
      <c r="F28" s="347">
        <f>IF(B28="","",IFERROR('TECH DATA ENTRY'!G45,"NA"))</f>
        <v>1.000032</v>
      </c>
      <c r="G28" s="514" t="str">
        <f t="shared" si="1"/>
        <v/>
      </c>
      <c r="H28" s="347" t="str">
        <f>IF(OR(ISTEXT(B28)=TRUE, D28="NA",D28=""),"NA", roundsf(MAX(L28,M28),C28))</f>
        <v>NA</v>
      </c>
      <c r="I28" s="325" t="str">
        <f t="shared" si="2"/>
        <v>NA</v>
      </c>
      <c r="J28" s="299"/>
      <c r="K28" s="245"/>
      <c r="L28" s="506">
        <f t="shared" ref="L28:L29" si="30">(5.1/1000000)*ABS(B28)+(0.7/1000000)</f>
        <v>5.7999999999999995E-6</v>
      </c>
      <c r="M28" s="244" t="str">
        <f>UNC_CALCULATION!AM17</f>
        <v>NA</v>
      </c>
      <c r="N28" s="85"/>
      <c r="O28" s="58"/>
      <c r="P28" s="69" t="e">
        <f>IF(B28="","",INDEX('AUX TABLES'!$G$4:$K$8,AV28,AW28))</f>
        <v>#VALUE!</v>
      </c>
      <c r="Q28" s="150" t="e">
        <f>IF(AJ$11=FALSE,IF(B28="","",IF(AJ28="NA",P28,INDEX('AUX TABLES'!$G$4:$K$8,AY28,AZ28))),IF(P28="FAIL",P28,INDEX('AUX TABLES'!$G$4:$K$8,AY28,AZ28)))</f>
        <v>#VALUE!</v>
      </c>
      <c r="R28" s="150" t="e">
        <f>IF(AJ$11=FALSE,IF(B28="","",IF(AJ28="NA",P28,INDEX('AUX TABLES'!$G$4:$K$8,BB28,BC28))),IF(P28="FAIL",P28,INDEX('AUX TABLES'!$G$4:$K$8,BB28,BC28)))</f>
        <v>#VALUE!</v>
      </c>
      <c r="S28" s="69" t="e">
        <f>INDEX('AUX TABLES'!$G$4:$K$8,AM28,AN28)</f>
        <v>#VALUE!</v>
      </c>
      <c r="T28" s="69" t="e">
        <f>IF(AJ$11=FALSE,IF(AJ28="NA",S28,INDEX('AUX TABLES'!$G$4:$K$8,AP28,AQ28)),IF(S28="FAIL",S28,INDEX('AUX TABLES'!$G$4:$K$8,AP28,AQ28)))</f>
        <v>#VALUE!</v>
      </c>
      <c r="U28" s="150" t="e">
        <f>IF(AJ$11=FALSE,IF(AJ28="NA",S28,INDEX('AUX TABLES'!$G$4:$K$8,AS28,AT28)),IF(S28="FAIL",S28,INDEX('AUX TABLES'!$G$4:$K$8,AS28,AT28)))</f>
        <v>#VALUE!</v>
      </c>
      <c r="V28" s="150" t="str">
        <f t="shared" si="4"/>
        <v/>
      </c>
      <c r="W28" s="74">
        <f t="shared" si="5"/>
        <v>1.000032</v>
      </c>
      <c r="X28" s="74" t="str">
        <f t="shared" si="6"/>
        <v>NA</v>
      </c>
      <c r="Y28" s="74" t="str">
        <f t="shared" si="7"/>
        <v>NA</v>
      </c>
      <c r="Z28" s="74" t="str">
        <f t="shared" si="8"/>
        <v>NA</v>
      </c>
      <c r="AA28" s="74" t="str">
        <f t="shared" si="9"/>
        <v>NA</v>
      </c>
      <c r="AB28" s="74">
        <f t="shared" si="10"/>
        <v>0.99996799999999997</v>
      </c>
      <c r="AC28" s="69" t="str">
        <f>IF(ISTEXT('TECH DATA ENTRY'!L45)=TRUE,"NA",'TECH DATA ENTRY'!H45)</f>
        <v>NA</v>
      </c>
      <c r="AD28" s="69" t="str">
        <f t="shared" si="11"/>
        <v>NA</v>
      </c>
      <c r="AE28" s="69" t="str">
        <f t="shared" si="12"/>
        <v>NA</v>
      </c>
      <c r="AF28" s="69" t="e">
        <f t="shared" si="13"/>
        <v>#VALUE!</v>
      </c>
      <c r="AG28" s="69" t="e">
        <f t="shared" si="14"/>
        <v>#VALUE!</v>
      </c>
      <c r="AH28" s="69" t="e">
        <f t="shared" si="15"/>
        <v>#VALUE!</v>
      </c>
      <c r="AI28" s="69" t="e">
        <f t="shared" si="16"/>
        <v>#VALUE!</v>
      </c>
      <c r="AJ28" s="70" t="str">
        <f>IF(OR(ISTEXT('TECH DATA ENTRY'!L45)=TRUE,ISTEXT('TECH DATA ENTRY'!F45)=TRUE,ISTEXT('TECH DATA ENTRY'!G45)=TRUE),"NA",(W28-AB28)/(2*MAX(M28,L28)))</f>
        <v>NA</v>
      </c>
      <c r="AK28" s="69" t="str">
        <f t="shared" si="17"/>
        <v>NA</v>
      </c>
      <c r="AM28" s="73" t="e">
        <f t="shared" si="18"/>
        <v>#VALUE!</v>
      </c>
      <c r="AN28" s="73" t="e">
        <f t="shared" si="19"/>
        <v>#VALUE!</v>
      </c>
      <c r="AO28" s="87"/>
      <c r="AP28" s="73" t="e">
        <f t="shared" si="20"/>
        <v>#VALUE!</v>
      </c>
      <c r="AQ28" s="73" t="e">
        <f t="shared" si="21"/>
        <v>#VALUE!</v>
      </c>
      <c r="AR28" s="87"/>
      <c r="AS28" s="73" t="e">
        <f t="shared" si="22"/>
        <v>#VALUE!</v>
      </c>
      <c r="AT28" s="73" t="e">
        <f t="shared" si="23"/>
        <v>#VALUE!</v>
      </c>
      <c r="AV28" s="73" t="e">
        <f t="shared" si="24"/>
        <v>#VALUE!</v>
      </c>
      <c r="AW28" s="73" t="e">
        <f t="shared" si="25"/>
        <v>#VALUE!</v>
      </c>
      <c r="AX28" s="87"/>
      <c r="AY28" s="73" t="e">
        <f t="shared" si="26"/>
        <v>#VALUE!</v>
      </c>
      <c r="AZ28" s="73" t="e">
        <f t="shared" si="27"/>
        <v>#VALUE!</v>
      </c>
      <c r="BA28" s="87"/>
      <c r="BB28" s="73" t="e">
        <f t="shared" si="28"/>
        <v>#VALUE!</v>
      </c>
      <c r="BC28" s="73" t="e">
        <f t="shared" si="29"/>
        <v>#VALUE!</v>
      </c>
    </row>
    <row r="29" spans="1:55" s="86" customFormat="1" ht="25" customHeight="1" thickBot="1">
      <c r="A29" s="500">
        <f>IF('TECH DATA ENTRY'!A46="","",'TECH DATA ENTRY'!A46)</f>
        <v>-1</v>
      </c>
      <c r="B29" s="498">
        <f>IF('TECH DATA ENTRY'!B46="","",'TECH DATA ENTRY'!B46)</f>
        <v>-1</v>
      </c>
      <c r="C29" s="498">
        <f>IF(B29="","",IFERROR('TECH DATA ENTRY'!F46,"NA"))</f>
        <v>-1.000032</v>
      </c>
      <c r="D29" s="498" t="str">
        <f>IF('TECH DATA ENTRY'!L46="","",'TECH DATA ENTRY'!L46)</f>
        <v/>
      </c>
      <c r="E29" s="498" t="str">
        <f t="shared" si="0"/>
        <v/>
      </c>
      <c r="F29" s="498">
        <f>IF(B29="","",IFERROR('TECH DATA ENTRY'!G46,"NA"))</f>
        <v>-0.99996799999999997</v>
      </c>
      <c r="G29" s="515" t="str">
        <f t="shared" si="1"/>
        <v/>
      </c>
      <c r="H29" s="498" t="str">
        <f>IF(OR(ISTEXT(B29)=TRUE, D29="NA",D29=""),"NA", roundsf(MAX(L29,M29),C29))</f>
        <v>NA</v>
      </c>
      <c r="I29" s="486" t="str">
        <f t="shared" si="2"/>
        <v>NA</v>
      </c>
      <c r="J29" s="299"/>
      <c r="K29" s="245"/>
      <c r="L29" s="506">
        <f t="shared" si="30"/>
        <v>5.7999999999999995E-6</v>
      </c>
      <c r="M29" s="244" t="str">
        <f>UNC_CALCULATION!AM18</f>
        <v>NA</v>
      </c>
      <c r="N29" s="85"/>
      <c r="O29" s="58"/>
      <c r="P29" s="69" t="e">
        <f>IF(B29="","",INDEX('AUX TABLES'!$G$4:$K$8,AV29,AW29))</f>
        <v>#VALUE!</v>
      </c>
      <c r="Q29" s="150" t="e">
        <f>IF(AJ$11=FALSE,IF(B29="","",IF(AJ29="NA",P29,INDEX('AUX TABLES'!$G$4:$K$8,AY29,AZ29))),IF(P29="FAIL",P29,INDEX('AUX TABLES'!$G$4:$K$8,AY29,AZ29)))</f>
        <v>#VALUE!</v>
      </c>
      <c r="R29" s="150" t="e">
        <f>IF(AJ$11=FALSE,IF(B29="","",IF(AJ29="NA",P29,INDEX('AUX TABLES'!$G$4:$K$8,BB29,BC29))),IF(P29="FAIL",P29,INDEX('AUX TABLES'!$G$4:$K$8,BB29,BC29)))</f>
        <v>#VALUE!</v>
      </c>
      <c r="S29" s="69" t="e">
        <f>INDEX('AUX TABLES'!$G$4:$K$8,AM29,AN29)</f>
        <v>#VALUE!</v>
      </c>
      <c r="T29" s="69" t="e">
        <f>IF(AJ$11=FALSE,IF(AJ29="NA",S29,INDEX('AUX TABLES'!$G$4:$K$8,AP29,AQ29)),IF(S29="FAIL",S29,INDEX('AUX TABLES'!$G$4:$K$8,AP29,AQ29)))</f>
        <v>#VALUE!</v>
      </c>
      <c r="U29" s="150" t="e">
        <f>IF(AJ$11=FALSE,IF(AJ29="NA",S29,INDEX('AUX TABLES'!$G$4:$K$8,AS29,AT29)),IF(S29="FAIL",S29,INDEX('AUX TABLES'!$G$4:$K$8,AS29,AT29)))</f>
        <v>#VALUE!</v>
      </c>
      <c r="V29" s="150" t="str">
        <f t="shared" si="4"/>
        <v/>
      </c>
      <c r="W29" s="74">
        <f t="shared" si="5"/>
        <v>-0.99996799999999997</v>
      </c>
      <c r="X29" s="74" t="str">
        <f t="shared" si="6"/>
        <v>NA</v>
      </c>
      <c r="Y29" s="74" t="str">
        <f t="shared" si="7"/>
        <v>NA</v>
      </c>
      <c r="Z29" s="74" t="str">
        <f t="shared" si="8"/>
        <v>NA</v>
      </c>
      <c r="AA29" s="74" t="str">
        <f t="shared" si="9"/>
        <v>NA</v>
      </c>
      <c r="AB29" s="74">
        <f t="shared" si="10"/>
        <v>-1.000032</v>
      </c>
      <c r="AC29" s="69" t="str">
        <f>IF(ISTEXT('TECH DATA ENTRY'!L46)=TRUE,"NA",'TECH DATA ENTRY'!H46)</f>
        <v>NA</v>
      </c>
      <c r="AD29" s="69" t="str">
        <f t="shared" si="11"/>
        <v>NA</v>
      </c>
      <c r="AE29" s="69" t="str">
        <f t="shared" si="12"/>
        <v>NA</v>
      </c>
      <c r="AF29" s="69" t="e">
        <f t="shared" si="13"/>
        <v>#VALUE!</v>
      </c>
      <c r="AG29" s="69" t="e">
        <f t="shared" si="14"/>
        <v>#VALUE!</v>
      </c>
      <c r="AH29" s="69" t="e">
        <f t="shared" si="15"/>
        <v>#VALUE!</v>
      </c>
      <c r="AI29" s="69" t="e">
        <f t="shared" si="16"/>
        <v>#VALUE!</v>
      </c>
      <c r="AJ29" s="70" t="str">
        <f>IF(OR(ISTEXT('TECH DATA ENTRY'!L46)=TRUE,ISTEXT('TECH DATA ENTRY'!F46)=TRUE,ISTEXT('TECH DATA ENTRY'!G46)=TRUE),"NA",(W29-AB29)/(2*MAX(M29,L29)))</f>
        <v>NA</v>
      </c>
      <c r="AK29" s="69" t="str">
        <f t="shared" si="17"/>
        <v>NA</v>
      </c>
      <c r="AM29" s="73" t="e">
        <f t="shared" si="18"/>
        <v>#VALUE!</v>
      </c>
      <c r="AN29" s="73" t="e">
        <f t="shared" si="19"/>
        <v>#VALUE!</v>
      </c>
      <c r="AO29" s="87"/>
      <c r="AP29" s="73" t="e">
        <f t="shared" si="20"/>
        <v>#VALUE!</v>
      </c>
      <c r="AQ29" s="73" t="e">
        <f t="shared" si="21"/>
        <v>#VALUE!</v>
      </c>
      <c r="AR29" s="87"/>
      <c r="AS29" s="73" t="e">
        <f t="shared" si="22"/>
        <v>#VALUE!</v>
      </c>
      <c r="AT29" s="73" t="e">
        <f t="shared" si="23"/>
        <v>#VALUE!</v>
      </c>
      <c r="AV29" s="73" t="e">
        <f t="shared" si="24"/>
        <v>#VALUE!</v>
      </c>
      <c r="AW29" s="73" t="e">
        <f t="shared" si="25"/>
        <v>#VALUE!</v>
      </c>
      <c r="AX29" s="87"/>
      <c r="AY29" s="73" t="e">
        <f t="shared" si="26"/>
        <v>#VALUE!</v>
      </c>
      <c r="AZ29" s="73" t="e">
        <f t="shared" si="27"/>
        <v>#VALUE!</v>
      </c>
      <c r="BA29" s="87"/>
      <c r="BB29" s="73" t="e">
        <f t="shared" si="28"/>
        <v>#VALUE!</v>
      </c>
      <c r="BC29" s="73" t="e">
        <f t="shared" si="29"/>
        <v>#VALUE!</v>
      </c>
    </row>
    <row r="30" spans="1:55" s="296" customFormat="1" ht="28.15" customHeight="1">
      <c r="A30" s="550" t="str">
        <f>IF('TECH DATA ENTRY'!A47="","",'TECH DATA ENTRY'!A47)</f>
        <v/>
      </c>
      <c r="B30" s="551"/>
      <c r="C30" s="552"/>
      <c r="D30" s="551"/>
      <c r="E30" s="551"/>
      <c r="F30" s="551"/>
      <c r="G30" s="552"/>
      <c r="H30" s="551"/>
      <c r="I30" s="553"/>
      <c r="J30" s="224"/>
      <c r="K30" s="224"/>
      <c r="L30" s="224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AK30" s="297"/>
    </row>
    <row r="31" spans="1:55" s="31" customFormat="1" ht="22.15" customHeight="1">
      <c r="A31" s="76" t="str">
        <f>IF('TECH DATA ENTRY'!A48="","",'TECH DATA ENTRY'!A48)</f>
        <v>Range: 10 V</v>
      </c>
      <c r="H31" s="321"/>
      <c r="O31" s="77"/>
      <c r="AK31" s="1"/>
      <c r="AM31" s="637" t="s">
        <v>116</v>
      </c>
      <c r="AN31" s="637"/>
      <c r="AO31" s="637"/>
      <c r="AP31" s="637"/>
      <c r="AQ31" s="637"/>
      <c r="AR31" s="637"/>
      <c r="AS31" s="637"/>
      <c r="AT31" s="637"/>
      <c r="AV31" s="637" t="s">
        <v>117</v>
      </c>
      <c r="AW31" s="637"/>
      <c r="AX31" s="637"/>
      <c r="AY31" s="637"/>
      <c r="AZ31" s="637"/>
      <c r="BA31" s="637"/>
      <c r="BB31" s="637"/>
      <c r="BC31" s="637"/>
    </row>
    <row r="32" spans="1:55" s="225" customFormat="1" ht="4.9000000000000004" customHeight="1" thickBot="1">
      <c r="A32" s="288" t="str">
        <f>IF('TECH DATA ENTRY'!A49="","",'TECH DATA ENTRY'!A49)</f>
        <v/>
      </c>
      <c r="K32" s="239"/>
      <c r="L32" s="239"/>
      <c r="AK32" s="240"/>
    </row>
    <row r="33" spans="1:55" s="285" customFormat="1" ht="20.149999999999999" customHeight="1">
      <c r="A33" s="644" t="str">
        <f>IF('TECH DATA ENTRY'!A50="","",'TECH DATA ENTRY'!A50)</f>
        <v>Applied</v>
      </c>
      <c r="B33" s="646" t="str">
        <f>IF('TECH DATA ENTRY'!B50="","",'TECH DATA ENTRY'!B50)</f>
        <v>Nominal</v>
      </c>
      <c r="C33" s="648" t="s">
        <v>2</v>
      </c>
      <c r="D33" s="648" t="str">
        <f>IF(LEFT(P$11,3)="ROV", "Measured Value", "As Found")</f>
        <v>As Found</v>
      </c>
      <c r="E33" s="648" t="str">
        <f>IF(LEFT(P$11,3)="ROV", "Correction", "As Left")</f>
        <v>As Left</v>
      </c>
      <c r="F33" s="648" t="s">
        <v>3</v>
      </c>
      <c r="G33" s="653" t="s">
        <v>4</v>
      </c>
      <c r="H33" s="659" t="s">
        <v>30</v>
      </c>
      <c r="I33" s="661" t="s">
        <v>28</v>
      </c>
      <c r="J33" s="284"/>
      <c r="L33" s="658" t="s">
        <v>38</v>
      </c>
      <c r="M33" s="616" t="s">
        <v>31</v>
      </c>
      <c r="N33" s="281"/>
      <c r="O33" s="286"/>
      <c r="P33" s="640" t="s">
        <v>136</v>
      </c>
      <c r="Q33" s="641"/>
      <c r="R33" s="642"/>
      <c r="S33" s="638" t="s">
        <v>115</v>
      </c>
      <c r="T33" s="638"/>
      <c r="U33" s="638"/>
      <c r="V33" s="638"/>
      <c r="W33" s="640" t="s">
        <v>64</v>
      </c>
      <c r="X33" s="641"/>
      <c r="Y33" s="641"/>
      <c r="Z33" s="641"/>
      <c r="AA33" s="641"/>
      <c r="AB33" s="642"/>
      <c r="AC33" s="638" t="s">
        <v>97</v>
      </c>
      <c r="AD33" s="638"/>
      <c r="AE33" s="638"/>
      <c r="AF33" s="638" t="s">
        <v>127</v>
      </c>
      <c r="AG33" s="638"/>
      <c r="AH33" s="638" t="s">
        <v>128</v>
      </c>
      <c r="AI33" s="638"/>
      <c r="AJ33" s="638" t="s">
        <v>28</v>
      </c>
      <c r="AK33" s="638" t="s">
        <v>121</v>
      </c>
      <c r="AL33" s="308"/>
      <c r="AM33" s="639" t="s">
        <v>122</v>
      </c>
      <c r="AN33" s="639"/>
      <c r="AO33" s="308"/>
      <c r="AP33" s="639" t="s">
        <v>119</v>
      </c>
      <c r="AQ33" s="639"/>
      <c r="AR33" s="308"/>
      <c r="AS33" s="639" t="s">
        <v>120</v>
      </c>
      <c r="AT33" s="639"/>
      <c r="AU33" s="308"/>
      <c r="AV33" s="639" t="s">
        <v>122</v>
      </c>
      <c r="AW33" s="639"/>
      <c r="AX33" s="308"/>
      <c r="AY33" s="639" t="s">
        <v>119</v>
      </c>
      <c r="AZ33" s="639"/>
      <c r="BA33" s="308"/>
      <c r="BB33" s="639" t="s">
        <v>120</v>
      </c>
      <c r="BC33" s="639"/>
    </row>
    <row r="34" spans="1:55" s="285" customFormat="1" ht="20.149999999999999" customHeight="1" thickBot="1">
      <c r="A34" s="645"/>
      <c r="B34" s="647"/>
      <c r="C34" s="649"/>
      <c r="D34" s="649"/>
      <c r="E34" s="649"/>
      <c r="F34" s="649"/>
      <c r="G34" s="654"/>
      <c r="H34" s="660"/>
      <c r="I34" s="662"/>
      <c r="J34" s="284"/>
      <c r="L34" s="649"/>
      <c r="M34" s="617"/>
      <c r="O34" s="281"/>
      <c r="P34" s="309" t="s">
        <v>122</v>
      </c>
      <c r="Q34" s="309" t="s">
        <v>119</v>
      </c>
      <c r="R34" s="309" t="s">
        <v>120</v>
      </c>
      <c r="S34" s="309" t="s">
        <v>122</v>
      </c>
      <c r="T34" s="309" t="s">
        <v>119</v>
      </c>
      <c r="U34" s="309" t="s">
        <v>120</v>
      </c>
      <c r="V34" s="309" t="s">
        <v>118</v>
      </c>
      <c r="W34" s="309" t="s">
        <v>63</v>
      </c>
      <c r="X34" s="309" t="s">
        <v>69</v>
      </c>
      <c r="Y34" s="309" t="s">
        <v>71</v>
      </c>
      <c r="Z34" s="309" t="s">
        <v>72</v>
      </c>
      <c r="AA34" s="309" t="s">
        <v>70</v>
      </c>
      <c r="AB34" s="309" t="s">
        <v>75</v>
      </c>
      <c r="AC34" s="309" t="s">
        <v>78</v>
      </c>
      <c r="AD34" s="309" t="s">
        <v>119</v>
      </c>
      <c r="AE34" s="309" t="s">
        <v>120</v>
      </c>
      <c r="AF34" s="309" t="s">
        <v>129</v>
      </c>
      <c r="AG34" s="309" t="s">
        <v>130</v>
      </c>
      <c r="AH34" s="309" t="s">
        <v>129</v>
      </c>
      <c r="AI34" s="309" t="s">
        <v>130</v>
      </c>
      <c r="AJ34" s="652"/>
      <c r="AK34" s="652"/>
      <c r="AL34" s="308"/>
      <c r="AM34" s="310" t="s">
        <v>67</v>
      </c>
      <c r="AN34" s="310" t="s">
        <v>68</v>
      </c>
      <c r="AO34" s="308"/>
      <c r="AP34" s="310" t="s">
        <v>67</v>
      </c>
      <c r="AQ34" s="310" t="s">
        <v>68</v>
      </c>
      <c r="AR34" s="308"/>
      <c r="AS34" s="310" t="s">
        <v>67</v>
      </c>
      <c r="AT34" s="310" t="s">
        <v>68</v>
      </c>
      <c r="AU34" s="308"/>
      <c r="AV34" s="310" t="s">
        <v>67</v>
      </c>
      <c r="AW34" s="310" t="s">
        <v>68</v>
      </c>
      <c r="AX34" s="308"/>
      <c r="AY34" s="310" t="s">
        <v>67</v>
      </c>
      <c r="AZ34" s="310" t="s">
        <v>68</v>
      </c>
      <c r="BA34" s="308"/>
      <c r="BB34" s="310" t="s">
        <v>67</v>
      </c>
      <c r="BC34" s="310" t="s">
        <v>68</v>
      </c>
    </row>
    <row r="35" spans="1:55" s="86" customFormat="1" ht="25" customHeight="1" thickTop="1">
      <c r="A35" s="499">
        <f>IF('TECH DATA ENTRY'!A52="","",'TECH DATA ENTRY'!A52)</f>
        <v>0</v>
      </c>
      <c r="B35" s="350">
        <f>IF('TECH DATA ENTRY'!B52="","",'TECH DATA ENTRY'!B52)</f>
        <v>0</v>
      </c>
      <c r="C35" s="350">
        <f>IF(B35="","",IFERROR('TECH DATA ENTRY'!F52,"NA"))</f>
        <v>-5.0000000000000002E-5</v>
      </c>
      <c r="D35" s="350" t="str">
        <f>IF('TECH DATA ENTRY'!L52="","",'TECH DATA ENTRY'!L52)</f>
        <v/>
      </c>
      <c r="E35" s="350" t="str">
        <f t="shared" si="0"/>
        <v/>
      </c>
      <c r="F35" s="350">
        <f>IF(B35="","",IFERROR('TECH DATA ENTRY'!G52,"NA"))</f>
        <v>5.0000000000000002E-5</v>
      </c>
      <c r="G35" s="516" t="str">
        <f t="shared" si="1"/>
        <v/>
      </c>
      <c r="H35" s="350" t="str">
        <f>IF(OR(ISTEXT(B35)=TRUE, D35="NA",D35=""),"NA", roundsf(MAX(L35,M35),C35))</f>
        <v>NA</v>
      </c>
      <c r="I35" s="325" t="str">
        <f t="shared" si="2"/>
        <v>NA</v>
      </c>
      <c r="J35" s="299"/>
      <c r="K35" s="245"/>
      <c r="L35" s="506">
        <f>(3/1000000)*ABS(B35)+(2.5/1000000)</f>
        <v>2.5000000000000002E-6</v>
      </c>
      <c r="M35" s="244" t="str">
        <f>UNC_CALCULATION!AM24</f>
        <v>NA</v>
      </c>
      <c r="N35" s="85"/>
      <c r="O35" s="58"/>
      <c r="P35" s="69" t="e">
        <f>IF(B35="","",INDEX('AUX TABLES'!$G$4:$K$8,AV35,AW35))</f>
        <v>#VALUE!</v>
      </c>
      <c r="Q35" s="150" t="e">
        <f>IF(AJ$11=FALSE,IF(B35="","",IF(AJ35="NA",P35,INDEX('AUX TABLES'!$G$4:$K$8,AY35,AZ35))),IF(P35="FAIL",P35,INDEX('AUX TABLES'!$G$4:$K$8,AY35,AZ35)))</f>
        <v>#VALUE!</v>
      </c>
      <c r="R35" s="150" t="e">
        <f>IF(AJ$11=FALSE,IF(B35="","",IF(AJ35="NA",P35,INDEX('AUX TABLES'!$G$4:$K$8,BB35,BC35))),IF(P35="FAIL",P35,INDEX('AUX TABLES'!$G$4:$K$8,BB35,BC35)))</f>
        <v>#VALUE!</v>
      </c>
      <c r="S35" s="69" t="e">
        <f>INDEX('AUX TABLES'!$G$4:$K$8,AM35,AN35)</f>
        <v>#VALUE!</v>
      </c>
      <c r="T35" s="69" t="e">
        <f>IF(AJ$11=FALSE,IF(AJ35="NA",S35,INDEX('AUX TABLES'!$G$4:$K$8,AP35,AQ35)),IF(S35="FAIL",S35,INDEX('AUX TABLES'!$G$4:$K$8,AP35,AQ35)))</f>
        <v>#VALUE!</v>
      </c>
      <c r="U35" s="150" t="e">
        <f>IF(AJ$11=FALSE,IF(AJ35="NA",S35,INDEX('AUX TABLES'!$G$4:$K$8,AS35,AT35)),IF(S35="FAIL",S35,INDEX('AUX TABLES'!$G$4:$K$8,AS35,AT35)))</f>
        <v>#VALUE!</v>
      </c>
      <c r="V35" s="150" t="str">
        <f t="shared" si="4"/>
        <v/>
      </c>
      <c r="W35" s="74">
        <f t="shared" si="5"/>
        <v>5.0000000000000002E-5</v>
      </c>
      <c r="X35" s="74" t="str">
        <f t="shared" si="6"/>
        <v>NA</v>
      </c>
      <c r="Y35" s="74" t="str">
        <f t="shared" si="7"/>
        <v>NA</v>
      </c>
      <c r="Z35" s="74" t="str">
        <f t="shared" si="8"/>
        <v>NA</v>
      </c>
      <c r="AA35" s="74" t="str">
        <f t="shared" si="9"/>
        <v>NA</v>
      </c>
      <c r="AB35" s="74">
        <f t="shared" si="10"/>
        <v>-5.0000000000000002E-5</v>
      </c>
      <c r="AC35" s="69" t="str">
        <f>IF(ISTEXT('TECH DATA ENTRY'!L52)=TRUE,"NA",'TECH DATA ENTRY'!H52)</f>
        <v>NA</v>
      </c>
      <c r="AD35" s="69" t="str">
        <f t="shared" si="11"/>
        <v>NA</v>
      </c>
      <c r="AE35" s="69" t="str">
        <f t="shared" si="12"/>
        <v>NA</v>
      </c>
      <c r="AF35" s="69" t="e">
        <f t="shared" si="13"/>
        <v>#VALUE!</v>
      </c>
      <c r="AG35" s="69" t="e">
        <f t="shared" si="14"/>
        <v>#VALUE!</v>
      </c>
      <c r="AH35" s="69" t="e">
        <f t="shared" si="15"/>
        <v>#VALUE!</v>
      </c>
      <c r="AI35" s="69" t="e">
        <f t="shared" si="16"/>
        <v>#VALUE!</v>
      </c>
      <c r="AJ35" s="70" t="str">
        <f>IF(OR(ISTEXT('TECH DATA ENTRY'!L52)=TRUE,ISTEXT('TECH DATA ENTRY'!F52)=TRUE,ISTEXT('TECH DATA ENTRY'!G52)=TRUE),"NA",(W35-AB35)/(2*MAX(M35,L35)))</f>
        <v>NA</v>
      </c>
      <c r="AK35" s="69" t="str">
        <f t="shared" si="17"/>
        <v>NA</v>
      </c>
      <c r="AM35" s="73" t="e">
        <f t="shared" si="18"/>
        <v>#VALUE!</v>
      </c>
      <c r="AN35" s="73" t="e">
        <f t="shared" si="19"/>
        <v>#VALUE!</v>
      </c>
      <c r="AO35" s="87"/>
      <c r="AP35" s="73" t="e">
        <f t="shared" si="20"/>
        <v>#VALUE!</v>
      </c>
      <c r="AQ35" s="73" t="e">
        <f t="shared" si="21"/>
        <v>#VALUE!</v>
      </c>
      <c r="AR35" s="87"/>
      <c r="AS35" s="73" t="e">
        <f t="shared" si="22"/>
        <v>#VALUE!</v>
      </c>
      <c r="AT35" s="73" t="e">
        <f t="shared" si="23"/>
        <v>#VALUE!</v>
      </c>
      <c r="AV35" s="73" t="e">
        <f t="shared" si="24"/>
        <v>#VALUE!</v>
      </c>
      <c r="AW35" s="73" t="e">
        <f t="shared" si="25"/>
        <v>#VALUE!</v>
      </c>
      <c r="AX35" s="87"/>
      <c r="AY35" s="73" t="e">
        <f t="shared" si="26"/>
        <v>#VALUE!</v>
      </c>
      <c r="AZ35" s="73" t="e">
        <f t="shared" si="27"/>
        <v>#VALUE!</v>
      </c>
      <c r="BA35" s="87"/>
      <c r="BB35" s="73" t="e">
        <f t="shared" si="28"/>
        <v>#VALUE!</v>
      </c>
      <c r="BC35" s="73" t="e">
        <f t="shared" si="29"/>
        <v>#VALUE!</v>
      </c>
    </row>
    <row r="36" spans="1:55" s="86" customFormat="1" ht="25" customHeight="1">
      <c r="A36" s="499">
        <f>IF('TECH DATA ENTRY'!A53="","",'TECH DATA ENTRY'!A53)</f>
        <v>5</v>
      </c>
      <c r="B36" s="350">
        <f>IF('TECH DATA ENTRY'!B53="","",'TECH DATA ENTRY'!B53)</f>
        <v>5</v>
      </c>
      <c r="C36" s="350">
        <f>IF(B36="","",IFERROR('TECH DATA ENTRY'!F53,"NA"))</f>
        <v>4.9998300000000002</v>
      </c>
      <c r="D36" s="350" t="str">
        <f>IF('TECH DATA ENTRY'!L53="","",'TECH DATA ENTRY'!L53)</f>
        <v/>
      </c>
      <c r="E36" s="350" t="str">
        <f t="shared" si="0"/>
        <v/>
      </c>
      <c r="F36" s="350">
        <f>IF(B36="","",IFERROR('TECH DATA ENTRY'!G53,"NA"))</f>
        <v>5.0001699999999998</v>
      </c>
      <c r="G36" s="516" t="str">
        <f t="shared" si="1"/>
        <v/>
      </c>
      <c r="H36" s="350" t="str">
        <f>IF(OR(ISTEXT(B36)=TRUE, D36="NA",D36=""),"NA", roundsf(MAX(L36,M36),C36))</f>
        <v>NA</v>
      </c>
      <c r="I36" s="325" t="str">
        <f t="shared" si="2"/>
        <v>NA</v>
      </c>
      <c r="J36" s="299"/>
      <c r="K36" s="245"/>
      <c r="L36" s="506">
        <f t="shared" ref="L36:L39" si="31">(3/1000000)*ABS(B36)+(2.5/1000000)</f>
        <v>1.7500000000000002E-5</v>
      </c>
      <c r="M36" s="244" t="str">
        <f>UNC_CALCULATION!AM25</f>
        <v>NA</v>
      </c>
      <c r="N36" s="85"/>
      <c r="O36" s="58"/>
      <c r="P36" s="69" t="e">
        <f>IF(B36="","",INDEX('AUX TABLES'!$G$4:$K$8,AV36,AW36))</f>
        <v>#VALUE!</v>
      </c>
      <c r="Q36" s="150" t="e">
        <f>IF(AJ$11=FALSE,IF(B36="","",IF(AJ36="NA",P36,INDEX('AUX TABLES'!$G$4:$K$8,AY36,AZ36))),IF(P36="FAIL",P36,INDEX('AUX TABLES'!$G$4:$K$8,AY36,AZ36)))</f>
        <v>#VALUE!</v>
      </c>
      <c r="R36" s="150" t="e">
        <f>IF(AJ$11=FALSE,IF(B36="","",IF(AJ36="NA",P36,INDEX('AUX TABLES'!$G$4:$K$8,BB36,BC36))),IF(P36="FAIL",P36,INDEX('AUX TABLES'!$G$4:$K$8,BB36,BC36)))</f>
        <v>#VALUE!</v>
      </c>
      <c r="S36" s="69" t="e">
        <f>INDEX('AUX TABLES'!$G$4:$K$8,AM36,AN36)</f>
        <v>#VALUE!</v>
      </c>
      <c r="T36" s="69" t="e">
        <f>IF(AJ$11=FALSE,IF(AJ36="NA",S36,INDEX('AUX TABLES'!$G$4:$K$8,AP36,AQ36)),IF(S36="FAIL",S36,INDEX('AUX TABLES'!$G$4:$K$8,AP36,AQ36)))</f>
        <v>#VALUE!</v>
      </c>
      <c r="U36" s="150" t="e">
        <f>IF(AJ$11=FALSE,IF(AJ36="NA",S36,INDEX('AUX TABLES'!$G$4:$K$8,AS36,AT36)),IF(S36="FAIL",S36,INDEX('AUX TABLES'!$G$4:$K$8,AS36,AT36)))</f>
        <v>#VALUE!</v>
      </c>
      <c r="V36" s="150" t="str">
        <f t="shared" si="4"/>
        <v/>
      </c>
      <c r="W36" s="74">
        <f t="shared" si="5"/>
        <v>5.0001699999999998</v>
      </c>
      <c r="X36" s="74" t="str">
        <f t="shared" si="6"/>
        <v>NA</v>
      </c>
      <c r="Y36" s="74" t="str">
        <f t="shared" si="7"/>
        <v>NA</v>
      </c>
      <c r="Z36" s="74" t="str">
        <f t="shared" si="8"/>
        <v>NA</v>
      </c>
      <c r="AA36" s="74" t="str">
        <f t="shared" si="9"/>
        <v>NA</v>
      </c>
      <c r="AB36" s="74">
        <f t="shared" si="10"/>
        <v>4.9998300000000002</v>
      </c>
      <c r="AC36" s="69" t="str">
        <f>IF(ISTEXT('TECH DATA ENTRY'!L53)=TRUE,"NA",'TECH DATA ENTRY'!H53)</f>
        <v>NA</v>
      </c>
      <c r="AD36" s="69" t="str">
        <f t="shared" si="11"/>
        <v>NA</v>
      </c>
      <c r="AE36" s="69" t="str">
        <f t="shared" si="12"/>
        <v>NA</v>
      </c>
      <c r="AF36" s="69" t="e">
        <f t="shared" si="13"/>
        <v>#VALUE!</v>
      </c>
      <c r="AG36" s="69" t="e">
        <f t="shared" si="14"/>
        <v>#VALUE!</v>
      </c>
      <c r="AH36" s="69" t="e">
        <f t="shared" si="15"/>
        <v>#VALUE!</v>
      </c>
      <c r="AI36" s="69" t="e">
        <f t="shared" si="16"/>
        <v>#VALUE!</v>
      </c>
      <c r="AJ36" s="70" t="str">
        <f>IF(OR(ISTEXT('TECH DATA ENTRY'!L53)=TRUE,ISTEXT('TECH DATA ENTRY'!F53)=TRUE,ISTEXT('TECH DATA ENTRY'!G53)=TRUE),"NA",(W36-AB36)/(2*MAX(M36,L36)))</f>
        <v>NA</v>
      </c>
      <c r="AK36" s="69" t="str">
        <f t="shared" si="17"/>
        <v>NA</v>
      </c>
      <c r="AM36" s="73" t="e">
        <f t="shared" si="18"/>
        <v>#VALUE!</v>
      </c>
      <c r="AN36" s="73" t="e">
        <f t="shared" si="19"/>
        <v>#VALUE!</v>
      </c>
      <c r="AO36" s="87"/>
      <c r="AP36" s="73" t="e">
        <f t="shared" si="20"/>
        <v>#VALUE!</v>
      </c>
      <c r="AQ36" s="73" t="e">
        <f t="shared" si="21"/>
        <v>#VALUE!</v>
      </c>
      <c r="AR36" s="87"/>
      <c r="AS36" s="73" t="e">
        <f t="shared" si="22"/>
        <v>#VALUE!</v>
      </c>
      <c r="AT36" s="73" t="e">
        <f t="shared" si="23"/>
        <v>#VALUE!</v>
      </c>
      <c r="AV36" s="73" t="e">
        <f t="shared" si="24"/>
        <v>#VALUE!</v>
      </c>
      <c r="AW36" s="73" t="e">
        <f t="shared" si="25"/>
        <v>#VALUE!</v>
      </c>
      <c r="AX36" s="87"/>
      <c r="AY36" s="73" t="e">
        <f t="shared" si="26"/>
        <v>#VALUE!</v>
      </c>
      <c r="AZ36" s="73" t="e">
        <f t="shared" si="27"/>
        <v>#VALUE!</v>
      </c>
      <c r="BA36" s="87"/>
      <c r="BB36" s="73" t="e">
        <f t="shared" si="28"/>
        <v>#VALUE!</v>
      </c>
      <c r="BC36" s="73" t="e">
        <f t="shared" si="29"/>
        <v>#VALUE!</v>
      </c>
    </row>
    <row r="37" spans="1:55" s="86" customFormat="1" ht="25" customHeight="1">
      <c r="A37" s="499">
        <f>IF('TECH DATA ENTRY'!A54="","",'TECH DATA ENTRY'!A54)</f>
        <v>-5</v>
      </c>
      <c r="B37" s="350">
        <f>IF('TECH DATA ENTRY'!B54="","",'TECH DATA ENTRY'!B54)</f>
        <v>-5</v>
      </c>
      <c r="C37" s="350">
        <f>IF(B37="","",IFERROR('TECH DATA ENTRY'!F54,"NA"))</f>
        <v>-5.0001699999999998</v>
      </c>
      <c r="D37" s="350" t="str">
        <f>IF('TECH DATA ENTRY'!L54="","",'TECH DATA ENTRY'!L54)</f>
        <v/>
      </c>
      <c r="E37" s="350" t="str">
        <f t="shared" si="0"/>
        <v/>
      </c>
      <c r="F37" s="350">
        <f>IF(B37="","",IFERROR('TECH DATA ENTRY'!G54,"NA"))</f>
        <v>-4.9998300000000002</v>
      </c>
      <c r="G37" s="516" t="str">
        <f t="shared" si="1"/>
        <v/>
      </c>
      <c r="H37" s="350" t="str">
        <f>IF(OR(ISTEXT(B37)=TRUE, D37="NA",D37=""),"NA", roundsf(MAX(L37,M37),C37))</f>
        <v>NA</v>
      </c>
      <c r="I37" s="325" t="str">
        <f t="shared" si="2"/>
        <v>NA</v>
      </c>
      <c r="J37" s="299"/>
      <c r="K37" s="245"/>
      <c r="L37" s="506">
        <f t="shared" si="31"/>
        <v>1.7500000000000002E-5</v>
      </c>
      <c r="M37" s="244" t="str">
        <f>UNC_CALCULATION!AM26</f>
        <v>NA</v>
      </c>
      <c r="N37" s="85"/>
      <c r="O37" s="58"/>
      <c r="P37" s="69" t="e">
        <f>IF(B37="","",INDEX('AUX TABLES'!$G$4:$K$8,AV37,AW37))</f>
        <v>#VALUE!</v>
      </c>
      <c r="Q37" s="150" t="e">
        <f>IF(AJ$11=FALSE,IF(B37="","",IF(AJ37="NA",P37,INDEX('AUX TABLES'!$G$4:$K$8,AY37,AZ37))),IF(P37="FAIL",P37,INDEX('AUX TABLES'!$G$4:$K$8,AY37,AZ37)))</f>
        <v>#VALUE!</v>
      </c>
      <c r="R37" s="150" t="e">
        <f>IF(AJ$11=FALSE,IF(B37="","",IF(AJ37="NA",P37,INDEX('AUX TABLES'!$G$4:$K$8,BB37,BC37))),IF(P37="FAIL",P37,INDEX('AUX TABLES'!$G$4:$K$8,BB37,BC37)))</f>
        <v>#VALUE!</v>
      </c>
      <c r="S37" s="69" t="e">
        <f>INDEX('AUX TABLES'!$G$4:$K$8,AM37,AN37)</f>
        <v>#VALUE!</v>
      </c>
      <c r="T37" s="69" t="e">
        <f>IF(AJ$11=FALSE,IF(AJ37="NA",S37,INDEX('AUX TABLES'!$G$4:$K$8,AP37,AQ37)),IF(S37="FAIL",S37,INDEX('AUX TABLES'!$G$4:$K$8,AP37,AQ37)))</f>
        <v>#VALUE!</v>
      </c>
      <c r="U37" s="150" t="e">
        <f>IF(AJ$11=FALSE,IF(AJ37="NA",S37,INDEX('AUX TABLES'!$G$4:$K$8,AS37,AT37)),IF(S37="FAIL",S37,INDEX('AUX TABLES'!$G$4:$K$8,AS37,AT37)))</f>
        <v>#VALUE!</v>
      </c>
      <c r="V37" s="150" t="str">
        <f t="shared" si="4"/>
        <v/>
      </c>
      <c r="W37" s="74">
        <f t="shared" si="5"/>
        <v>-4.9998300000000002</v>
      </c>
      <c r="X37" s="74" t="str">
        <f t="shared" si="6"/>
        <v>NA</v>
      </c>
      <c r="Y37" s="74" t="str">
        <f t="shared" si="7"/>
        <v>NA</v>
      </c>
      <c r="Z37" s="74" t="str">
        <f t="shared" si="8"/>
        <v>NA</v>
      </c>
      <c r="AA37" s="74" t="str">
        <f t="shared" si="9"/>
        <v>NA</v>
      </c>
      <c r="AB37" s="74">
        <f t="shared" si="10"/>
        <v>-5.0001699999999998</v>
      </c>
      <c r="AC37" s="69" t="str">
        <f>IF(ISTEXT('TECH DATA ENTRY'!L54)=TRUE,"NA",'TECH DATA ENTRY'!H54)</f>
        <v>NA</v>
      </c>
      <c r="AD37" s="69" t="str">
        <f t="shared" si="11"/>
        <v>NA</v>
      </c>
      <c r="AE37" s="69" t="str">
        <f t="shared" si="12"/>
        <v>NA</v>
      </c>
      <c r="AF37" s="69" t="e">
        <f t="shared" si="13"/>
        <v>#VALUE!</v>
      </c>
      <c r="AG37" s="69" t="e">
        <f t="shared" si="14"/>
        <v>#VALUE!</v>
      </c>
      <c r="AH37" s="69" t="e">
        <f t="shared" si="15"/>
        <v>#VALUE!</v>
      </c>
      <c r="AI37" s="69" t="e">
        <f t="shared" si="16"/>
        <v>#VALUE!</v>
      </c>
      <c r="AJ37" s="70" t="str">
        <f>IF(OR(ISTEXT('TECH DATA ENTRY'!L54)=TRUE,ISTEXT('TECH DATA ENTRY'!F54)=TRUE,ISTEXT('TECH DATA ENTRY'!G54)=TRUE),"NA",(W37-AB37)/(2*MAX(M37,L37)))</f>
        <v>NA</v>
      </c>
      <c r="AK37" s="69" t="str">
        <f t="shared" si="17"/>
        <v>NA</v>
      </c>
      <c r="AM37" s="73" t="e">
        <f t="shared" si="18"/>
        <v>#VALUE!</v>
      </c>
      <c r="AN37" s="73" t="e">
        <f t="shared" si="19"/>
        <v>#VALUE!</v>
      </c>
      <c r="AO37" s="87"/>
      <c r="AP37" s="73" t="e">
        <f t="shared" si="20"/>
        <v>#VALUE!</v>
      </c>
      <c r="AQ37" s="73" t="e">
        <f t="shared" si="21"/>
        <v>#VALUE!</v>
      </c>
      <c r="AR37" s="87"/>
      <c r="AS37" s="73" t="e">
        <f t="shared" si="22"/>
        <v>#VALUE!</v>
      </c>
      <c r="AT37" s="73" t="e">
        <f t="shared" si="23"/>
        <v>#VALUE!</v>
      </c>
      <c r="AV37" s="73" t="e">
        <f t="shared" si="24"/>
        <v>#VALUE!</v>
      </c>
      <c r="AW37" s="73" t="e">
        <f t="shared" si="25"/>
        <v>#VALUE!</v>
      </c>
      <c r="AX37" s="87"/>
      <c r="AY37" s="73" t="e">
        <f t="shared" si="26"/>
        <v>#VALUE!</v>
      </c>
      <c r="AZ37" s="73" t="e">
        <f t="shared" si="27"/>
        <v>#VALUE!</v>
      </c>
      <c r="BA37" s="87"/>
      <c r="BB37" s="73" t="e">
        <f t="shared" si="28"/>
        <v>#VALUE!</v>
      </c>
      <c r="BC37" s="73" t="e">
        <f t="shared" si="29"/>
        <v>#VALUE!</v>
      </c>
    </row>
    <row r="38" spans="1:55" s="86" customFormat="1" ht="25" customHeight="1">
      <c r="A38" s="499">
        <f>IF('TECH DATA ENTRY'!A55="","",'TECH DATA ENTRY'!A55)</f>
        <v>10</v>
      </c>
      <c r="B38" s="350">
        <f>IF('TECH DATA ENTRY'!B55="","",'TECH DATA ENTRY'!B55)</f>
        <v>10</v>
      </c>
      <c r="C38" s="350">
        <f>IF(B38="","",IFERROR('TECH DATA ENTRY'!F55,"NA"))</f>
        <v>9.9997100000000003</v>
      </c>
      <c r="D38" s="350" t="str">
        <f>IF('TECH DATA ENTRY'!L55="","",'TECH DATA ENTRY'!L55)</f>
        <v/>
      </c>
      <c r="E38" s="350" t="str">
        <f t="shared" si="0"/>
        <v/>
      </c>
      <c r="F38" s="350">
        <f>IF(B38="","",IFERROR('TECH DATA ENTRY'!G55,"NA"))</f>
        <v>10.00029</v>
      </c>
      <c r="G38" s="516" t="str">
        <f t="shared" si="1"/>
        <v/>
      </c>
      <c r="H38" s="350" t="str">
        <f>IF(OR(ISTEXT(B38)=TRUE, D38="NA",D38=""),"NA", roundsf(MAX(L38,M38),C38))</f>
        <v>NA</v>
      </c>
      <c r="I38" s="325" t="str">
        <f t="shared" si="2"/>
        <v>NA</v>
      </c>
      <c r="J38" s="299"/>
      <c r="K38" s="245"/>
      <c r="L38" s="506">
        <f t="shared" si="31"/>
        <v>3.2500000000000004E-5</v>
      </c>
      <c r="M38" s="244" t="str">
        <f>UNC_CALCULATION!AM27</f>
        <v>NA</v>
      </c>
      <c r="N38" s="85"/>
      <c r="O38" s="58"/>
      <c r="P38" s="69" t="e">
        <f>IF(B38="","",INDEX('AUX TABLES'!$G$4:$K$8,AV38,AW38))</f>
        <v>#VALUE!</v>
      </c>
      <c r="Q38" s="150" t="e">
        <f>IF(AJ$11=FALSE,IF(B38="","",IF(AJ38="NA",P38,INDEX('AUX TABLES'!$G$4:$K$8,AY38,AZ38))),IF(P38="FAIL",P38,INDEX('AUX TABLES'!$G$4:$K$8,AY38,AZ38)))</f>
        <v>#VALUE!</v>
      </c>
      <c r="R38" s="150" t="e">
        <f>IF(AJ$11=FALSE,IF(B38="","",IF(AJ38="NA",P38,INDEX('AUX TABLES'!$G$4:$K$8,BB38,BC38))),IF(P38="FAIL",P38,INDEX('AUX TABLES'!$G$4:$K$8,BB38,BC38)))</f>
        <v>#VALUE!</v>
      </c>
      <c r="S38" s="69" t="e">
        <f>INDEX('AUX TABLES'!$G$4:$K$8,AM38,AN38)</f>
        <v>#VALUE!</v>
      </c>
      <c r="T38" s="69" t="e">
        <f>IF(AJ$11=FALSE,IF(AJ38="NA",S38,INDEX('AUX TABLES'!$G$4:$K$8,AP38,AQ38)),IF(S38="FAIL",S38,INDEX('AUX TABLES'!$G$4:$K$8,AP38,AQ38)))</f>
        <v>#VALUE!</v>
      </c>
      <c r="U38" s="150" t="e">
        <f>IF(AJ$11=FALSE,IF(AJ38="NA",S38,INDEX('AUX TABLES'!$G$4:$K$8,AS38,AT38)),IF(S38="FAIL",S38,INDEX('AUX TABLES'!$G$4:$K$8,AS38,AT38)))</f>
        <v>#VALUE!</v>
      </c>
      <c r="V38" s="150" t="str">
        <f t="shared" si="4"/>
        <v/>
      </c>
      <c r="W38" s="74">
        <f t="shared" si="5"/>
        <v>10.00029</v>
      </c>
      <c r="X38" s="74" t="str">
        <f t="shared" si="6"/>
        <v>NA</v>
      </c>
      <c r="Y38" s="74" t="str">
        <f t="shared" si="7"/>
        <v>NA</v>
      </c>
      <c r="Z38" s="74" t="str">
        <f t="shared" si="8"/>
        <v>NA</v>
      </c>
      <c r="AA38" s="74" t="str">
        <f t="shared" si="9"/>
        <v>NA</v>
      </c>
      <c r="AB38" s="74">
        <f t="shared" si="10"/>
        <v>9.9997100000000003</v>
      </c>
      <c r="AC38" s="69" t="str">
        <f>IF(ISTEXT('TECH DATA ENTRY'!L55)=TRUE,"NA",'TECH DATA ENTRY'!H55)</f>
        <v>NA</v>
      </c>
      <c r="AD38" s="69" t="str">
        <f t="shared" si="11"/>
        <v>NA</v>
      </c>
      <c r="AE38" s="69" t="str">
        <f t="shared" si="12"/>
        <v>NA</v>
      </c>
      <c r="AF38" s="69" t="e">
        <f t="shared" si="13"/>
        <v>#VALUE!</v>
      </c>
      <c r="AG38" s="69" t="e">
        <f t="shared" si="14"/>
        <v>#VALUE!</v>
      </c>
      <c r="AH38" s="69" t="e">
        <f t="shared" si="15"/>
        <v>#VALUE!</v>
      </c>
      <c r="AI38" s="69" t="e">
        <f t="shared" si="16"/>
        <v>#VALUE!</v>
      </c>
      <c r="AJ38" s="70" t="str">
        <f>IF(OR(ISTEXT('TECH DATA ENTRY'!L55)=TRUE,ISTEXT('TECH DATA ENTRY'!F55)=TRUE,ISTEXT('TECH DATA ENTRY'!G55)=TRUE),"NA",(W38-AB38)/(2*MAX(M38,L38)))</f>
        <v>NA</v>
      </c>
      <c r="AK38" s="69" t="str">
        <f t="shared" si="17"/>
        <v>NA</v>
      </c>
      <c r="AM38" s="73" t="e">
        <f t="shared" si="18"/>
        <v>#VALUE!</v>
      </c>
      <c r="AN38" s="73" t="e">
        <f t="shared" si="19"/>
        <v>#VALUE!</v>
      </c>
      <c r="AO38" s="87"/>
      <c r="AP38" s="73" t="e">
        <f t="shared" si="20"/>
        <v>#VALUE!</v>
      </c>
      <c r="AQ38" s="73" t="e">
        <f t="shared" si="21"/>
        <v>#VALUE!</v>
      </c>
      <c r="AR38" s="87"/>
      <c r="AS38" s="73" t="e">
        <f t="shared" si="22"/>
        <v>#VALUE!</v>
      </c>
      <c r="AT38" s="73" t="e">
        <f t="shared" si="23"/>
        <v>#VALUE!</v>
      </c>
      <c r="AV38" s="73" t="e">
        <f t="shared" si="24"/>
        <v>#VALUE!</v>
      </c>
      <c r="AW38" s="73" t="e">
        <f t="shared" si="25"/>
        <v>#VALUE!</v>
      </c>
      <c r="AX38" s="87"/>
      <c r="AY38" s="73" t="e">
        <f t="shared" si="26"/>
        <v>#VALUE!</v>
      </c>
      <c r="AZ38" s="73" t="e">
        <f t="shared" si="27"/>
        <v>#VALUE!</v>
      </c>
      <c r="BA38" s="87"/>
      <c r="BB38" s="73" t="e">
        <f t="shared" si="28"/>
        <v>#VALUE!</v>
      </c>
      <c r="BC38" s="73" t="e">
        <f t="shared" si="29"/>
        <v>#VALUE!</v>
      </c>
    </row>
    <row r="39" spans="1:55" s="86" customFormat="1" ht="25" customHeight="1" thickBot="1">
      <c r="A39" s="500">
        <f>IF('TECH DATA ENTRY'!A56="","",'TECH DATA ENTRY'!A56)</f>
        <v>-10</v>
      </c>
      <c r="B39" s="501">
        <f>IF('TECH DATA ENTRY'!B56="","",'TECH DATA ENTRY'!B56)</f>
        <v>-10</v>
      </c>
      <c r="C39" s="501">
        <f>IF(B39="","",IFERROR('TECH DATA ENTRY'!F56,"NA"))</f>
        <v>-10.00029</v>
      </c>
      <c r="D39" s="501" t="str">
        <f>IF('TECH DATA ENTRY'!L56="","",'TECH DATA ENTRY'!L56)</f>
        <v/>
      </c>
      <c r="E39" s="501" t="str">
        <f t="shared" si="0"/>
        <v/>
      </c>
      <c r="F39" s="501">
        <f>IF(B39="","",IFERROR('TECH DATA ENTRY'!G56,"NA"))</f>
        <v>-9.9997100000000003</v>
      </c>
      <c r="G39" s="517" t="str">
        <f t="shared" si="1"/>
        <v/>
      </c>
      <c r="H39" s="501" t="str">
        <f>IF(OR(ISTEXT(B39)=TRUE, D39="NA",D39=""),"NA", roundsf(MAX(L39,M39),C39))</f>
        <v>NA</v>
      </c>
      <c r="I39" s="486" t="str">
        <f t="shared" si="2"/>
        <v>NA</v>
      </c>
      <c r="J39" s="299"/>
      <c r="K39" s="245"/>
      <c r="L39" s="506">
        <f t="shared" si="31"/>
        <v>3.2500000000000004E-5</v>
      </c>
      <c r="M39" s="244" t="str">
        <f>UNC_CALCULATION!AM28</f>
        <v>NA</v>
      </c>
      <c r="N39" s="85"/>
      <c r="O39" s="58"/>
      <c r="P39" s="69" t="e">
        <f>IF(B39="","",INDEX('AUX TABLES'!$G$4:$K$8,AV39,AW39))</f>
        <v>#VALUE!</v>
      </c>
      <c r="Q39" s="150" t="e">
        <f>IF(AJ$11=FALSE,IF(B39="","",IF(AJ39="NA",P39,INDEX('AUX TABLES'!$G$4:$K$8,AY39,AZ39))),IF(P39="FAIL",P39,INDEX('AUX TABLES'!$G$4:$K$8,AY39,AZ39)))</f>
        <v>#VALUE!</v>
      </c>
      <c r="R39" s="150" t="e">
        <f>IF(AJ$11=FALSE,IF(B39="","",IF(AJ39="NA",P39,INDEX('AUX TABLES'!$G$4:$K$8,BB39,BC39))),IF(P39="FAIL",P39,INDEX('AUX TABLES'!$G$4:$K$8,BB39,BC39)))</f>
        <v>#VALUE!</v>
      </c>
      <c r="S39" s="69" t="e">
        <f>INDEX('AUX TABLES'!$G$4:$K$8,AM39,AN39)</f>
        <v>#VALUE!</v>
      </c>
      <c r="T39" s="69" t="e">
        <f>IF(AJ$11=FALSE,IF(AJ39="NA",S39,INDEX('AUX TABLES'!$G$4:$K$8,AP39,AQ39)),IF(S39="FAIL",S39,INDEX('AUX TABLES'!$G$4:$K$8,AP39,AQ39)))</f>
        <v>#VALUE!</v>
      </c>
      <c r="U39" s="150" t="e">
        <f>IF(AJ$11=FALSE,IF(AJ39="NA",S39,INDEX('AUX TABLES'!$G$4:$K$8,AS39,AT39)),IF(S39="FAIL",S39,INDEX('AUX TABLES'!$G$4:$K$8,AS39,AT39)))</f>
        <v>#VALUE!</v>
      </c>
      <c r="V39" s="150" t="str">
        <f t="shared" si="4"/>
        <v/>
      </c>
      <c r="W39" s="74">
        <f t="shared" si="5"/>
        <v>-9.9997100000000003</v>
      </c>
      <c r="X39" s="74" t="str">
        <f t="shared" si="6"/>
        <v>NA</v>
      </c>
      <c r="Y39" s="74" t="str">
        <f t="shared" si="7"/>
        <v>NA</v>
      </c>
      <c r="Z39" s="74" t="str">
        <f t="shared" si="8"/>
        <v>NA</v>
      </c>
      <c r="AA39" s="74" t="str">
        <f t="shared" si="9"/>
        <v>NA</v>
      </c>
      <c r="AB39" s="74">
        <f t="shared" si="10"/>
        <v>-10.00029</v>
      </c>
      <c r="AC39" s="69" t="str">
        <f>IF(ISTEXT('TECH DATA ENTRY'!L56)=TRUE,"NA",'TECH DATA ENTRY'!H56)</f>
        <v>NA</v>
      </c>
      <c r="AD39" s="69" t="str">
        <f t="shared" si="11"/>
        <v>NA</v>
      </c>
      <c r="AE39" s="69" t="str">
        <f t="shared" si="12"/>
        <v>NA</v>
      </c>
      <c r="AF39" s="69" t="e">
        <f t="shared" si="13"/>
        <v>#VALUE!</v>
      </c>
      <c r="AG39" s="69" t="e">
        <f t="shared" si="14"/>
        <v>#VALUE!</v>
      </c>
      <c r="AH39" s="69" t="e">
        <f t="shared" si="15"/>
        <v>#VALUE!</v>
      </c>
      <c r="AI39" s="69" t="e">
        <f t="shared" si="16"/>
        <v>#VALUE!</v>
      </c>
      <c r="AJ39" s="70" t="str">
        <f>IF(OR(ISTEXT('TECH DATA ENTRY'!L56)=TRUE,ISTEXT('TECH DATA ENTRY'!F56)=TRUE,ISTEXT('TECH DATA ENTRY'!G56)=TRUE),"NA",(W39-AB39)/(2*MAX(M39,L39)))</f>
        <v>NA</v>
      </c>
      <c r="AK39" s="69" t="str">
        <f t="shared" si="17"/>
        <v>NA</v>
      </c>
      <c r="AM39" s="73" t="e">
        <f t="shared" si="18"/>
        <v>#VALUE!</v>
      </c>
      <c r="AN39" s="73" t="e">
        <f t="shared" si="19"/>
        <v>#VALUE!</v>
      </c>
      <c r="AO39" s="87"/>
      <c r="AP39" s="73" t="e">
        <f t="shared" si="20"/>
        <v>#VALUE!</v>
      </c>
      <c r="AQ39" s="73" t="e">
        <f t="shared" si="21"/>
        <v>#VALUE!</v>
      </c>
      <c r="AR39" s="87"/>
      <c r="AS39" s="73" t="e">
        <f t="shared" si="22"/>
        <v>#VALUE!</v>
      </c>
      <c r="AT39" s="73" t="e">
        <f t="shared" si="23"/>
        <v>#VALUE!</v>
      </c>
      <c r="AV39" s="73" t="e">
        <f t="shared" si="24"/>
        <v>#VALUE!</v>
      </c>
      <c r="AW39" s="73" t="e">
        <f t="shared" si="25"/>
        <v>#VALUE!</v>
      </c>
      <c r="AX39" s="87"/>
      <c r="AY39" s="73" t="e">
        <f t="shared" si="26"/>
        <v>#VALUE!</v>
      </c>
      <c r="AZ39" s="73" t="e">
        <f t="shared" si="27"/>
        <v>#VALUE!</v>
      </c>
      <c r="BA39" s="87"/>
      <c r="BB39" s="73" t="e">
        <f t="shared" si="28"/>
        <v>#VALUE!</v>
      </c>
      <c r="BC39" s="73" t="e">
        <f t="shared" si="29"/>
        <v>#VALUE!</v>
      </c>
    </row>
    <row r="40" spans="1:55" s="296" customFormat="1" ht="28.15" customHeight="1">
      <c r="A40" s="550" t="str">
        <f>IF('TECH DATA ENTRY'!A57="","",'TECH DATA ENTRY'!A57)</f>
        <v/>
      </c>
      <c r="B40" s="551"/>
      <c r="C40" s="552"/>
      <c r="D40" s="551"/>
      <c r="E40" s="551"/>
      <c r="F40" s="551"/>
      <c r="G40" s="552"/>
      <c r="H40" s="551"/>
      <c r="I40" s="553"/>
      <c r="J40" s="224"/>
      <c r="K40" s="224"/>
      <c r="L40" s="224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AK40" s="297"/>
    </row>
    <row r="41" spans="1:55" s="31" customFormat="1" ht="22.15" customHeight="1">
      <c r="A41" s="76" t="str">
        <f>IF('TECH DATA ENTRY'!A58="","",'TECH DATA ENTRY'!A58)</f>
        <v>Range: 100 V</v>
      </c>
      <c r="H41" s="321"/>
      <c r="O41" s="77"/>
      <c r="AK41" s="1"/>
      <c r="AM41" s="637" t="s">
        <v>116</v>
      </c>
      <c r="AN41" s="637"/>
      <c r="AO41" s="637"/>
      <c r="AP41" s="637"/>
      <c r="AQ41" s="637"/>
      <c r="AR41" s="637"/>
      <c r="AS41" s="637"/>
      <c r="AT41" s="637"/>
      <c r="AV41" s="637" t="s">
        <v>117</v>
      </c>
      <c r="AW41" s="637"/>
      <c r="AX41" s="637"/>
      <c r="AY41" s="637"/>
      <c r="AZ41" s="637"/>
      <c r="BA41" s="637"/>
      <c r="BB41" s="637"/>
      <c r="BC41" s="637"/>
    </row>
    <row r="42" spans="1:55" s="225" customFormat="1" ht="4.9000000000000004" customHeight="1" thickBot="1">
      <c r="A42" s="288" t="str">
        <f>IF('TECH DATA ENTRY'!A59="","",'TECH DATA ENTRY'!A59)</f>
        <v/>
      </c>
      <c r="K42" s="239"/>
      <c r="L42" s="239"/>
      <c r="AK42" s="240"/>
    </row>
    <row r="43" spans="1:55" s="285" customFormat="1" ht="20.149999999999999" customHeight="1">
      <c r="A43" s="644" t="str">
        <f>IF('TECH DATA ENTRY'!A60="","",'TECH DATA ENTRY'!A60)</f>
        <v>Applied</v>
      </c>
      <c r="B43" s="646" t="str">
        <f>IF('TECH DATA ENTRY'!B60="","",'TECH DATA ENTRY'!B60)</f>
        <v>Nominal</v>
      </c>
      <c r="C43" s="648" t="s">
        <v>2</v>
      </c>
      <c r="D43" s="648" t="str">
        <f>IF(LEFT(P$11,3)="ROV", "Measured Value", "As Found")</f>
        <v>As Found</v>
      </c>
      <c r="E43" s="648" t="str">
        <f>IF(LEFT(P$11,3)="ROV", "Correction", "As Left")</f>
        <v>As Left</v>
      </c>
      <c r="F43" s="648" t="s">
        <v>3</v>
      </c>
      <c r="G43" s="653" t="s">
        <v>4</v>
      </c>
      <c r="H43" s="659" t="s">
        <v>30</v>
      </c>
      <c r="I43" s="661" t="s">
        <v>28</v>
      </c>
      <c r="J43" s="284"/>
      <c r="L43" s="658" t="s">
        <v>38</v>
      </c>
      <c r="M43" s="616" t="s">
        <v>31</v>
      </c>
      <c r="N43" s="281"/>
      <c r="O43" s="286"/>
      <c r="P43" s="640" t="s">
        <v>136</v>
      </c>
      <c r="Q43" s="641"/>
      <c r="R43" s="642"/>
      <c r="S43" s="638" t="s">
        <v>115</v>
      </c>
      <c r="T43" s="638"/>
      <c r="U43" s="638"/>
      <c r="V43" s="638"/>
      <c r="W43" s="640" t="s">
        <v>64</v>
      </c>
      <c r="X43" s="641"/>
      <c r="Y43" s="641"/>
      <c r="Z43" s="641"/>
      <c r="AA43" s="641"/>
      <c r="AB43" s="642"/>
      <c r="AC43" s="638" t="s">
        <v>97</v>
      </c>
      <c r="AD43" s="638"/>
      <c r="AE43" s="638"/>
      <c r="AF43" s="638" t="s">
        <v>127</v>
      </c>
      <c r="AG43" s="638"/>
      <c r="AH43" s="638" t="s">
        <v>128</v>
      </c>
      <c r="AI43" s="638"/>
      <c r="AJ43" s="638" t="s">
        <v>28</v>
      </c>
      <c r="AK43" s="638" t="s">
        <v>121</v>
      </c>
      <c r="AL43" s="308"/>
      <c r="AM43" s="639" t="s">
        <v>122</v>
      </c>
      <c r="AN43" s="639"/>
      <c r="AO43" s="308"/>
      <c r="AP43" s="639" t="s">
        <v>119</v>
      </c>
      <c r="AQ43" s="639"/>
      <c r="AR43" s="308"/>
      <c r="AS43" s="639" t="s">
        <v>120</v>
      </c>
      <c r="AT43" s="639"/>
      <c r="AU43" s="308"/>
      <c r="AV43" s="639" t="s">
        <v>122</v>
      </c>
      <c r="AW43" s="639"/>
      <c r="AX43" s="308"/>
      <c r="AY43" s="639" t="s">
        <v>119</v>
      </c>
      <c r="AZ43" s="639"/>
      <c r="BA43" s="308"/>
      <c r="BB43" s="639" t="s">
        <v>120</v>
      </c>
      <c r="BC43" s="639"/>
    </row>
    <row r="44" spans="1:55" s="285" customFormat="1" ht="20.149999999999999" customHeight="1" thickBot="1">
      <c r="A44" s="645"/>
      <c r="B44" s="647"/>
      <c r="C44" s="649"/>
      <c r="D44" s="649"/>
      <c r="E44" s="649"/>
      <c r="F44" s="649"/>
      <c r="G44" s="654"/>
      <c r="H44" s="660"/>
      <c r="I44" s="662"/>
      <c r="J44" s="284"/>
      <c r="L44" s="649"/>
      <c r="M44" s="617"/>
      <c r="O44" s="281"/>
      <c r="P44" s="309" t="s">
        <v>122</v>
      </c>
      <c r="Q44" s="309" t="s">
        <v>119</v>
      </c>
      <c r="R44" s="309" t="s">
        <v>120</v>
      </c>
      <c r="S44" s="309" t="s">
        <v>122</v>
      </c>
      <c r="T44" s="309" t="s">
        <v>119</v>
      </c>
      <c r="U44" s="309" t="s">
        <v>120</v>
      </c>
      <c r="V44" s="309" t="s">
        <v>118</v>
      </c>
      <c r="W44" s="309" t="s">
        <v>63</v>
      </c>
      <c r="X44" s="309" t="s">
        <v>69</v>
      </c>
      <c r="Y44" s="309" t="s">
        <v>71</v>
      </c>
      <c r="Z44" s="309" t="s">
        <v>72</v>
      </c>
      <c r="AA44" s="309" t="s">
        <v>70</v>
      </c>
      <c r="AB44" s="309" t="s">
        <v>75</v>
      </c>
      <c r="AC44" s="309" t="s">
        <v>78</v>
      </c>
      <c r="AD44" s="309" t="s">
        <v>119</v>
      </c>
      <c r="AE44" s="309" t="s">
        <v>120</v>
      </c>
      <c r="AF44" s="309" t="s">
        <v>129</v>
      </c>
      <c r="AG44" s="309" t="s">
        <v>130</v>
      </c>
      <c r="AH44" s="309" t="s">
        <v>129</v>
      </c>
      <c r="AI44" s="309" t="s">
        <v>130</v>
      </c>
      <c r="AJ44" s="652"/>
      <c r="AK44" s="652"/>
      <c r="AL44" s="308"/>
      <c r="AM44" s="310" t="s">
        <v>67</v>
      </c>
      <c r="AN44" s="310" t="s">
        <v>68</v>
      </c>
      <c r="AO44" s="308"/>
      <c r="AP44" s="310" t="s">
        <v>67</v>
      </c>
      <c r="AQ44" s="310" t="s">
        <v>68</v>
      </c>
      <c r="AR44" s="308"/>
      <c r="AS44" s="310" t="s">
        <v>67</v>
      </c>
      <c r="AT44" s="310" t="s">
        <v>68</v>
      </c>
      <c r="AU44" s="308"/>
      <c r="AV44" s="310" t="s">
        <v>67</v>
      </c>
      <c r="AW44" s="310" t="s">
        <v>68</v>
      </c>
      <c r="AX44" s="308"/>
      <c r="AY44" s="310" t="s">
        <v>67</v>
      </c>
      <c r="AZ44" s="310" t="s">
        <v>68</v>
      </c>
      <c r="BA44" s="308"/>
      <c r="BB44" s="310" t="s">
        <v>67</v>
      </c>
      <c r="BC44" s="310" t="s">
        <v>68</v>
      </c>
    </row>
    <row r="45" spans="1:55" s="86" customFormat="1" ht="25" customHeight="1" thickTop="1">
      <c r="A45" s="499">
        <f>IF('TECH DATA ENTRY'!A62="","",'TECH DATA ENTRY'!A62)</f>
        <v>0</v>
      </c>
      <c r="B45" s="355">
        <f>IF('TECH DATA ENTRY'!B62="","",'TECH DATA ENTRY'!B62)</f>
        <v>0</v>
      </c>
      <c r="C45" s="355">
        <f>IF(B45="","",IFERROR('TECH DATA ENTRY'!F62,"NA"))</f>
        <v>-5.9999999999999995E-4</v>
      </c>
      <c r="D45" s="355" t="str">
        <f>IF('TECH DATA ENTRY'!L62="","",'TECH DATA ENTRY'!L62)</f>
        <v/>
      </c>
      <c r="E45" s="355" t="str">
        <f t="shared" si="0"/>
        <v/>
      </c>
      <c r="F45" s="355">
        <f>IF(B45="","",IFERROR('TECH DATA ENTRY'!G62,"NA"))</f>
        <v>5.9999999999999995E-4</v>
      </c>
      <c r="G45" s="518" t="str">
        <f t="shared" si="1"/>
        <v/>
      </c>
      <c r="H45" s="355" t="str">
        <f>IF(OR(ISTEXT(B45)=TRUE, D45="NA",D45=""),"NA", roundsf(MAX(L45,M45),C45))</f>
        <v>NA</v>
      </c>
      <c r="I45" s="325" t="str">
        <f t="shared" si="2"/>
        <v>NA</v>
      </c>
      <c r="J45" s="299"/>
      <c r="K45" s="245"/>
      <c r="L45" s="506">
        <f>(9.1/1000000)*ABS(B45)+(40/1000000)</f>
        <v>4.0000000000000003E-5</v>
      </c>
      <c r="M45" s="244" t="str">
        <f>UNC_CALCULATION!AM34</f>
        <v>NA</v>
      </c>
      <c r="N45" s="85"/>
      <c r="O45" s="58"/>
      <c r="P45" s="69" t="e">
        <f>IF(B45="","",INDEX('AUX TABLES'!$G$4:$K$8,AV45,AW45))</f>
        <v>#VALUE!</v>
      </c>
      <c r="Q45" s="150" t="e">
        <f>IF(AJ$11=FALSE,IF(B45="","",IF(AJ45="NA",P45,INDEX('AUX TABLES'!$G$4:$K$8,AY45,AZ45))),IF(P45="FAIL",P45,INDEX('AUX TABLES'!$G$4:$K$8,AY45,AZ45)))</f>
        <v>#VALUE!</v>
      </c>
      <c r="R45" s="150" t="e">
        <f>IF(AJ$11=FALSE,IF(B45="","",IF(AJ45="NA",P45,INDEX('AUX TABLES'!$G$4:$K$8,BB45,BC45))),IF(P45="FAIL",P45,INDEX('AUX TABLES'!$G$4:$K$8,BB45,BC45)))</f>
        <v>#VALUE!</v>
      </c>
      <c r="S45" s="69" t="e">
        <f>INDEX('AUX TABLES'!$G$4:$K$8,AM45,AN45)</f>
        <v>#VALUE!</v>
      </c>
      <c r="T45" s="69" t="e">
        <f>IF(AJ$11=FALSE,IF(AJ45="NA",S45,INDEX('AUX TABLES'!$G$4:$K$8,AP45,AQ45)),IF(S45="FAIL",S45,INDEX('AUX TABLES'!$G$4:$K$8,AP45,AQ45)))</f>
        <v>#VALUE!</v>
      </c>
      <c r="U45" s="150" t="e">
        <f>IF(AJ$11=FALSE,IF(AJ45="NA",S45,INDEX('AUX TABLES'!$G$4:$K$8,AS45,AT45)),IF(S45="FAIL",S45,INDEX('AUX TABLES'!$G$4:$K$8,AS45,AT45)))</f>
        <v>#VALUE!</v>
      </c>
      <c r="V45" s="150" t="str">
        <f t="shared" si="4"/>
        <v/>
      </c>
      <c r="W45" s="74">
        <f t="shared" si="5"/>
        <v>5.9999999999999995E-4</v>
      </c>
      <c r="X45" s="74" t="str">
        <f t="shared" si="6"/>
        <v>NA</v>
      </c>
      <c r="Y45" s="74" t="str">
        <f t="shared" si="7"/>
        <v>NA</v>
      </c>
      <c r="Z45" s="74" t="str">
        <f t="shared" si="8"/>
        <v>NA</v>
      </c>
      <c r="AA45" s="74" t="str">
        <f t="shared" si="9"/>
        <v>NA</v>
      </c>
      <c r="AB45" s="74">
        <f t="shared" si="10"/>
        <v>-5.9999999999999995E-4</v>
      </c>
      <c r="AC45" s="69" t="str">
        <f>IF(ISTEXT('TECH DATA ENTRY'!L62)=TRUE,"NA",'TECH DATA ENTRY'!H62)</f>
        <v>NA</v>
      </c>
      <c r="AD45" s="69" t="str">
        <f t="shared" si="11"/>
        <v>NA</v>
      </c>
      <c r="AE45" s="69" t="str">
        <f t="shared" si="12"/>
        <v>NA</v>
      </c>
      <c r="AF45" s="69" t="e">
        <f t="shared" si="13"/>
        <v>#VALUE!</v>
      </c>
      <c r="AG45" s="69" t="e">
        <f t="shared" si="14"/>
        <v>#VALUE!</v>
      </c>
      <c r="AH45" s="69" t="e">
        <f t="shared" si="15"/>
        <v>#VALUE!</v>
      </c>
      <c r="AI45" s="69" t="e">
        <f t="shared" si="16"/>
        <v>#VALUE!</v>
      </c>
      <c r="AJ45" s="70" t="str">
        <f>IF(OR(ISTEXT('TECH DATA ENTRY'!L62)=TRUE,ISTEXT('TECH DATA ENTRY'!F62)=TRUE,ISTEXT('TECH DATA ENTRY'!G62)=TRUE),"NA",(W45-AB45)/(2*MAX(M45,L45)))</f>
        <v>NA</v>
      </c>
      <c r="AK45" s="69" t="str">
        <f t="shared" si="17"/>
        <v>NA</v>
      </c>
      <c r="AM45" s="73" t="e">
        <f t="shared" si="18"/>
        <v>#VALUE!</v>
      </c>
      <c r="AN45" s="73" t="e">
        <f t="shared" si="19"/>
        <v>#VALUE!</v>
      </c>
      <c r="AO45" s="87"/>
      <c r="AP45" s="73" t="e">
        <f t="shared" si="20"/>
        <v>#VALUE!</v>
      </c>
      <c r="AQ45" s="73" t="e">
        <f t="shared" si="21"/>
        <v>#VALUE!</v>
      </c>
      <c r="AR45" s="87"/>
      <c r="AS45" s="73" t="e">
        <f t="shared" si="22"/>
        <v>#VALUE!</v>
      </c>
      <c r="AT45" s="73" t="e">
        <f t="shared" si="23"/>
        <v>#VALUE!</v>
      </c>
      <c r="AV45" s="73" t="e">
        <f t="shared" si="24"/>
        <v>#VALUE!</v>
      </c>
      <c r="AW45" s="73" t="e">
        <f t="shared" si="25"/>
        <v>#VALUE!</v>
      </c>
      <c r="AX45" s="87"/>
      <c r="AY45" s="73" t="e">
        <f t="shared" si="26"/>
        <v>#VALUE!</v>
      </c>
      <c r="AZ45" s="73" t="e">
        <f t="shared" si="27"/>
        <v>#VALUE!</v>
      </c>
      <c r="BA45" s="87"/>
      <c r="BB45" s="73" t="e">
        <f t="shared" si="28"/>
        <v>#VALUE!</v>
      </c>
      <c r="BC45" s="73" t="e">
        <f t="shared" si="29"/>
        <v>#VALUE!</v>
      </c>
    </row>
    <row r="46" spans="1:55" s="86" customFormat="1" ht="25" customHeight="1">
      <c r="A46" s="499">
        <f>IF('TECH DATA ENTRY'!A63="","",'TECH DATA ENTRY'!A63)</f>
        <v>100</v>
      </c>
      <c r="B46" s="355">
        <f>IF('TECH DATA ENTRY'!B63="","",'TECH DATA ENTRY'!B63)</f>
        <v>100</v>
      </c>
      <c r="C46" s="355">
        <f>IF(B46="","",IFERROR('TECH DATA ENTRY'!F63,"NA"))</f>
        <v>99.995599999999996</v>
      </c>
      <c r="D46" s="355" t="str">
        <f>IF('TECH DATA ENTRY'!L63="","",'TECH DATA ENTRY'!L63)</f>
        <v/>
      </c>
      <c r="E46" s="355" t="str">
        <f t="shared" si="0"/>
        <v/>
      </c>
      <c r="F46" s="355">
        <f>IF(B46="","",IFERROR('TECH DATA ENTRY'!G63,"NA"))</f>
        <v>100.0044</v>
      </c>
      <c r="G46" s="518" t="str">
        <f t="shared" si="1"/>
        <v/>
      </c>
      <c r="H46" s="355" t="str">
        <f>IF(OR(ISTEXT(B46)=TRUE, D46="NA",D46=""),"NA", roundsf(MAX(L46,M46),C46))</f>
        <v>NA</v>
      </c>
      <c r="I46" s="325" t="str">
        <f t="shared" si="2"/>
        <v>NA</v>
      </c>
      <c r="J46" s="299"/>
      <c r="K46" s="245"/>
      <c r="L46" s="506">
        <f t="shared" ref="L46:L47" si="32">(9.1/1000000)*ABS(B46)+(40/1000000)</f>
        <v>9.4999999999999989E-4</v>
      </c>
      <c r="M46" s="244" t="str">
        <f>UNC_CALCULATION!AM35</f>
        <v>NA</v>
      </c>
      <c r="N46" s="85"/>
      <c r="O46" s="58"/>
      <c r="P46" s="69" t="e">
        <f>IF(B46="","",INDEX('AUX TABLES'!$G$4:$K$8,AV46,AW46))</f>
        <v>#VALUE!</v>
      </c>
      <c r="Q46" s="150" t="e">
        <f>IF(AJ$11=FALSE,IF(B46="","",IF(AJ46="NA",P46,INDEX('AUX TABLES'!$G$4:$K$8,AY46,AZ46))),IF(P46="FAIL",P46,INDEX('AUX TABLES'!$G$4:$K$8,AY46,AZ46)))</f>
        <v>#VALUE!</v>
      </c>
      <c r="R46" s="150" t="e">
        <f>IF(AJ$11=FALSE,IF(B46="","",IF(AJ46="NA",P46,INDEX('AUX TABLES'!$G$4:$K$8,BB46,BC46))),IF(P46="FAIL",P46,INDEX('AUX TABLES'!$G$4:$K$8,BB46,BC46)))</f>
        <v>#VALUE!</v>
      </c>
      <c r="S46" s="69" t="e">
        <f>INDEX('AUX TABLES'!$G$4:$K$8,AM46,AN46)</f>
        <v>#VALUE!</v>
      </c>
      <c r="T46" s="69" t="e">
        <f>IF(AJ$11=FALSE,IF(AJ46="NA",S46,INDEX('AUX TABLES'!$G$4:$K$8,AP46,AQ46)),IF(S46="FAIL",S46,INDEX('AUX TABLES'!$G$4:$K$8,AP46,AQ46)))</f>
        <v>#VALUE!</v>
      </c>
      <c r="U46" s="150" t="e">
        <f>IF(AJ$11=FALSE,IF(AJ46="NA",S46,INDEX('AUX TABLES'!$G$4:$K$8,AS46,AT46)),IF(S46="FAIL",S46,INDEX('AUX TABLES'!$G$4:$K$8,AS46,AT46)))</f>
        <v>#VALUE!</v>
      </c>
      <c r="V46" s="150" t="str">
        <f t="shared" si="4"/>
        <v/>
      </c>
      <c r="W46" s="74">
        <f t="shared" si="5"/>
        <v>100.0044</v>
      </c>
      <c r="X46" s="74" t="str">
        <f t="shared" si="6"/>
        <v>NA</v>
      </c>
      <c r="Y46" s="74" t="str">
        <f t="shared" si="7"/>
        <v>NA</v>
      </c>
      <c r="Z46" s="74" t="str">
        <f t="shared" si="8"/>
        <v>NA</v>
      </c>
      <c r="AA46" s="74" t="str">
        <f t="shared" si="9"/>
        <v>NA</v>
      </c>
      <c r="AB46" s="74">
        <f t="shared" si="10"/>
        <v>99.995599999999996</v>
      </c>
      <c r="AC46" s="69" t="str">
        <f>IF(ISTEXT('TECH DATA ENTRY'!L63)=TRUE,"NA",'TECH DATA ENTRY'!H63)</f>
        <v>NA</v>
      </c>
      <c r="AD46" s="69" t="str">
        <f t="shared" si="11"/>
        <v>NA</v>
      </c>
      <c r="AE46" s="69" t="str">
        <f t="shared" si="12"/>
        <v>NA</v>
      </c>
      <c r="AF46" s="69" t="e">
        <f t="shared" si="13"/>
        <v>#VALUE!</v>
      </c>
      <c r="AG46" s="69" t="e">
        <f t="shared" si="14"/>
        <v>#VALUE!</v>
      </c>
      <c r="AH46" s="69" t="e">
        <f t="shared" si="15"/>
        <v>#VALUE!</v>
      </c>
      <c r="AI46" s="69" t="e">
        <f t="shared" si="16"/>
        <v>#VALUE!</v>
      </c>
      <c r="AJ46" s="70" t="str">
        <f>IF(OR(ISTEXT('TECH DATA ENTRY'!L63)=TRUE,ISTEXT('TECH DATA ENTRY'!F63)=TRUE,ISTEXT('TECH DATA ENTRY'!G63)=TRUE),"NA",(W46-AB46)/(2*MAX(M46,L46)))</f>
        <v>NA</v>
      </c>
      <c r="AK46" s="69" t="str">
        <f t="shared" si="17"/>
        <v>NA</v>
      </c>
      <c r="AM46" s="73" t="e">
        <f t="shared" si="18"/>
        <v>#VALUE!</v>
      </c>
      <c r="AN46" s="73" t="e">
        <f t="shared" si="19"/>
        <v>#VALUE!</v>
      </c>
      <c r="AO46" s="87"/>
      <c r="AP46" s="73" t="e">
        <f t="shared" si="20"/>
        <v>#VALUE!</v>
      </c>
      <c r="AQ46" s="73" t="e">
        <f t="shared" si="21"/>
        <v>#VALUE!</v>
      </c>
      <c r="AR46" s="87"/>
      <c r="AS46" s="73" t="e">
        <f t="shared" si="22"/>
        <v>#VALUE!</v>
      </c>
      <c r="AT46" s="73" t="e">
        <f t="shared" si="23"/>
        <v>#VALUE!</v>
      </c>
      <c r="AV46" s="73" t="e">
        <f t="shared" si="24"/>
        <v>#VALUE!</v>
      </c>
      <c r="AW46" s="73" t="e">
        <f t="shared" si="25"/>
        <v>#VALUE!</v>
      </c>
      <c r="AX46" s="87"/>
      <c r="AY46" s="73" t="e">
        <f t="shared" si="26"/>
        <v>#VALUE!</v>
      </c>
      <c r="AZ46" s="73" t="e">
        <f t="shared" si="27"/>
        <v>#VALUE!</v>
      </c>
      <c r="BA46" s="87"/>
      <c r="BB46" s="73" t="e">
        <f t="shared" si="28"/>
        <v>#VALUE!</v>
      </c>
      <c r="BC46" s="73" t="e">
        <f t="shared" si="29"/>
        <v>#VALUE!</v>
      </c>
    </row>
    <row r="47" spans="1:55" s="86" customFormat="1" ht="25" customHeight="1" thickBot="1">
      <c r="A47" s="500">
        <f>IF('TECH DATA ENTRY'!A64="","",'TECH DATA ENTRY'!A64)</f>
        <v>-100</v>
      </c>
      <c r="B47" s="494">
        <f>IF('TECH DATA ENTRY'!B64="","",'TECH DATA ENTRY'!B64)</f>
        <v>-100</v>
      </c>
      <c r="C47" s="494">
        <f>IF(B47="","",IFERROR('TECH DATA ENTRY'!F64,"NA"))</f>
        <v>-100.0044</v>
      </c>
      <c r="D47" s="494" t="str">
        <f>IF('TECH DATA ENTRY'!L64="","",'TECH DATA ENTRY'!L64)</f>
        <v/>
      </c>
      <c r="E47" s="494" t="str">
        <f t="shared" si="0"/>
        <v/>
      </c>
      <c r="F47" s="494">
        <f>IF(B47="","",IFERROR('TECH DATA ENTRY'!G64,"NA"))</f>
        <v>-99.995599999999996</v>
      </c>
      <c r="G47" s="519" t="str">
        <f t="shared" si="1"/>
        <v/>
      </c>
      <c r="H47" s="494" t="str">
        <f>IF(OR(ISTEXT(B47)=TRUE, D47="NA",D47=""),"NA", roundsf(MAX(L47,M47),C47))</f>
        <v>NA</v>
      </c>
      <c r="I47" s="486" t="str">
        <f t="shared" si="2"/>
        <v>NA</v>
      </c>
      <c r="J47" s="299"/>
      <c r="K47" s="245"/>
      <c r="L47" s="506">
        <f t="shared" si="32"/>
        <v>9.4999999999999989E-4</v>
      </c>
      <c r="M47" s="244" t="str">
        <f>UNC_CALCULATION!AM36</f>
        <v>NA</v>
      </c>
      <c r="N47" s="85"/>
      <c r="O47" s="58"/>
      <c r="P47" s="69" t="e">
        <f>IF(B47="","",INDEX('AUX TABLES'!$G$4:$K$8,AV47,AW47))</f>
        <v>#VALUE!</v>
      </c>
      <c r="Q47" s="150" t="e">
        <f>IF(AJ$11=FALSE,IF(B47="","",IF(AJ47="NA",P47,INDEX('AUX TABLES'!$G$4:$K$8,AY47,AZ47))),IF(P47="FAIL",P47,INDEX('AUX TABLES'!$G$4:$K$8,AY47,AZ47)))</f>
        <v>#VALUE!</v>
      </c>
      <c r="R47" s="150" t="e">
        <f>IF(AJ$11=FALSE,IF(B47="","",IF(AJ47="NA",P47,INDEX('AUX TABLES'!$G$4:$K$8,BB47,BC47))),IF(P47="FAIL",P47,INDEX('AUX TABLES'!$G$4:$K$8,BB47,BC47)))</f>
        <v>#VALUE!</v>
      </c>
      <c r="S47" s="69" t="e">
        <f>INDEX('AUX TABLES'!$G$4:$K$8,AM47,AN47)</f>
        <v>#VALUE!</v>
      </c>
      <c r="T47" s="69" t="e">
        <f>IF(AJ$11=FALSE,IF(AJ47="NA",S47,INDEX('AUX TABLES'!$G$4:$K$8,AP47,AQ47)),IF(S47="FAIL",S47,INDEX('AUX TABLES'!$G$4:$K$8,AP47,AQ47)))</f>
        <v>#VALUE!</v>
      </c>
      <c r="U47" s="150" t="e">
        <f>IF(AJ$11=FALSE,IF(AJ47="NA",S47,INDEX('AUX TABLES'!$G$4:$K$8,AS47,AT47)),IF(S47="FAIL",S47,INDEX('AUX TABLES'!$G$4:$K$8,AS47,AT47)))</f>
        <v>#VALUE!</v>
      </c>
      <c r="V47" s="150" t="str">
        <f t="shared" si="4"/>
        <v/>
      </c>
      <c r="W47" s="74">
        <f t="shared" si="5"/>
        <v>-99.995599999999996</v>
      </c>
      <c r="X47" s="74" t="str">
        <f t="shared" si="6"/>
        <v>NA</v>
      </c>
      <c r="Y47" s="74" t="str">
        <f t="shared" si="7"/>
        <v>NA</v>
      </c>
      <c r="Z47" s="74" t="str">
        <f t="shared" si="8"/>
        <v>NA</v>
      </c>
      <c r="AA47" s="74" t="str">
        <f t="shared" si="9"/>
        <v>NA</v>
      </c>
      <c r="AB47" s="74">
        <f t="shared" si="10"/>
        <v>-100.0044</v>
      </c>
      <c r="AC47" s="69" t="str">
        <f>IF(ISTEXT('TECH DATA ENTRY'!L64)=TRUE,"NA",'TECH DATA ENTRY'!H64)</f>
        <v>NA</v>
      </c>
      <c r="AD47" s="69" t="str">
        <f t="shared" si="11"/>
        <v>NA</v>
      </c>
      <c r="AE47" s="69" t="str">
        <f t="shared" si="12"/>
        <v>NA</v>
      </c>
      <c r="AF47" s="69" t="e">
        <f t="shared" si="13"/>
        <v>#VALUE!</v>
      </c>
      <c r="AG47" s="69" t="e">
        <f t="shared" si="14"/>
        <v>#VALUE!</v>
      </c>
      <c r="AH47" s="69" t="e">
        <f t="shared" si="15"/>
        <v>#VALUE!</v>
      </c>
      <c r="AI47" s="69" t="e">
        <f t="shared" si="16"/>
        <v>#VALUE!</v>
      </c>
      <c r="AJ47" s="70" t="str">
        <f>IF(OR(ISTEXT('TECH DATA ENTRY'!L64)=TRUE,ISTEXT('TECH DATA ENTRY'!F64)=TRUE,ISTEXT('TECH DATA ENTRY'!G64)=TRUE),"NA",(W47-AB47)/(2*MAX(M47,L47)))</f>
        <v>NA</v>
      </c>
      <c r="AK47" s="69" t="str">
        <f t="shared" si="17"/>
        <v>NA</v>
      </c>
      <c r="AM47" s="73" t="e">
        <f t="shared" si="18"/>
        <v>#VALUE!</v>
      </c>
      <c r="AN47" s="73" t="e">
        <f t="shared" si="19"/>
        <v>#VALUE!</v>
      </c>
      <c r="AO47" s="87"/>
      <c r="AP47" s="73" t="e">
        <f t="shared" si="20"/>
        <v>#VALUE!</v>
      </c>
      <c r="AQ47" s="73" t="e">
        <f t="shared" si="21"/>
        <v>#VALUE!</v>
      </c>
      <c r="AR47" s="87"/>
      <c r="AS47" s="73" t="e">
        <f t="shared" si="22"/>
        <v>#VALUE!</v>
      </c>
      <c r="AT47" s="73" t="e">
        <f t="shared" si="23"/>
        <v>#VALUE!</v>
      </c>
      <c r="AV47" s="73" t="e">
        <f t="shared" si="24"/>
        <v>#VALUE!</v>
      </c>
      <c r="AW47" s="73" t="e">
        <f t="shared" si="25"/>
        <v>#VALUE!</v>
      </c>
      <c r="AX47" s="87"/>
      <c r="AY47" s="73" t="e">
        <f t="shared" si="26"/>
        <v>#VALUE!</v>
      </c>
      <c r="AZ47" s="73" t="e">
        <f t="shared" si="27"/>
        <v>#VALUE!</v>
      </c>
      <c r="BA47" s="87"/>
      <c r="BB47" s="73" t="e">
        <f t="shared" si="28"/>
        <v>#VALUE!</v>
      </c>
      <c r="BC47" s="73" t="e">
        <f t="shared" si="29"/>
        <v>#VALUE!</v>
      </c>
    </row>
    <row r="48" spans="1:55" s="296" customFormat="1" ht="28.15" customHeight="1">
      <c r="A48" s="550" t="str">
        <f>IF('TECH DATA ENTRY'!A65="","",'TECH DATA ENTRY'!A65)</f>
        <v/>
      </c>
      <c r="B48" s="551"/>
      <c r="C48" s="552"/>
      <c r="D48" s="551"/>
      <c r="E48" s="551"/>
      <c r="F48" s="551"/>
      <c r="G48" s="552"/>
      <c r="H48" s="551"/>
      <c r="I48" s="553"/>
      <c r="J48" s="224"/>
      <c r="K48" s="224"/>
      <c r="L48" s="224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AK48" s="297"/>
    </row>
    <row r="49" spans="1:55" s="31" customFormat="1" ht="22.15" customHeight="1">
      <c r="A49" s="76" t="str">
        <f>IF('TECH DATA ENTRY'!A66="","",'TECH DATA ENTRY'!A66)</f>
        <v>Range: 1000 V</v>
      </c>
      <c r="H49" s="321"/>
      <c r="O49" s="77"/>
      <c r="AK49" s="1"/>
      <c r="AM49" s="637" t="s">
        <v>116</v>
      </c>
      <c r="AN49" s="637"/>
      <c r="AO49" s="637"/>
      <c r="AP49" s="637"/>
      <c r="AQ49" s="637"/>
      <c r="AR49" s="637"/>
      <c r="AS49" s="637"/>
      <c r="AT49" s="637"/>
      <c r="AV49" s="637" t="s">
        <v>117</v>
      </c>
      <c r="AW49" s="637"/>
      <c r="AX49" s="637"/>
      <c r="AY49" s="637"/>
      <c r="AZ49" s="637"/>
      <c r="BA49" s="637"/>
      <c r="BB49" s="637"/>
      <c r="BC49" s="637"/>
    </row>
    <row r="50" spans="1:55" s="225" customFormat="1" ht="4.9000000000000004" customHeight="1" thickBot="1">
      <c r="A50" s="288" t="str">
        <f>IF('TECH DATA ENTRY'!A67="","",'TECH DATA ENTRY'!A67)</f>
        <v/>
      </c>
      <c r="K50" s="239"/>
      <c r="L50" s="239"/>
      <c r="AK50" s="240"/>
    </row>
    <row r="51" spans="1:55" s="285" customFormat="1" ht="20.149999999999999" customHeight="1">
      <c r="A51" s="644" t="str">
        <f>IF('TECH DATA ENTRY'!A68="","",'TECH DATA ENTRY'!A68)</f>
        <v>Applied</v>
      </c>
      <c r="B51" s="646" t="str">
        <f>IF('TECH DATA ENTRY'!B68="","",'TECH DATA ENTRY'!B68)</f>
        <v>Nominal</v>
      </c>
      <c r="C51" s="648" t="s">
        <v>2</v>
      </c>
      <c r="D51" s="648" t="str">
        <f>IF(LEFT(P$11,3)="ROV", "Measured Value", "As Found")</f>
        <v>As Found</v>
      </c>
      <c r="E51" s="648" t="str">
        <f>IF(LEFT(P$11,3)="ROV", "Correction", "As Left")</f>
        <v>As Left</v>
      </c>
      <c r="F51" s="648" t="s">
        <v>3</v>
      </c>
      <c r="G51" s="653" t="s">
        <v>4</v>
      </c>
      <c r="H51" s="659" t="s">
        <v>30</v>
      </c>
      <c r="I51" s="661" t="s">
        <v>28</v>
      </c>
      <c r="J51" s="284"/>
      <c r="L51" s="658" t="s">
        <v>38</v>
      </c>
      <c r="M51" s="616" t="s">
        <v>31</v>
      </c>
      <c r="N51" s="281"/>
      <c r="O51" s="286"/>
      <c r="P51" s="640" t="s">
        <v>136</v>
      </c>
      <c r="Q51" s="641"/>
      <c r="R51" s="642"/>
      <c r="S51" s="638" t="s">
        <v>115</v>
      </c>
      <c r="T51" s="638"/>
      <c r="U51" s="638"/>
      <c r="V51" s="638"/>
      <c r="W51" s="640" t="s">
        <v>64</v>
      </c>
      <c r="X51" s="641"/>
      <c r="Y51" s="641"/>
      <c r="Z51" s="641"/>
      <c r="AA51" s="641"/>
      <c r="AB51" s="642"/>
      <c r="AC51" s="638" t="s">
        <v>97</v>
      </c>
      <c r="AD51" s="638"/>
      <c r="AE51" s="638"/>
      <c r="AF51" s="638" t="s">
        <v>127</v>
      </c>
      <c r="AG51" s="638"/>
      <c r="AH51" s="638" t="s">
        <v>128</v>
      </c>
      <c r="AI51" s="638"/>
      <c r="AJ51" s="638" t="s">
        <v>28</v>
      </c>
      <c r="AK51" s="638" t="s">
        <v>121</v>
      </c>
      <c r="AL51" s="308"/>
      <c r="AM51" s="639" t="s">
        <v>122</v>
      </c>
      <c r="AN51" s="639"/>
      <c r="AO51" s="308"/>
      <c r="AP51" s="639" t="s">
        <v>119</v>
      </c>
      <c r="AQ51" s="639"/>
      <c r="AR51" s="308"/>
      <c r="AS51" s="639" t="s">
        <v>120</v>
      </c>
      <c r="AT51" s="639"/>
      <c r="AU51" s="308"/>
      <c r="AV51" s="639" t="s">
        <v>122</v>
      </c>
      <c r="AW51" s="639"/>
      <c r="AX51" s="308"/>
      <c r="AY51" s="639" t="s">
        <v>119</v>
      </c>
      <c r="AZ51" s="639"/>
      <c r="BA51" s="308"/>
      <c r="BB51" s="639" t="s">
        <v>120</v>
      </c>
      <c r="BC51" s="639"/>
    </row>
    <row r="52" spans="1:55" s="285" customFormat="1" ht="20.149999999999999" customHeight="1" thickBot="1">
      <c r="A52" s="645"/>
      <c r="B52" s="647"/>
      <c r="C52" s="649"/>
      <c r="D52" s="649"/>
      <c r="E52" s="649"/>
      <c r="F52" s="649"/>
      <c r="G52" s="654"/>
      <c r="H52" s="660"/>
      <c r="I52" s="662"/>
      <c r="J52" s="284"/>
      <c r="L52" s="649"/>
      <c r="M52" s="617"/>
      <c r="O52" s="281"/>
      <c r="P52" s="309" t="s">
        <v>122</v>
      </c>
      <c r="Q52" s="309" t="s">
        <v>119</v>
      </c>
      <c r="R52" s="309" t="s">
        <v>120</v>
      </c>
      <c r="S52" s="309" t="s">
        <v>122</v>
      </c>
      <c r="T52" s="309" t="s">
        <v>119</v>
      </c>
      <c r="U52" s="309" t="s">
        <v>120</v>
      </c>
      <c r="V52" s="309" t="s">
        <v>118</v>
      </c>
      <c r="W52" s="309" t="s">
        <v>63</v>
      </c>
      <c r="X52" s="309" t="s">
        <v>69</v>
      </c>
      <c r="Y52" s="309" t="s">
        <v>71</v>
      </c>
      <c r="Z52" s="309" t="s">
        <v>72</v>
      </c>
      <c r="AA52" s="309" t="s">
        <v>70</v>
      </c>
      <c r="AB52" s="309" t="s">
        <v>75</v>
      </c>
      <c r="AC52" s="309" t="s">
        <v>78</v>
      </c>
      <c r="AD52" s="309" t="s">
        <v>119</v>
      </c>
      <c r="AE52" s="309" t="s">
        <v>120</v>
      </c>
      <c r="AF52" s="309" t="s">
        <v>129</v>
      </c>
      <c r="AG52" s="309" t="s">
        <v>130</v>
      </c>
      <c r="AH52" s="309" t="s">
        <v>129</v>
      </c>
      <c r="AI52" s="309" t="s">
        <v>130</v>
      </c>
      <c r="AJ52" s="652"/>
      <c r="AK52" s="652"/>
      <c r="AL52" s="308"/>
      <c r="AM52" s="310" t="s">
        <v>67</v>
      </c>
      <c r="AN52" s="310" t="s">
        <v>68</v>
      </c>
      <c r="AO52" s="308"/>
      <c r="AP52" s="310" t="s">
        <v>67</v>
      </c>
      <c r="AQ52" s="310" t="s">
        <v>68</v>
      </c>
      <c r="AR52" s="308"/>
      <c r="AS52" s="310" t="s">
        <v>67</v>
      </c>
      <c r="AT52" s="310" t="s">
        <v>68</v>
      </c>
      <c r="AU52" s="308"/>
      <c r="AV52" s="310" t="s">
        <v>67</v>
      </c>
      <c r="AW52" s="310" t="s">
        <v>68</v>
      </c>
      <c r="AX52" s="308"/>
      <c r="AY52" s="310" t="s">
        <v>67</v>
      </c>
      <c r="AZ52" s="310" t="s">
        <v>68</v>
      </c>
      <c r="BA52" s="308"/>
      <c r="BB52" s="310" t="s">
        <v>67</v>
      </c>
      <c r="BC52" s="310" t="s">
        <v>68</v>
      </c>
    </row>
    <row r="53" spans="1:55" s="86" customFormat="1" ht="25" customHeight="1" thickTop="1">
      <c r="A53" s="499">
        <f>IF('TECH DATA ENTRY'!A70="","",'TECH DATA ENTRY'!A70)</f>
        <v>0</v>
      </c>
      <c r="B53" s="358">
        <f>IF('TECH DATA ENTRY'!B70="","",'TECH DATA ENTRY'!B70)</f>
        <v>0</v>
      </c>
      <c r="C53" s="358">
        <f>IF(B53="","",IFERROR('TECH DATA ENTRY'!F70,"NA"))</f>
        <v>-0.01</v>
      </c>
      <c r="D53" s="358" t="str">
        <f>IF('TECH DATA ENTRY'!L70="","",'TECH DATA ENTRY'!L70)</f>
        <v/>
      </c>
      <c r="E53" s="358" t="str">
        <f t="shared" si="0"/>
        <v/>
      </c>
      <c r="F53" s="358">
        <f>IF(B53="","",IFERROR('TECH DATA ENTRY'!G70,"NA"))</f>
        <v>0.01</v>
      </c>
      <c r="G53" s="520" t="str">
        <f t="shared" si="1"/>
        <v/>
      </c>
      <c r="H53" s="358" t="str">
        <f>IF(OR(ISTEXT(B53)=TRUE, D53="NA",D53=""),"NA", roundsf(MAX(L53,M53),C53))</f>
        <v>NA</v>
      </c>
      <c r="I53" s="325" t="str">
        <f t="shared" si="2"/>
        <v>NA</v>
      </c>
      <c r="J53" s="299"/>
      <c r="K53" s="245"/>
      <c r="L53" s="243">
        <f>(11/1000000)*ABS(B53)+(0.4/1000000)</f>
        <v>4.0000000000000003E-7</v>
      </c>
      <c r="M53" s="244" t="str">
        <f>UNC_CALCULATION!AM42</f>
        <v>NA</v>
      </c>
      <c r="N53" s="85"/>
      <c r="O53" s="58"/>
      <c r="P53" s="69" t="e">
        <f>IF(B53="","",INDEX('AUX TABLES'!$G$4:$K$8,AV53,AW53))</f>
        <v>#VALUE!</v>
      </c>
      <c r="Q53" s="150" t="e">
        <f>IF(AJ$11=FALSE,IF(B53="","",IF(AJ53="NA",P53,INDEX('AUX TABLES'!$G$4:$K$8,AY53,AZ53))),IF(P53="FAIL",P53,INDEX('AUX TABLES'!$G$4:$K$8,AY53,AZ53)))</f>
        <v>#VALUE!</v>
      </c>
      <c r="R53" s="150" t="e">
        <f>IF(AJ$11=FALSE,IF(B53="","",IF(AJ53="NA",P53,INDEX('AUX TABLES'!$G$4:$K$8,BB53,BC53))),IF(P53="FAIL",P53,INDEX('AUX TABLES'!$G$4:$K$8,BB53,BC53)))</f>
        <v>#VALUE!</v>
      </c>
      <c r="S53" s="69" t="e">
        <f>INDEX('AUX TABLES'!$G$4:$K$8,AM53,AN53)</f>
        <v>#VALUE!</v>
      </c>
      <c r="T53" s="69" t="e">
        <f>IF(AJ$11=FALSE,IF(AJ53="NA",S53,INDEX('AUX TABLES'!$G$4:$K$8,AP53,AQ53)),IF(S53="FAIL",S53,INDEX('AUX TABLES'!$G$4:$K$8,AP53,AQ53)))</f>
        <v>#VALUE!</v>
      </c>
      <c r="U53" s="150" t="e">
        <f>IF(AJ$11=FALSE,IF(AJ53="NA",S53,INDEX('AUX TABLES'!$G$4:$K$8,AS53,AT53)),IF(S53="FAIL",S53,INDEX('AUX TABLES'!$G$4:$K$8,AS53,AT53)))</f>
        <v>#VALUE!</v>
      </c>
      <c r="V53" s="150" t="str">
        <f t="shared" si="4"/>
        <v/>
      </c>
      <c r="W53" s="74">
        <f t="shared" si="5"/>
        <v>0.01</v>
      </c>
      <c r="X53" s="74" t="str">
        <f t="shared" si="6"/>
        <v>NA</v>
      </c>
      <c r="Y53" s="74" t="str">
        <f t="shared" si="7"/>
        <v>NA</v>
      </c>
      <c r="Z53" s="74" t="str">
        <f t="shared" si="8"/>
        <v>NA</v>
      </c>
      <c r="AA53" s="74" t="str">
        <f t="shared" si="9"/>
        <v>NA</v>
      </c>
      <c r="AB53" s="74">
        <f t="shared" si="10"/>
        <v>-0.01</v>
      </c>
      <c r="AC53" s="69" t="str">
        <f>IF(ISTEXT('TECH DATA ENTRY'!L70)=TRUE,"NA",'TECH DATA ENTRY'!H70)</f>
        <v>NA</v>
      </c>
      <c r="AD53" s="69" t="str">
        <f t="shared" si="11"/>
        <v>NA</v>
      </c>
      <c r="AE53" s="69" t="str">
        <f t="shared" si="12"/>
        <v>NA</v>
      </c>
      <c r="AF53" s="69" t="e">
        <f t="shared" si="13"/>
        <v>#VALUE!</v>
      </c>
      <c r="AG53" s="69" t="e">
        <f t="shared" si="14"/>
        <v>#VALUE!</v>
      </c>
      <c r="AH53" s="69" t="e">
        <f t="shared" si="15"/>
        <v>#VALUE!</v>
      </c>
      <c r="AI53" s="69" t="e">
        <f t="shared" si="16"/>
        <v>#VALUE!</v>
      </c>
      <c r="AJ53" s="70" t="str">
        <f>IF(OR(ISTEXT('TECH DATA ENTRY'!L70)=TRUE,ISTEXT('TECH DATA ENTRY'!F70)=TRUE,ISTEXT('TECH DATA ENTRY'!G70)=TRUE),"NA",(W53-AB53)/(2*MAX(M53,L53)))</f>
        <v>NA</v>
      </c>
      <c r="AK53" s="69" t="str">
        <f t="shared" si="17"/>
        <v>NA</v>
      </c>
      <c r="AM53" s="73" t="e">
        <f t="shared" si="18"/>
        <v>#VALUE!</v>
      </c>
      <c r="AN53" s="73" t="e">
        <f t="shared" si="19"/>
        <v>#VALUE!</v>
      </c>
      <c r="AO53" s="87"/>
      <c r="AP53" s="73" t="e">
        <f t="shared" si="20"/>
        <v>#VALUE!</v>
      </c>
      <c r="AQ53" s="73" t="e">
        <f t="shared" si="21"/>
        <v>#VALUE!</v>
      </c>
      <c r="AR53" s="87"/>
      <c r="AS53" s="73" t="e">
        <f t="shared" si="22"/>
        <v>#VALUE!</v>
      </c>
      <c r="AT53" s="73" t="e">
        <f t="shared" si="23"/>
        <v>#VALUE!</v>
      </c>
      <c r="AV53" s="73" t="e">
        <f t="shared" si="24"/>
        <v>#VALUE!</v>
      </c>
      <c r="AW53" s="73" t="e">
        <f t="shared" si="25"/>
        <v>#VALUE!</v>
      </c>
      <c r="AX53" s="87"/>
      <c r="AY53" s="73" t="e">
        <f t="shared" si="26"/>
        <v>#VALUE!</v>
      </c>
      <c r="AZ53" s="73" t="e">
        <f t="shared" si="27"/>
        <v>#VALUE!</v>
      </c>
      <c r="BA53" s="87"/>
      <c r="BB53" s="73" t="e">
        <f t="shared" si="28"/>
        <v>#VALUE!</v>
      </c>
      <c r="BC53" s="73" t="e">
        <f t="shared" si="29"/>
        <v>#VALUE!</v>
      </c>
    </row>
    <row r="54" spans="1:55" s="86" customFormat="1" ht="25" customHeight="1">
      <c r="A54" s="499">
        <f>IF('TECH DATA ENTRY'!A71="","",'TECH DATA ENTRY'!A71)</f>
        <v>1000</v>
      </c>
      <c r="B54" s="358">
        <f>IF('TECH DATA ENTRY'!B71="","",'TECH DATA ENTRY'!B71)</f>
        <v>1000</v>
      </c>
      <c r="C54" s="358">
        <f>IF(B54="","",IFERROR('TECH DATA ENTRY'!F71,"NA"))</f>
        <v>999.94899999999996</v>
      </c>
      <c r="D54" s="358" t="str">
        <f>IF('TECH DATA ENTRY'!L71="","",'TECH DATA ENTRY'!L71)</f>
        <v/>
      </c>
      <c r="E54" s="358" t="str">
        <f t="shared" si="0"/>
        <v/>
      </c>
      <c r="F54" s="358">
        <f>IF(B54="","",IFERROR('TECH DATA ENTRY'!G71,"NA"))</f>
        <v>1000.051</v>
      </c>
      <c r="G54" s="520" t="str">
        <f t="shared" si="1"/>
        <v/>
      </c>
      <c r="H54" s="358" t="str">
        <f>IF(OR(ISTEXT(B54)=TRUE, D54="NA",D54=""),"NA", roundsf(MAX(L54,M54),C54))</f>
        <v>NA</v>
      </c>
      <c r="I54" s="325" t="str">
        <f t="shared" si="2"/>
        <v>NA</v>
      </c>
      <c r="J54" s="299"/>
      <c r="K54" s="245"/>
      <c r="L54" s="243">
        <f t="shared" ref="L54:L55" si="33">(11/1000000)*ABS(B54)+(0.4/1000000)</f>
        <v>1.1000399999999999E-2</v>
      </c>
      <c r="M54" s="244" t="str">
        <f>UNC_CALCULATION!AM43</f>
        <v>NA</v>
      </c>
      <c r="N54" s="85"/>
      <c r="O54" s="58"/>
      <c r="P54" s="69" t="e">
        <f>IF(B54="","",INDEX('AUX TABLES'!$G$4:$K$8,AV54,AW54))</f>
        <v>#VALUE!</v>
      </c>
      <c r="Q54" s="150" t="e">
        <f>IF(AJ$11=FALSE,IF(B54="","",IF(AJ54="NA",P54,INDEX('AUX TABLES'!$G$4:$K$8,AY54,AZ54))),IF(P54="FAIL",P54,INDEX('AUX TABLES'!$G$4:$K$8,AY54,AZ54)))</f>
        <v>#VALUE!</v>
      </c>
      <c r="R54" s="150" t="e">
        <f>IF(AJ$11=FALSE,IF(B54="","",IF(AJ54="NA",P54,INDEX('AUX TABLES'!$G$4:$K$8,BB54,BC54))),IF(P54="FAIL",P54,INDEX('AUX TABLES'!$G$4:$K$8,BB54,BC54)))</f>
        <v>#VALUE!</v>
      </c>
      <c r="S54" s="69" t="e">
        <f>INDEX('AUX TABLES'!$G$4:$K$8,AM54,AN54)</f>
        <v>#VALUE!</v>
      </c>
      <c r="T54" s="69" t="e">
        <f>IF(AJ$11=FALSE,IF(AJ54="NA",S54,INDEX('AUX TABLES'!$G$4:$K$8,AP54,AQ54)),IF(S54="FAIL",S54,INDEX('AUX TABLES'!$G$4:$K$8,AP54,AQ54)))</f>
        <v>#VALUE!</v>
      </c>
      <c r="U54" s="150" t="e">
        <f>IF(AJ$11=FALSE,IF(AJ54="NA",S54,INDEX('AUX TABLES'!$G$4:$K$8,AS54,AT54)),IF(S54="FAIL",S54,INDEX('AUX TABLES'!$G$4:$K$8,AS54,AT54)))</f>
        <v>#VALUE!</v>
      </c>
      <c r="V54" s="150" t="str">
        <f t="shared" si="4"/>
        <v/>
      </c>
      <c r="W54" s="74">
        <f t="shared" si="5"/>
        <v>1000.051</v>
      </c>
      <c r="X54" s="74" t="str">
        <f t="shared" si="6"/>
        <v>NA</v>
      </c>
      <c r="Y54" s="74" t="str">
        <f t="shared" si="7"/>
        <v>NA</v>
      </c>
      <c r="Z54" s="74" t="str">
        <f t="shared" si="8"/>
        <v>NA</v>
      </c>
      <c r="AA54" s="74" t="str">
        <f t="shared" si="9"/>
        <v>NA</v>
      </c>
      <c r="AB54" s="74">
        <f t="shared" si="10"/>
        <v>999.94899999999996</v>
      </c>
      <c r="AC54" s="69" t="str">
        <f>IF(ISTEXT('TECH DATA ENTRY'!L71)=TRUE,"NA",'TECH DATA ENTRY'!H71)</f>
        <v>NA</v>
      </c>
      <c r="AD54" s="69" t="str">
        <f t="shared" si="11"/>
        <v>NA</v>
      </c>
      <c r="AE54" s="69" t="str">
        <f t="shared" si="12"/>
        <v>NA</v>
      </c>
      <c r="AF54" s="69" t="e">
        <f t="shared" si="13"/>
        <v>#VALUE!</v>
      </c>
      <c r="AG54" s="69" t="e">
        <f t="shared" si="14"/>
        <v>#VALUE!</v>
      </c>
      <c r="AH54" s="69" t="e">
        <f t="shared" si="15"/>
        <v>#VALUE!</v>
      </c>
      <c r="AI54" s="69" t="e">
        <f t="shared" si="16"/>
        <v>#VALUE!</v>
      </c>
      <c r="AJ54" s="70" t="str">
        <f>IF(OR(ISTEXT('TECH DATA ENTRY'!L71)=TRUE,ISTEXT('TECH DATA ENTRY'!F71)=TRUE,ISTEXT('TECH DATA ENTRY'!G71)=TRUE),"NA",(W54-AB54)/(2*MAX(M54,L54)))</f>
        <v>NA</v>
      </c>
      <c r="AK54" s="69" t="str">
        <f t="shared" si="17"/>
        <v>NA</v>
      </c>
      <c r="AM54" s="73" t="e">
        <f t="shared" si="18"/>
        <v>#VALUE!</v>
      </c>
      <c r="AN54" s="73" t="e">
        <f t="shared" si="19"/>
        <v>#VALUE!</v>
      </c>
      <c r="AO54" s="87"/>
      <c r="AP54" s="73" t="e">
        <f t="shared" si="20"/>
        <v>#VALUE!</v>
      </c>
      <c r="AQ54" s="73" t="e">
        <f t="shared" si="21"/>
        <v>#VALUE!</v>
      </c>
      <c r="AR54" s="87"/>
      <c r="AS54" s="73" t="e">
        <f t="shared" si="22"/>
        <v>#VALUE!</v>
      </c>
      <c r="AT54" s="73" t="e">
        <f t="shared" si="23"/>
        <v>#VALUE!</v>
      </c>
      <c r="AV54" s="73" t="e">
        <f t="shared" si="24"/>
        <v>#VALUE!</v>
      </c>
      <c r="AW54" s="73" t="e">
        <f t="shared" si="25"/>
        <v>#VALUE!</v>
      </c>
      <c r="AX54" s="87"/>
      <c r="AY54" s="73" t="e">
        <f t="shared" si="26"/>
        <v>#VALUE!</v>
      </c>
      <c r="AZ54" s="73" t="e">
        <f t="shared" si="27"/>
        <v>#VALUE!</v>
      </c>
      <c r="BA54" s="87"/>
      <c r="BB54" s="73" t="e">
        <f t="shared" si="28"/>
        <v>#VALUE!</v>
      </c>
      <c r="BC54" s="73" t="e">
        <f t="shared" si="29"/>
        <v>#VALUE!</v>
      </c>
    </row>
    <row r="55" spans="1:55" s="86" customFormat="1" ht="25" customHeight="1" thickBot="1">
      <c r="A55" s="500">
        <f>IF('TECH DATA ENTRY'!A72="","",'TECH DATA ENTRY'!A72)</f>
        <v>-1000</v>
      </c>
      <c r="B55" s="490">
        <f>IF('TECH DATA ENTRY'!B72="","",'TECH DATA ENTRY'!B72)</f>
        <v>-1000</v>
      </c>
      <c r="C55" s="490">
        <f>IF(B55="","",IFERROR('TECH DATA ENTRY'!F72,"NA"))</f>
        <v>-1000.051</v>
      </c>
      <c r="D55" s="490" t="str">
        <f>IF('TECH DATA ENTRY'!L72="","",'TECH DATA ENTRY'!L72)</f>
        <v/>
      </c>
      <c r="E55" s="490" t="str">
        <f t="shared" si="0"/>
        <v/>
      </c>
      <c r="F55" s="490">
        <f>IF(B55="","",IFERROR('TECH DATA ENTRY'!G72,"NA"))</f>
        <v>-999.94899999999996</v>
      </c>
      <c r="G55" s="521" t="str">
        <f t="shared" si="1"/>
        <v/>
      </c>
      <c r="H55" s="490" t="str">
        <f>IF(OR(ISTEXT(B55)=TRUE, D55="NA",D55=""),"NA", roundsf(MAX(L55,M55),C55))</f>
        <v>NA</v>
      </c>
      <c r="I55" s="486" t="str">
        <f t="shared" si="2"/>
        <v>NA</v>
      </c>
      <c r="J55" s="299"/>
      <c r="K55" s="245"/>
      <c r="L55" s="243">
        <f t="shared" si="33"/>
        <v>1.1000399999999999E-2</v>
      </c>
      <c r="M55" s="244" t="str">
        <f>UNC_CALCULATION!AM44</f>
        <v>NA</v>
      </c>
      <c r="N55" s="85"/>
      <c r="O55" s="58"/>
      <c r="P55" s="69" t="e">
        <f>IF(B55="","",INDEX('AUX TABLES'!$G$4:$K$8,AV55,AW55))</f>
        <v>#VALUE!</v>
      </c>
      <c r="Q55" s="150" t="e">
        <f>IF(AJ$11=FALSE,IF(B55="","",IF(AJ55="NA",P55,INDEX('AUX TABLES'!$G$4:$K$8,AY55,AZ55))),IF(P55="FAIL",P55,INDEX('AUX TABLES'!$G$4:$K$8,AY55,AZ55)))</f>
        <v>#VALUE!</v>
      </c>
      <c r="R55" s="150" t="e">
        <f>IF(AJ$11=FALSE,IF(B55="","",IF(AJ55="NA",P55,INDEX('AUX TABLES'!$G$4:$K$8,BB55,BC55))),IF(P55="FAIL",P55,INDEX('AUX TABLES'!$G$4:$K$8,BB55,BC55)))</f>
        <v>#VALUE!</v>
      </c>
      <c r="S55" s="69" t="e">
        <f>INDEX('AUX TABLES'!$G$4:$K$8,AM55,AN55)</f>
        <v>#VALUE!</v>
      </c>
      <c r="T55" s="69" t="e">
        <f>IF(AJ$11=FALSE,IF(AJ55="NA",S55,INDEX('AUX TABLES'!$G$4:$K$8,AP55,AQ55)),IF(S55="FAIL",S55,INDEX('AUX TABLES'!$G$4:$K$8,AP55,AQ55)))</f>
        <v>#VALUE!</v>
      </c>
      <c r="U55" s="150" t="e">
        <f>IF(AJ$11=FALSE,IF(AJ55="NA",S55,INDEX('AUX TABLES'!$G$4:$K$8,AS55,AT55)),IF(S55="FAIL",S55,INDEX('AUX TABLES'!$G$4:$K$8,AS55,AT55)))</f>
        <v>#VALUE!</v>
      </c>
      <c r="V55" s="150" t="str">
        <f t="shared" si="4"/>
        <v/>
      </c>
      <c r="W55" s="74">
        <f t="shared" si="5"/>
        <v>-999.94899999999996</v>
      </c>
      <c r="X55" s="74" t="str">
        <f t="shared" si="6"/>
        <v>NA</v>
      </c>
      <c r="Y55" s="74" t="str">
        <f t="shared" si="7"/>
        <v>NA</v>
      </c>
      <c r="Z55" s="74" t="str">
        <f t="shared" si="8"/>
        <v>NA</v>
      </c>
      <c r="AA55" s="74" t="str">
        <f t="shared" si="9"/>
        <v>NA</v>
      </c>
      <c r="AB55" s="74">
        <f t="shared" si="10"/>
        <v>-1000.051</v>
      </c>
      <c r="AC55" s="69" t="str">
        <f>IF(ISTEXT('TECH DATA ENTRY'!L72)=TRUE,"NA",'TECH DATA ENTRY'!H72)</f>
        <v>NA</v>
      </c>
      <c r="AD55" s="69" t="str">
        <f t="shared" si="11"/>
        <v>NA</v>
      </c>
      <c r="AE55" s="69" t="str">
        <f t="shared" si="12"/>
        <v>NA</v>
      </c>
      <c r="AF55" s="69" t="e">
        <f t="shared" si="13"/>
        <v>#VALUE!</v>
      </c>
      <c r="AG55" s="69" t="e">
        <f t="shared" si="14"/>
        <v>#VALUE!</v>
      </c>
      <c r="AH55" s="69" t="e">
        <f t="shared" si="15"/>
        <v>#VALUE!</v>
      </c>
      <c r="AI55" s="69" t="e">
        <f t="shared" si="16"/>
        <v>#VALUE!</v>
      </c>
      <c r="AJ55" s="70" t="str">
        <f>IF(OR(ISTEXT('TECH DATA ENTRY'!L72)=TRUE,ISTEXT('TECH DATA ENTRY'!F72)=TRUE,ISTEXT('TECH DATA ENTRY'!G72)=TRUE),"NA",(W55-AB55)/(2*MAX(M55,L55)))</f>
        <v>NA</v>
      </c>
      <c r="AK55" s="69" t="str">
        <f t="shared" si="17"/>
        <v>NA</v>
      </c>
      <c r="AM55" s="73" t="e">
        <f t="shared" si="18"/>
        <v>#VALUE!</v>
      </c>
      <c r="AN55" s="73" t="e">
        <f t="shared" si="19"/>
        <v>#VALUE!</v>
      </c>
      <c r="AO55" s="87"/>
      <c r="AP55" s="73" t="e">
        <f t="shared" si="20"/>
        <v>#VALUE!</v>
      </c>
      <c r="AQ55" s="73" t="e">
        <f t="shared" si="21"/>
        <v>#VALUE!</v>
      </c>
      <c r="AR55" s="87"/>
      <c r="AS55" s="73" t="e">
        <f t="shared" si="22"/>
        <v>#VALUE!</v>
      </c>
      <c r="AT55" s="73" t="e">
        <f t="shared" si="23"/>
        <v>#VALUE!</v>
      </c>
      <c r="AV55" s="73" t="e">
        <f t="shared" si="24"/>
        <v>#VALUE!</v>
      </c>
      <c r="AW55" s="73" t="e">
        <f t="shared" si="25"/>
        <v>#VALUE!</v>
      </c>
      <c r="AX55" s="87"/>
      <c r="AY55" s="73" t="e">
        <f t="shared" si="26"/>
        <v>#VALUE!</v>
      </c>
      <c r="AZ55" s="73" t="e">
        <f t="shared" si="27"/>
        <v>#VALUE!</v>
      </c>
      <c r="BA55" s="87"/>
      <c r="BB55" s="73" t="e">
        <f t="shared" si="28"/>
        <v>#VALUE!</v>
      </c>
      <c r="BC55" s="73" t="e">
        <f t="shared" si="29"/>
        <v>#VALUE!</v>
      </c>
    </row>
    <row r="56" spans="1:55" s="1" customFormat="1" ht="34.9" customHeight="1">
      <c r="A56" s="64"/>
      <c r="B56" s="554"/>
      <c r="C56" s="554"/>
      <c r="D56" s="554"/>
      <c r="E56" s="554"/>
      <c r="F56" s="554"/>
      <c r="G56" s="554"/>
      <c r="H56" s="554"/>
      <c r="I56" s="555"/>
      <c r="J56" s="56"/>
      <c r="K56" s="56"/>
      <c r="L56" s="58"/>
      <c r="M56" s="58"/>
      <c r="N56" s="31"/>
      <c r="O56" s="77"/>
      <c r="P56" s="31"/>
      <c r="Q56" s="31"/>
      <c r="R56" s="31"/>
      <c r="S56" s="31"/>
      <c r="T56" s="31"/>
      <c r="U56" s="31"/>
      <c r="V56" s="31"/>
      <c r="W56" s="31"/>
      <c r="X56" s="31"/>
      <c r="Y56" s="31"/>
      <c r="AP56" s="267"/>
    </row>
    <row r="57" spans="1:55" s="296" customFormat="1" ht="28.15" customHeight="1">
      <c r="A57" s="289" t="str">
        <f>IF('TECH DATA ENTRY'!A74="","",'TECH DATA ENTRY'!A74)</f>
        <v>DC Volts Ratio</v>
      </c>
      <c r="B57" s="293"/>
      <c r="C57" s="294"/>
      <c r="D57" s="293"/>
      <c r="E57" s="293"/>
      <c r="F57" s="293"/>
      <c r="G57" s="294"/>
      <c r="H57" s="293"/>
      <c r="I57" s="295"/>
      <c r="J57" s="224"/>
      <c r="K57" s="224"/>
      <c r="L57" s="224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AK57" s="297"/>
    </row>
    <row r="58" spans="1:55" s="31" customFormat="1" ht="4.9000000000000004" customHeight="1">
      <c r="A58" s="76" t="str">
        <f>IF('TECH DATA ENTRY'!A75="","",'TECH DATA ENTRY'!A75)</f>
        <v/>
      </c>
      <c r="H58" s="321"/>
      <c r="O58" s="77"/>
      <c r="AK58" s="1"/>
      <c r="AM58" s="637" t="s">
        <v>116</v>
      </c>
      <c r="AN58" s="637"/>
      <c r="AO58" s="637"/>
      <c r="AP58" s="637"/>
      <c r="AQ58" s="637"/>
      <c r="AR58" s="637"/>
      <c r="AS58" s="637"/>
      <c r="AT58" s="637"/>
      <c r="AV58" s="637" t="s">
        <v>117</v>
      </c>
      <c r="AW58" s="637"/>
      <c r="AX58" s="637"/>
      <c r="AY58" s="637"/>
      <c r="AZ58" s="637"/>
      <c r="BA58" s="637"/>
      <c r="BB58" s="637"/>
      <c r="BC58" s="637"/>
    </row>
    <row r="59" spans="1:55" s="225" customFormat="1" ht="4.9000000000000004" customHeight="1" thickBot="1">
      <c r="A59" s="288" t="str">
        <f>IF('TECH DATA ENTRY'!A76="","",'TECH DATA ENTRY'!A76)</f>
        <v/>
      </c>
      <c r="K59" s="239"/>
      <c r="L59" s="239"/>
      <c r="AK59" s="240"/>
    </row>
    <row r="60" spans="1:55" s="285" customFormat="1" ht="20.149999999999999" customHeight="1">
      <c r="A60" s="644" t="str">
        <f>IF('TECH DATA ENTRY'!A77="","",'TECH DATA ENTRY'!A77)</f>
        <v>Range</v>
      </c>
      <c r="B60" s="646" t="str">
        <f>IF('TECH DATA ENTRY'!B77="","",'TECH DATA ENTRY'!B77)</f>
        <v>Nominal</v>
      </c>
      <c r="C60" s="648" t="s">
        <v>2</v>
      </c>
      <c r="D60" s="648" t="str">
        <f>IF(LEFT(P$11,3)="ROV", "Measured Value", "As Found")</f>
        <v>As Found</v>
      </c>
      <c r="E60" s="648" t="str">
        <f>IF(LEFT(P$11,3)="ROV", "Correction", "As Left")</f>
        <v>As Left</v>
      </c>
      <c r="F60" s="648" t="s">
        <v>3</v>
      </c>
      <c r="G60" s="653" t="s">
        <v>4</v>
      </c>
      <c r="H60" s="659" t="s">
        <v>30</v>
      </c>
      <c r="I60" s="661" t="s">
        <v>28</v>
      </c>
      <c r="J60" s="284"/>
      <c r="L60" s="658" t="s">
        <v>38</v>
      </c>
      <c r="M60" s="616" t="s">
        <v>31</v>
      </c>
      <c r="N60" s="281"/>
      <c r="O60" s="286"/>
      <c r="P60" s="640" t="s">
        <v>136</v>
      </c>
      <c r="Q60" s="641"/>
      <c r="R60" s="642"/>
      <c r="S60" s="638" t="s">
        <v>115</v>
      </c>
      <c r="T60" s="638"/>
      <c r="U60" s="638"/>
      <c r="V60" s="638"/>
      <c r="W60" s="640" t="s">
        <v>64</v>
      </c>
      <c r="X60" s="641"/>
      <c r="Y60" s="641"/>
      <c r="Z60" s="641"/>
      <c r="AA60" s="641"/>
      <c r="AB60" s="642"/>
      <c r="AC60" s="638" t="s">
        <v>97</v>
      </c>
      <c r="AD60" s="638"/>
      <c r="AE60" s="638"/>
      <c r="AF60" s="638" t="s">
        <v>127</v>
      </c>
      <c r="AG60" s="638"/>
      <c r="AH60" s="638" t="s">
        <v>128</v>
      </c>
      <c r="AI60" s="638"/>
      <c r="AJ60" s="638" t="s">
        <v>28</v>
      </c>
      <c r="AK60" s="638" t="s">
        <v>121</v>
      </c>
      <c r="AL60" s="308"/>
      <c r="AM60" s="639" t="s">
        <v>122</v>
      </c>
      <c r="AN60" s="639"/>
      <c r="AO60" s="308"/>
      <c r="AP60" s="639" t="s">
        <v>119</v>
      </c>
      <c r="AQ60" s="639"/>
      <c r="AR60" s="308"/>
      <c r="AS60" s="639" t="s">
        <v>120</v>
      </c>
      <c r="AT60" s="639"/>
      <c r="AU60" s="308"/>
      <c r="AV60" s="639" t="s">
        <v>122</v>
      </c>
      <c r="AW60" s="639"/>
      <c r="AX60" s="308"/>
      <c r="AY60" s="639" t="s">
        <v>119</v>
      </c>
      <c r="AZ60" s="639"/>
      <c r="BA60" s="308"/>
      <c r="BB60" s="639" t="s">
        <v>120</v>
      </c>
      <c r="BC60" s="639"/>
    </row>
    <row r="61" spans="1:55" s="285" customFormat="1" ht="20.149999999999999" customHeight="1" thickBot="1">
      <c r="A61" s="645"/>
      <c r="B61" s="647"/>
      <c r="C61" s="649"/>
      <c r="D61" s="649"/>
      <c r="E61" s="649"/>
      <c r="F61" s="649"/>
      <c r="G61" s="654"/>
      <c r="H61" s="660"/>
      <c r="I61" s="662"/>
      <c r="J61" s="284"/>
      <c r="L61" s="649"/>
      <c r="M61" s="617"/>
      <c r="O61" s="281"/>
      <c r="P61" s="309" t="s">
        <v>122</v>
      </c>
      <c r="Q61" s="309" t="s">
        <v>119</v>
      </c>
      <c r="R61" s="309" t="s">
        <v>120</v>
      </c>
      <c r="S61" s="309" t="s">
        <v>122</v>
      </c>
      <c r="T61" s="309" t="s">
        <v>119</v>
      </c>
      <c r="U61" s="309" t="s">
        <v>120</v>
      </c>
      <c r="V61" s="309" t="s">
        <v>118</v>
      </c>
      <c r="W61" s="309" t="s">
        <v>63</v>
      </c>
      <c r="X61" s="309" t="s">
        <v>69</v>
      </c>
      <c r="Y61" s="309" t="s">
        <v>71</v>
      </c>
      <c r="Z61" s="309" t="s">
        <v>72</v>
      </c>
      <c r="AA61" s="309" t="s">
        <v>70</v>
      </c>
      <c r="AB61" s="309" t="s">
        <v>75</v>
      </c>
      <c r="AC61" s="309" t="s">
        <v>78</v>
      </c>
      <c r="AD61" s="309" t="s">
        <v>119</v>
      </c>
      <c r="AE61" s="309" t="s">
        <v>120</v>
      </c>
      <c r="AF61" s="309" t="s">
        <v>129</v>
      </c>
      <c r="AG61" s="309" t="s">
        <v>130</v>
      </c>
      <c r="AH61" s="309" t="s">
        <v>129</v>
      </c>
      <c r="AI61" s="309" t="s">
        <v>130</v>
      </c>
      <c r="AJ61" s="652"/>
      <c r="AK61" s="652"/>
      <c r="AL61" s="308"/>
      <c r="AM61" s="310" t="s">
        <v>67</v>
      </c>
      <c r="AN61" s="310" t="s">
        <v>68</v>
      </c>
      <c r="AO61" s="308"/>
      <c r="AP61" s="310" t="s">
        <v>67</v>
      </c>
      <c r="AQ61" s="310" t="s">
        <v>68</v>
      </c>
      <c r="AR61" s="308"/>
      <c r="AS61" s="310" t="s">
        <v>67</v>
      </c>
      <c r="AT61" s="310" t="s">
        <v>68</v>
      </c>
      <c r="AU61" s="308"/>
      <c r="AV61" s="310" t="s">
        <v>67</v>
      </c>
      <c r="AW61" s="310" t="s">
        <v>68</v>
      </c>
      <c r="AX61" s="308"/>
      <c r="AY61" s="310" t="s">
        <v>67</v>
      </c>
      <c r="AZ61" s="310" t="s">
        <v>68</v>
      </c>
      <c r="BA61" s="308"/>
      <c r="BB61" s="310" t="s">
        <v>67</v>
      </c>
      <c r="BC61" s="310" t="s">
        <v>68</v>
      </c>
    </row>
    <row r="62" spans="1:55" s="86" customFormat="1" ht="25" customHeight="1" thickTop="1">
      <c r="A62" s="496" t="str">
        <f>IF('TECH DATA ENTRY'!A79="","",'TECH DATA ENTRY'!A79)</f>
        <v>0.100000 V</v>
      </c>
      <c r="B62" s="347">
        <f>IF('TECH DATA ENTRY'!B79="","",'TECH DATA ENTRY'!B79)</f>
        <v>0.1</v>
      </c>
      <c r="C62" s="347">
        <f>IF(B62="","",IFERROR('TECH DATA ENTRY'!F79,"NA"))</f>
        <v>9.9856E-2</v>
      </c>
      <c r="D62" s="347" t="str">
        <f>IF('TECH DATA ENTRY'!L79="","",'TECH DATA ENTRY'!L79)</f>
        <v/>
      </c>
      <c r="E62" s="347" t="str">
        <f t="shared" si="0"/>
        <v/>
      </c>
      <c r="F62" s="347">
        <f>IF(B62="","",IFERROR('TECH DATA ENTRY'!G79,"NA"))</f>
        <v>0.10014400000000001</v>
      </c>
      <c r="G62" s="514" t="str">
        <f t="shared" si="1"/>
        <v/>
      </c>
      <c r="H62" s="347" t="str">
        <f>IF(OR(ISTEXT(B62)=TRUE, D62="NA",D62=""),"NA", roundsf(MAX(L62,M62),C62))</f>
        <v>NA</v>
      </c>
      <c r="I62" s="325" t="str">
        <f t="shared" si="2"/>
        <v>NA</v>
      </c>
      <c r="J62" s="299"/>
      <c r="K62" s="245"/>
      <c r="L62" s="243">
        <f>(11/1000000)*ABS(B62)+(0.4/1000000)</f>
        <v>1.5E-6</v>
      </c>
      <c r="M62" s="244" t="str">
        <f>UNC_CALCULATION!AM51</f>
        <v>NA</v>
      </c>
      <c r="N62" s="85"/>
      <c r="O62" s="58"/>
      <c r="P62" s="69" t="e">
        <f>IF(B62="","",INDEX('AUX TABLES'!$G$4:$K$8,AV62,AW62))</f>
        <v>#VALUE!</v>
      </c>
      <c r="Q62" s="150" t="e">
        <f>IF(AJ$11=FALSE,IF(B62="","",IF(AJ62="NA",P62,INDEX('AUX TABLES'!$G$4:$K$8,AY62,AZ62))),IF(P62="FAIL",P62,INDEX('AUX TABLES'!$G$4:$K$8,AY62,AZ62)))</f>
        <v>#VALUE!</v>
      </c>
      <c r="R62" s="150" t="e">
        <f>IF(AJ$11=FALSE,IF(B62="","",IF(AJ62="NA",P62,INDEX('AUX TABLES'!$G$4:$K$8,BB62,BC62))),IF(P62="FAIL",P62,INDEX('AUX TABLES'!$G$4:$K$8,BB62,BC62)))</f>
        <v>#VALUE!</v>
      </c>
      <c r="S62" s="69" t="e">
        <f>INDEX('AUX TABLES'!$G$4:$K$8,AM62,AN62)</f>
        <v>#VALUE!</v>
      </c>
      <c r="T62" s="69" t="e">
        <f>IF(AJ$11=FALSE,IF(AJ62="NA",S62,INDEX('AUX TABLES'!$G$4:$K$8,AP62,AQ62)),IF(S62="FAIL",S62,INDEX('AUX TABLES'!$G$4:$K$8,AP62,AQ62)))</f>
        <v>#VALUE!</v>
      </c>
      <c r="U62" s="150" t="e">
        <f>IF(AJ$11=FALSE,IF(AJ62="NA",S62,INDEX('AUX TABLES'!$G$4:$K$8,AS62,AT62)),IF(S62="FAIL",S62,INDEX('AUX TABLES'!$G$4:$K$8,AS62,AT62)))</f>
        <v>#VALUE!</v>
      </c>
      <c r="V62" s="150" t="str">
        <f t="shared" si="4"/>
        <v/>
      </c>
      <c r="W62" s="74">
        <f t="shared" si="5"/>
        <v>0.10014400000000001</v>
      </c>
      <c r="X62" s="74" t="str">
        <f t="shared" si="6"/>
        <v>NA</v>
      </c>
      <c r="Y62" s="74" t="str">
        <f t="shared" si="7"/>
        <v>NA</v>
      </c>
      <c r="Z62" s="74" t="str">
        <f t="shared" si="8"/>
        <v>NA</v>
      </c>
      <c r="AA62" s="74" t="str">
        <f t="shared" si="9"/>
        <v>NA</v>
      </c>
      <c r="AB62" s="74">
        <f t="shared" si="10"/>
        <v>9.9856E-2</v>
      </c>
      <c r="AC62" s="69" t="str">
        <f>IF(ISTEXT('TECH DATA ENTRY'!L79)=TRUE,"NA",'TECH DATA ENTRY'!H79)</f>
        <v>NA</v>
      </c>
      <c r="AD62" s="69" t="str">
        <f t="shared" si="11"/>
        <v>NA</v>
      </c>
      <c r="AE62" s="69" t="str">
        <f t="shared" si="12"/>
        <v>NA</v>
      </c>
      <c r="AF62" s="69" t="e">
        <f t="shared" si="13"/>
        <v>#VALUE!</v>
      </c>
      <c r="AG62" s="69" t="e">
        <f t="shared" si="14"/>
        <v>#VALUE!</v>
      </c>
      <c r="AH62" s="69" t="e">
        <f t="shared" si="15"/>
        <v>#VALUE!</v>
      </c>
      <c r="AI62" s="69" t="e">
        <f t="shared" si="16"/>
        <v>#VALUE!</v>
      </c>
      <c r="AJ62" s="70" t="str">
        <f>IF(OR(ISTEXT('TECH DATA ENTRY'!L79)=TRUE,ISTEXT('TECH DATA ENTRY'!F79)=TRUE,ISTEXT('TECH DATA ENTRY'!G79)=TRUE),"NA",(W62-AB62)/(2*MAX(M62,L62)))</f>
        <v>NA</v>
      </c>
      <c r="AK62" s="69" t="str">
        <f t="shared" si="17"/>
        <v>NA</v>
      </c>
      <c r="AM62" s="73" t="e">
        <f t="shared" si="18"/>
        <v>#VALUE!</v>
      </c>
      <c r="AN62" s="73" t="e">
        <f t="shared" si="19"/>
        <v>#VALUE!</v>
      </c>
      <c r="AO62" s="87"/>
      <c r="AP62" s="73" t="e">
        <f t="shared" si="20"/>
        <v>#VALUE!</v>
      </c>
      <c r="AQ62" s="73" t="e">
        <f t="shared" si="21"/>
        <v>#VALUE!</v>
      </c>
      <c r="AR62" s="87"/>
      <c r="AS62" s="73" t="e">
        <f t="shared" si="22"/>
        <v>#VALUE!</v>
      </c>
      <c r="AT62" s="73" t="e">
        <f t="shared" si="23"/>
        <v>#VALUE!</v>
      </c>
      <c r="AV62" s="73" t="e">
        <f t="shared" si="24"/>
        <v>#VALUE!</v>
      </c>
      <c r="AW62" s="73" t="e">
        <f t="shared" si="25"/>
        <v>#VALUE!</v>
      </c>
      <c r="AX62" s="87"/>
      <c r="AY62" s="73" t="e">
        <f t="shared" si="26"/>
        <v>#VALUE!</v>
      </c>
      <c r="AZ62" s="73" t="e">
        <f t="shared" si="27"/>
        <v>#VALUE!</v>
      </c>
      <c r="BA62" s="87"/>
      <c r="BB62" s="73" t="e">
        <f t="shared" si="28"/>
        <v>#VALUE!</v>
      </c>
      <c r="BC62" s="73" t="e">
        <f t="shared" si="29"/>
        <v>#VALUE!</v>
      </c>
    </row>
    <row r="63" spans="1:55" s="86" customFormat="1" ht="25" customHeight="1">
      <c r="A63" s="466" t="str">
        <f>IF('TECH DATA ENTRY'!A80="","",'TECH DATA ENTRY'!A80)</f>
        <v>1.000000 V</v>
      </c>
      <c r="B63" s="347">
        <f>IF('TECH DATA ENTRY'!B80="","",'TECH DATA ENTRY'!B80)</f>
        <v>1</v>
      </c>
      <c r="C63" s="347">
        <f>IF(B63="","",IFERROR('TECH DATA ENTRY'!F80,"NA"))</f>
        <v>0.99993600000000005</v>
      </c>
      <c r="D63" s="347" t="str">
        <f>IF('TECH DATA ENTRY'!L80="","",'TECH DATA ENTRY'!L80)</f>
        <v/>
      </c>
      <c r="E63" s="347" t="str">
        <f t="shared" si="0"/>
        <v/>
      </c>
      <c r="F63" s="347">
        <f>IF(B63="","",IFERROR('TECH DATA ENTRY'!G80,"NA"))</f>
        <v>1.0000640000000001</v>
      </c>
      <c r="G63" s="514" t="str">
        <f t="shared" si="1"/>
        <v/>
      </c>
      <c r="H63" s="347" t="str">
        <f>IF(OR(ISTEXT(B63)=TRUE, D63="NA",D63=""),"NA", roundsf(MAX(L63,M63),C63))</f>
        <v>NA</v>
      </c>
      <c r="I63" s="325" t="str">
        <f t="shared" si="2"/>
        <v>NA</v>
      </c>
      <c r="J63" s="299"/>
      <c r="K63" s="245"/>
      <c r="L63" s="243">
        <f>(5.1/1000000)*ABS(B63)+(0.7/1000000)</f>
        <v>5.7999999999999995E-6</v>
      </c>
      <c r="M63" s="244" t="str">
        <f>UNC_CALCULATION!AM52</f>
        <v>NA</v>
      </c>
      <c r="N63" s="85"/>
      <c r="O63" s="58"/>
      <c r="P63" s="69" t="e">
        <f>IF(B63="","",INDEX('AUX TABLES'!$G$4:$K$8,AV63,AW63))</f>
        <v>#VALUE!</v>
      </c>
      <c r="Q63" s="150" t="e">
        <f>IF(AJ$11=FALSE,IF(B63="","",IF(AJ63="NA",P63,INDEX('AUX TABLES'!$G$4:$K$8,AY63,AZ63))),IF(P63="FAIL",P63,INDEX('AUX TABLES'!$G$4:$K$8,AY63,AZ63)))</f>
        <v>#VALUE!</v>
      </c>
      <c r="R63" s="150" t="e">
        <f>IF(AJ$11=FALSE,IF(B63="","",IF(AJ63="NA",P63,INDEX('AUX TABLES'!$G$4:$K$8,BB63,BC63))),IF(P63="FAIL",P63,INDEX('AUX TABLES'!$G$4:$K$8,BB63,BC63)))</f>
        <v>#VALUE!</v>
      </c>
      <c r="S63" s="69" t="e">
        <f>INDEX('AUX TABLES'!$G$4:$K$8,AM63,AN63)</f>
        <v>#VALUE!</v>
      </c>
      <c r="T63" s="69" t="e">
        <f>IF(AJ$11=FALSE,IF(AJ63="NA",S63,INDEX('AUX TABLES'!$G$4:$K$8,AP63,AQ63)),IF(S63="FAIL",S63,INDEX('AUX TABLES'!$G$4:$K$8,AP63,AQ63)))</f>
        <v>#VALUE!</v>
      </c>
      <c r="U63" s="150" t="e">
        <f>IF(AJ$11=FALSE,IF(AJ63="NA",S63,INDEX('AUX TABLES'!$G$4:$K$8,AS63,AT63)),IF(S63="FAIL",S63,INDEX('AUX TABLES'!$G$4:$K$8,AS63,AT63)))</f>
        <v>#VALUE!</v>
      </c>
      <c r="V63" s="150" t="str">
        <f t="shared" si="4"/>
        <v/>
      </c>
      <c r="W63" s="74">
        <f t="shared" si="5"/>
        <v>1.0000640000000001</v>
      </c>
      <c r="X63" s="74" t="str">
        <f t="shared" si="6"/>
        <v>NA</v>
      </c>
      <c r="Y63" s="74" t="str">
        <f t="shared" si="7"/>
        <v>NA</v>
      </c>
      <c r="Z63" s="74" t="str">
        <f t="shared" si="8"/>
        <v>NA</v>
      </c>
      <c r="AA63" s="74" t="str">
        <f t="shared" si="9"/>
        <v>NA</v>
      </c>
      <c r="AB63" s="74">
        <f t="shared" si="10"/>
        <v>0.99993600000000005</v>
      </c>
      <c r="AC63" s="69" t="str">
        <f>IF(ISTEXT('TECH DATA ENTRY'!L80)=TRUE,"NA",'TECH DATA ENTRY'!H80)</f>
        <v>NA</v>
      </c>
      <c r="AD63" s="69" t="str">
        <f t="shared" si="11"/>
        <v>NA</v>
      </c>
      <c r="AE63" s="69" t="str">
        <f t="shared" si="12"/>
        <v>NA</v>
      </c>
      <c r="AF63" s="69" t="e">
        <f t="shared" si="13"/>
        <v>#VALUE!</v>
      </c>
      <c r="AG63" s="69" t="e">
        <f t="shared" si="14"/>
        <v>#VALUE!</v>
      </c>
      <c r="AH63" s="69" t="e">
        <f t="shared" si="15"/>
        <v>#VALUE!</v>
      </c>
      <c r="AI63" s="69" t="e">
        <f t="shared" si="16"/>
        <v>#VALUE!</v>
      </c>
      <c r="AJ63" s="70" t="str">
        <f>IF(OR(ISTEXT('TECH DATA ENTRY'!L80)=TRUE,ISTEXT('TECH DATA ENTRY'!F80)=TRUE,ISTEXT('TECH DATA ENTRY'!G80)=TRUE),"NA",(W63-AB63)/(2*MAX(M63,L63)))</f>
        <v>NA</v>
      </c>
      <c r="AK63" s="69" t="str">
        <f t="shared" si="17"/>
        <v>NA</v>
      </c>
      <c r="AM63" s="73" t="e">
        <f t="shared" si="18"/>
        <v>#VALUE!</v>
      </c>
      <c r="AN63" s="73" t="e">
        <f t="shared" si="19"/>
        <v>#VALUE!</v>
      </c>
      <c r="AO63" s="87"/>
      <c r="AP63" s="73" t="e">
        <f t="shared" si="20"/>
        <v>#VALUE!</v>
      </c>
      <c r="AQ63" s="73" t="e">
        <f t="shared" si="21"/>
        <v>#VALUE!</v>
      </c>
      <c r="AR63" s="87"/>
      <c r="AS63" s="73" t="e">
        <f t="shared" si="22"/>
        <v>#VALUE!</v>
      </c>
      <c r="AT63" s="73" t="e">
        <f t="shared" si="23"/>
        <v>#VALUE!</v>
      </c>
      <c r="AV63" s="73" t="e">
        <f t="shared" si="24"/>
        <v>#VALUE!</v>
      </c>
      <c r="AW63" s="73" t="e">
        <f t="shared" si="25"/>
        <v>#VALUE!</v>
      </c>
      <c r="AX63" s="87"/>
      <c r="AY63" s="73" t="e">
        <f t="shared" si="26"/>
        <v>#VALUE!</v>
      </c>
      <c r="AZ63" s="73" t="e">
        <f t="shared" si="27"/>
        <v>#VALUE!</v>
      </c>
      <c r="BA63" s="87"/>
      <c r="BB63" s="73" t="e">
        <f t="shared" si="28"/>
        <v>#VALUE!</v>
      </c>
      <c r="BC63" s="73" t="e">
        <f t="shared" si="29"/>
        <v>#VALUE!</v>
      </c>
    </row>
    <row r="64" spans="1:55" s="86" customFormat="1" ht="25" customHeight="1" thickBot="1">
      <c r="A64" s="497" t="str">
        <f>IF('TECH DATA ENTRY'!A81="","",'TECH DATA ENTRY'!A81)</f>
        <v>10.000000 V</v>
      </c>
      <c r="B64" s="498">
        <f>IF('TECH DATA ENTRY'!B81="","",'TECH DATA ENTRY'!B81)</f>
        <v>-10</v>
      </c>
      <c r="C64" s="498">
        <f>IF(B64="","",IFERROR('TECH DATA ENTRY'!F81,"NA"))</f>
        <v>-10.000057999999999</v>
      </c>
      <c r="D64" s="498" t="str">
        <f>IF('TECH DATA ENTRY'!L81="","",'TECH DATA ENTRY'!L81)</f>
        <v/>
      </c>
      <c r="E64" s="498" t="str">
        <f t="shared" si="0"/>
        <v/>
      </c>
      <c r="F64" s="498">
        <f>IF(B64="","",IFERROR('TECH DATA ENTRY'!G81,"NA"))</f>
        <v>-9.9999420000000008</v>
      </c>
      <c r="G64" s="515" t="str">
        <f t="shared" si="1"/>
        <v/>
      </c>
      <c r="H64" s="498" t="str">
        <f>IF(OR(ISTEXT(B64)=TRUE, D64="NA",D64=""),"NA", roundsf(MAX(L64,M64),C64))</f>
        <v>NA</v>
      </c>
      <c r="I64" s="486" t="str">
        <f t="shared" si="2"/>
        <v>NA</v>
      </c>
      <c r="J64" s="299"/>
      <c r="K64" s="245"/>
      <c r="L64" s="506">
        <f t="shared" ref="L64" si="34">(3/1000000)*ABS(B64)+(2.5/1000000)</f>
        <v>3.2500000000000004E-5</v>
      </c>
      <c r="M64" s="244" t="str">
        <f>UNC_CALCULATION!AM53</f>
        <v>NA</v>
      </c>
      <c r="N64" s="85"/>
      <c r="O64" s="58"/>
      <c r="P64" s="69" t="e">
        <f>IF(B64="","",INDEX('AUX TABLES'!$G$4:$K$8,AV64,AW64))</f>
        <v>#VALUE!</v>
      </c>
      <c r="Q64" s="150" t="e">
        <f>IF(AJ$11=FALSE,IF(B64="","",IF(AJ64="NA",P64,INDEX('AUX TABLES'!$G$4:$K$8,AY64,AZ64))),IF(P64="FAIL",P64,INDEX('AUX TABLES'!$G$4:$K$8,AY64,AZ64)))</f>
        <v>#VALUE!</v>
      </c>
      <c r="R64" s="150" t="e">
        <f>IF(AJ$11=FALSE,IF(B64="","",IF(AJ64="NA",P64,INDEX('AUX TABLES'!$G$4:$K$8,BB64,BC64))),IF(P64="FAIL",P64,INDEX('AUX TABLES'!$G$4:$K$8,BB64,BC64)))</f>
        <v>#VALUE!</v>
      </c>
      <c r="S64" s="69" t="e">
        <f>INDEX('AUX TABLES'!$G$4:$K$8,AM64,AN64)</f>
        <v>#VALUE!</v>
      </c>
      <c r="T64" s="69" t="e">
        <f>IF(AJ$11=FALSE,IF(AJ64="NA",S64,INDEX('AUX TABLES'!$G$4:$K$8,AP64,AQ64)),IF(S64="FAIL",S64,INDEX('AUX TABLES'!$G$4:$K$8,AP64,AQ64)))</f>
        <v>#VALUE!</v>
      </c>
      <c r="U64" s="150" t="e">
        <f>IF(AJ$11=FALSE,IF(AJ64="NA",S64,INDEX('AUX TABLES'!$G$4:$K$8,AS64,AT64)),IF(S64="FAIL",S64,INDEX('AUX TABLES'!$G$4:$K$8,AS64,AT64)))</f>
        <v>#VALUE!</v>
      </c>
      <c r="V64" s="150" t="str">
        <f t="shared" si="4"/>
        <v/>
      </c>
      <c r="W64" s="74">
        <f t="shared" si="5"/>
        <v>-9.9999420000000008</v>
      </c>
      <c r="X64" s="74" t="str">
        <f t="shared" si="6"/>
        <v>NA</v>
      </c>
      <c r="Y64" s="74" t="str">
        <f t="shared" si="7"/>
        <v>NA</v>
      </c>
      <c r="Z64" s="74" t="str">
        <f t="shared" si="8"/>
        <v>NA</v>
      </c>
      <c r="AA64" s="74" t="str">
        <f t="shared" si="9"/>
        <v>NA</v>
      </c>
      <c r="AB64" s="74">
        <f t="shared" si="10"/>
        <v>-10.000057999999999</v>
      </c>
      <c r="AC64" s="69" t="str">
        <f>IF(ISTEXT('TECH DATA ENTRY'!L81)=TRUE,"NA",'TECH DATA ENTRY'!H81)</f>
        <v>NA</v>
      </c>
      <c r="AD64" s="69" t="str">
        <f t="shared" si="11"/>
        <v>NA</v>
      </c>
      <c r="AE64" s="69" t="str">
        <f t="shared" si="12"/>
        <v>NA</v>
      </c>
      <c r="AF64" s="69" t="e">
        <f t="shared" si="13"/>
        <v>#VALUE!</v>
      </c>
      <c r="AG64" s="69" t="e">
        <f t="shared" si="14"/>
        <v>#VALUE!</v>
      </c>
      <c r="AH64" s="69" t="e">
        <f t="shared" si="15"/>
        <v>#VALUE!</v>
      </c>
      <c r="AI64" s="69" t="e">
        <f t="shared" si="16"/>
        <v>#VALUE!</v>
      </c>
      <c r="AJ64" s="70" t="str">
        <f>IF(OR(ISTEXT('TECH DATA ENTRY'!L81)=TRUE,ISTEXT('TECH DATA ENTRY'!F81)=TRUE,ISTEXT('TECH DATA ENTRY'!G81)=TRUE),"NA",(W64-AB64)/(2*MAX(M64,L64)))</f>
        <v>NA</v>
      </c>
      <c r="AK64" s="69" t="str">
        <f t="shared" si="17"/>
        <v>NA</v>
      </c>
      <c r="AM64" s="73" t="e">
        <f t="shared" si="18"/>
        <v>#VALUE!</v>
      </c>
      <c r="AN64" s="73" t="e">
        <f t="shared" si="19"/>
        <v>#VALUE!</v>
      </c>
      <c r="AO64" s="87"/>
      <c r="AP64" s="73" t="e">
        <f t="shared" si="20"/>
        <v>#VALUE!</v>
      </c>
      <c r="AQ64" s="73" t="e">
        <f t="shared" si="21"/>
        <v>#VALUE!</v>
      </c>
      <c r="AR64" s="87"/>
      <c r="AS64" s="73" t="e">
        <f t="shared" si="22"/>
        <v>#VALUE!</v>
      </c>
      <c r="AT64" s="73" t="e">
        <f t="shared" si="23"/>
        <v>#VALUE!</v>
      </c>
      <c r="AV64" s="73" t="e">
        <f t="shared" si="24"/>
        <v>#VALUE!</v>
      </c>
      <c r="AW64" s="73" t="e">
        <f t="shared" si="25"/>
        <v>#VALUE!</v>
      </c>
      <c r="AX64" s="87"/>
      <c r="AY64" s="73" t="e">
        <f t="shared" si="26"/>
        <v>#VALUE!</v>
      </c>
      <c r="AZ64" s="73" t="e">
        <f t="shared" si="27"/>
        <v>#VALUE!</v>
      </c>
      <c r="BA64" s="87"/>
      <c r="BB64" s="73" t="e">
        <f t="shared" si="28"/>
        <v>#VALUE!</v>
      </c>
      <c r="BC64" s="73" t="e">
        <f t="shared" si="29"/>
        <v>#VALUE!</v>
      </c>
    </row>
    <row r="65" spans="1:55" s="1" customFormat="1" ht="34.9" customHeight="1">
      <c r="A65" s="64"/>
      <c r="B65" s="554"/>
      <c r="C65" s="554"/>
      <c r="D65" s="554"/>
      <c r="E65" s="554"/>
      <c r="F65" s="554"/>
      <c r="G65" s="554"/>
      <c r="H65" s="554"/>
      <c r="I65" s="555"/>
      <c r="J65" s="56"/>
      <c r="K65" s="56"/>
      <c r="L65" s="58"/>
      <c r="M65" s="58"/>
      <c r="N65" s="31"/>
      <c r="O65" s="77"/>
      <c r="P65" s="31"/>
      <c r="Q65" s="31"/>
      <c r="R65" s="31"/>
      <c r="S65" s="31"/>
      <c r="T65" s="31"/>
      <c r="U65" s="31"/>
      <c r="V65" s="31"/>
      <c r="W65" s="31"/>
      <c r="X65" s="31"/>
      <c r="Y65" s="31"/>
      <c r="AP65" s="267"/>
    </row>
    <row r="66" spans="1:55" s="296" customFormat="1" ht="28.15" customHeight="1">
      <c r="A66" s="289" t="str">
        <f>IF('TECH DATA ENTRY'!A83="","",'TECH DATA ENTRY'!A83)</f>
        <v>AC Voltage Accuracy</v>
      </c>
      <c r="B66" s="293"/>
      <c r="C66" s="294"/>
      <c r="D66" s="293"/>
      <c r="E66" s="293"/>
      <c r="F66" s="293"/>
      <c r="G66" s="294"/>
      <c r="H66" s="293"/>
      <c r="I66" s="295"/>
      <c r="J66" s="224"/>
      <c r="K66" s="224"/>
      <c r="L66" s="224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AK66" s="297"/>
    </row>
    <row r="67" spans="1:55" s="31" customFormat="1" ht="22.15" customHeight="1">
      <c r="A67" s="76" t="str">
        <f>IF('TECH DATA ENTRY'!A84="","",'TECH DATA ENTRY'!A84)</f>
        <v>Range 100 mV</v>
      </c>
      <c r="H67" s="321"/>
      <c r="O67" s="77"/>
      <c r="AK67" s="1"/>
      <c r="AM67" s="637" t="s">
        <v>116</v>
      </c>
      <c r="AN67" s="637"/>
      <c r="AO67" s="637"/>
      <c r="AP67" s="637"/>
      <c r="AQ67" s="637"/>
      <c r="AR67" s="637"/>
      <c r="AS67" s="637"/>
      <c r="AT67" s="637"/>
      <c r="AV67" s="637" t="s">
        <v>117</v>
      </c>
      <c r="AW67" s="637"/>
      <c r="AX67" s="637"/>
      <c r="AY67" s="637"/>
      <c r="AZ67" s="637"/>
      <c r="BA67" s="637"/>
      <c r="BB67" s="637"/>
      <c r="BC67" s="637"/>
    </row>
    <row r="68" spans="1:55" s="225" customFormat="1" ht="4.9000000000000004" customHeight="1" thickBot="1">
      <c r="A68" s="288" t="str">
        <f>IF('TECH DATA ENTRY'!A85="","",'TECH DATA ENTRY'!A85)</f>
        <v/>
      </c>
      <c r="K68" s="239"/>
      <c r="L68" s="239"/>
      <c r="AK68" s="240"/>
    </row>
    <row r="69" spans="1:55" s="285" customFormat="1" ht="20.149999999999999" customHeight="1">
      <c r="A69" s="644" t="str">
        <f>IF('TECH DATA ENTRY'!A86="","",'TECH DATA ENTRY'!A86)</f>
        <v>Frequency</v>
      </c>
      <c r="B69" s="646" t="str">
        <f>IF('TECH DATA ENTRY'!B86="","",'TECH DATA ENTRY'!B86)</f>
        <v>Nominal</v>
      </c>
      <c r="C69" s="648" t="s">
        <v>2</v>
      </c>
      <c r="D69" s="648" t="str">
        <f>IF(LEFT(P$11,3)="ROV", "Measured Value", "As Found")</f>
        <v>As Found</v>
      </c>
      <c r="E69" s="648" t="str">
        <f>IF(LEFT(P$11,3)="ROV", "Correction", "As Left")</f>
        <v>As Left</v>
      </c>
      <c r="F69" s="648" t="s">
        <v>3</v>
      </c>
      <c r="G69" s="653" t="s">
        <v>4</v>
      </c>
      <c r="H69" s="659" t="s">
        <v>30</v>
      </c>
      <c r="I69" s="661" t="s">
        <v>28</v>
      </c>
      <c r="J69" s="284"/>
      <c r="L69" s="658" t="s">
        <v>38</v>
      </c>
      <c r="M69" s="616" t="s">
        <v>31</v>
      </c>
      <c r="N69" s="281"/>
      <c r="O69" s="286"/>
      <c r="P69" s="640" t="s">
        <v>136</v>
      </c>
      <c r="Q69" s="641"/>
      <c r="R69" s="642"/>
      <c r="S69" s="638" t="s">
        <v>115</v>
      </c>
      <c r="T69" s="638"/>
      <c r="U69" s="638"/>
      <c r="V69" s="638"/>
      <c r="W69" s="640" t="s">
        <v>64</v>
      </c>
      <c r="X69" s="641"/>
      <c r="Y69" s="641"/>
      <c r="Z69" s="641"/>
      <c r="AA69" s="641"/>
      <c r="AB69" s="642"/>
      <c r="AC69" s="638" t="s">
        <v>97</v>
      </c>
      <c r="AD69" s="638"/>
      <c r="AE69" s="638"/>
      <c r="AF69" s="638" t="s">
        <v>127</v>
      </c>
      <c r="AG69" s="638"/>
      <c r="AH69" s="638" t="s">
        <v>128</v>
      </c>
      <c r="AI69" s="638"/>
      <c r="AJ69" s="638" t="s">
        <v>28</v>
      </c>
      <c r="AK69" s="638" t="s">
        <v>121</v>
      </c>
      <c r="AL69" s="308"/>
      <c r="AM69" s="639" t="s">
        <v>122</v>
      </c>
      <c r="AN69" s="639"/>
      <c r="AO69" s="308"/>
      <c r="AP69" s="639" t="s">
        <v>119</v>
      </c>
      <c r="AQ69" s="639"/>
      <c r="AR69" s="308"/>
      <c r="AS69" s="639" t="s">
        <v>120</v>
      </c>
      <c r="AT69" s="639"/>
      <c r="AU69" s="308"/>
      <c r="AV69" s="639" t="s">
        <v>122</v>
      </c>
      <c r="AW69" s="639"/>
      <c r="AX69" s="308"/>
      <c r="AY69" s="639" t="s">
        <v>119</v>
      </c>
      <c r="AZ69" s="639"/>
      <c r="BA69" s="308"/>
      <c r="BB69" s="639" t="s">
        <v>120</v>
      </c>
      <c r="BC69" s="639"/>
    </row>
    <row r="70" spans="1:55" s="285" customFormat="1" ht="20.149999999999999" customHeight="1" thickBot="1">
      <c r="A70" s="645"/>
      <c r="B70" s="647"/>
      <c r="C70" s="649"/>
      <c r="D70" s="649"/>
      <c r="E70" s="649"/>
      <c r="F70" s="649"/>
      <c r="G70" s="654"/>
      <c r="H70" s="660"/>
      <c r="I70" s="662"/>
      <c r="J70" s="284"/>
      <c r="L70" s="649"/>
      <c r="M70" s="617"/>
      <c r="O70" s="281"/>
      <c r="P70" s="309" t="s">
        <v>122</v>
      </c>
      <c r="Q70" s="309" t="s">
        <v>119</v>
      </c>
      <c r="R70" s="309" t="s">
        <v>120</v>
      </c>
      <c r="S70" s="309" t="s">
        <v>122</v>
      </c>
      <c r="T70" s="309" t="s">
        <v>119</v>
      </c>
      <c r="U70" s="309" t="s">
        <v>120</v>
      </c>
      <c r="V70" s="309" t="s">
        <v>118</v>
      </c>
      <c r="W70" s="309" t="s">
        <v>63</v>
      </c>
      <c r="X70" s="309" t="s">
        <v>69</v>
      </c>
      <c r="Y70" s="309" t="s">
        <v>71</v>
      </c>
      <c r="Z70" s="309" t="s">
        <v>72</v>
      </c>
      <c r="AA70" s="309" t="s">
        <v>70</v>
      </c>
      <c r="AB70" s="309" t="s">
        <v>75</v>
      </c>
      <c r="AC70" s="309" t="s">
        <v>78</v>
      </c>
      <c r="AD70" s="309" t="s">
        <v>119</v>
      </c>
      <c r="AE70" s="309" t="s">
        <v>120</v>
      </c>
      <c r="AF70" s="309" t="s">
        <v>129</v>
      </c>
      <c r="AG70" s="309" t="s">
        <v>130</v>
      </c>
      <c r="AH70" s="309" t="s">
        <v>129</v>
      </c>
      <c r="AI70" s="309" t="s">
        <v>130</v>
      </c>
      <c r="AJ70" s="652"/>
      <c r="AK70" s="652"/>
      <c r="AL70" s="308"/>
      <c r="AM70" s="310" t="s">
        <v>67</v>
      </c>
      <c r="AN70" s="310" t="s">
        <v>68</v>
      </c>
      <c r="AO70" s="308"/>
      <c r="AP70" s="310" t="s">
        <v>67</v>
      </c>
      <c r="AQ70" s="310" t="s">
        <v>68</v>
      </c>
      <c r="AR70" s="308"/>
      <c r="AS70" s="310" t="s">
        <v>67</v>
      </c>
      <c r="AT70" s="310" t="s">
        <v>68</v>
      </c>
      <c r="AU70" s="308"/>
      <c r="AV70" s="310" t="s">
        <v>67</v>
      </c>
      <c r="AW70" s="310" t="s">
        <v>68</v>
      </c>
      <c r="AX70" s="308"/>
      <c r="AY70" s="310" t="s">
        <v>67</v>
      </c>
      <c r="AZ70" s="310" t="s">
        <v>68</v>
      </c>
      <c r="BA70" s="308"/>
      <c r="BB70" s="310" t="s">
        <v>67</v>
      </c>
      <c r="BC70" s="310" t="s">
        <v>68</v>
      </c>
    </row>
    <row r="71" spans="1:55" s="86" customFormat="1" ht="25" customHeight="1" thickTop="1">
      <c r="A71" s="492" t="str">
        <f>IF('TECH DATA ENTRY'!A88="","",'TECH DATA ENTRY'!A88)</f>
        <v>10 Hz</v>
      </c>
      <c r="B71" s="364">
        <f>IF('TECH DATA ENTRY'!B88="","",'TECH DATA ENTRY'!B88)</f>
        <v>100</v>
      </c>
      <c r="C71" s="364">
        <f>IF(B71="","",IFERROR('TECH DATA ENTRY'!F88,"NA"))</f>
        <v>99.9</v>
      </c>
      <c r="D71" s="364" t="str">
        <f>IF('TECH DATA ENTRY'!L88="","",'TECH DATA ENTRY'!L88)</f>
        <v/>
      </c>
      <c r="E71" s="364" t="str">
        <f t="shared" si="0"/>
        <v/>
      </c>
      <c r="F71" s="364">
        <f>IF(B71="","",IFERROR('TECH DATA ENTRY'!G88,"NA"))</f>
        <v>100.1</v>
      </c>
      <c r="G71" s="522" t="str">
        <f t="shared" si="1"/>
        <v/>
      </c>
      <c r="H71" s="364" t="str">
        <f>IF(OR(ISTEXT(B71)=TRUE, D71="NA",D71=""),"NA", roundsf(MAX(L71,M71),C71))</f>
        <v>NA</v>
      </c>
      <c r="I71" s="325" t="str">
        <f t="shared" si="2"/>
        <v>NA</v>
      </c>
      <c r="J71" s="299"/>
      <c r="K71" s="245"/>
      <c r="L71" s="506">
        <f>(250/1000000)*ABS(B71)+(12/1000)</f>
        <v>3.7000000000000005E-2</v>
      </c>
      <c r="M71" s="244" t="str">
        <f>UNC_CALCULATION!AM60</f>
        <v>NA</v>
      </c>
      <c r="N71" s="85"/>
      <c r="O71" s="58"/>
      <c r="P71" s="69" t="e">
        <f>IF(B71="","",INDEX('AUX TABLES'!$G$4:$K$8,AV71,AW71))</f>
        <v>#VALUE!</v>
      </c>
      <c r="Q71" s="150" t="e">
        <f>IF(AJ$11=FALSE,IF(B71="","",IF(AJ71="NA",P71,INDEX('AUX TABLES'!$G$4:$K$8,AY71,AZ71))),IF(P71="FAIL",P71,INDEX('AUX TABLES'!$G$4:$K$8,AY71,AZ71)))</f>
        <v>#VALUE!</v>
      </c>
      <c r="R71" s="150" t="e">
        <f>IF(AJ$11=FALSE,IF(B71="","",IF(AJ71="NA",P71,INDEX('AUX TABLES'!$G$4:$K$8,BB71,BC71))),IF(P71="FAIL",P71,INDEX('AUX TABLES'!$G$4:$K$8,BB71,BC71)))</f>
        <v>#VALUE!</v>
      </c>
      <c r="S71" s="69" t="e">
        <f>INDEX('AUX TABLES'!$G$4:$K$8,AM71,AN71)</f>
        <v>#VALUE!</v>
      </c>
      <c r="T71" s="69" t="e">
        <f>IF(AJ$11=FALSE,IF(AJ71="NA",S71,INDEX('AUX TABLES'!$G$4:$K$8,AP71,AQ71)),IF(S71="FAIL",S71,INDEX('AUX TABLES'!$G$4:$K$8,AP71,AQ71)))</f>
        <v>#VALUE!</v>
      </c>
      <c r="U71" s="150" t="e">
        <f>IF(AJ$11=FALSE,IF(AJ71="NA",S71,INDEX('AUX TABLES'!$G$4:$K$8,AS71,AT71)),IF(S71="FAIL",S71,INDEX('AUX TABLES'!$G$4:$K$8,AS71,AT71)))</f>
        <v>#VALUE!</v>
      </c>
      <c r="V71" s="150" t="str">
        <f t="shared" si="4"/>
        <v/>
      </c>
      <c r="W71" s="74">
        <f t="shared" si="5"/>
        <v>100.1</v>
      </c>
      <c r="X71" s="74" t="str">
        <f t="shared" si="6"/>
        <v>NA</v>
      </c>
      <c r="Y71" s="74" t="str">
        <f t="shared" si="7"/>
        <v>NA</v>
      </c>
      <c r="Z71" s="74" t="str">
        <f t="shared" si="8"/>
        <v>NA</v>
      </c>
      <c r="AA71" s="74" t="str">
        <f t="shared" si="9"/>
        <v>NA</v>
      </c>
      <c r="AB71" s="74">
        <f t="shared" si="10"/>
        <v>99.9</v>
      </c>
      <c r="AC71" s="69" t="str">
        <f>IF(ISTEXT('TECH DATA ENTRY'!L88)=TRUE,"NA",'TECH DATA ENTRY'!H88)</f>
        <v>NA</v>
      </c>
      <c r="AD71" s="69" t="str">
        <f t="shared" si="11"/>
        <v>NA</v>
      </c>
      <c r="AE71" s="69" t="str">
        <f t="shared" si="12"/>
        <v>NA</v>
      </c>
      <c r="AF71" s="69" t="e">
        <f t="shared" si="13"/>
        <v>#VALUE!</v>
      </c>
      <c r="AG71" s="69" t="e">
        <f t="shared" si="14"/>
        <v>#VALUE!</v>
      </c>
      <c r="AH71" s="69" t="e">
        <f t="shared" si="15"/>
        <v>#VALUE!</v>
      </c>
      <c r="AI71" s="69" t="e">
        <f t="shared" si="16"/>
        <v>#VALUE!</v>
      </c>
      <c r="AJ71" s="70" t="str">
        <f>IF(OR(ISTEXT('TECH DATA ENTRY'!L88)=TRUE,ISTEXT('TECH DATA ENTRY'!F88)=TRUE,ISTEXT('TECH DATA ENTRY'!G88)=TRUE),"NA",(W71-AB71)/(2*MAX(M71,L71)))</f>
        <v>NA</v>
      </c>
      <c r="AK71" s="69" t="str">
        <f t="shared" si="17"/>
        <v>NA</v>
      </c>
      <c r="AM71" s="73" t="e">
        <f t="shared" si="18"/>
        <v>#VALUE!</v>
      </c>
      <c r="AN71" s="73" t="e">
        <f t="shared" si="19"/>
        <v>#VALUE!</v>
      </c>
      <c r="AO71" s="87"/>
      <c r="AP71" s="73" t="e">
        <f t="shared" si="20"/>
        <v>#VALUE!</v>
      </c>
      <c r="AQ71" s="73" t="e">
        <f t="shared" si="21"/>
        <v>#VALUE!</v>
      </c>
      <c r="AR71" s="87"/>
      <c r="AS71" s="73" t="e">
        <f t="shared" si="22"/>
        <v>#VALUE!</v>
      </c>
      <c r="AT71" s="73" t="e">
        <f t="shared" si="23"/>
        <v>#VALUE!</v>
      </c>
      <c r="AV71" s="73" t="e">
        <f t="shared" si="24"/>
        <v>#VALUE!</v>
      </c>
      <c r="AW71" s="73" t="e">
        <f t="shared" si="25"/>
        <v>#VALUE!</v>
      </c>
      <c r="AX71" s="87"/>
      <c r="AY71" s="73" t="e">
        <f t="shared" si="26"/>
        <v>#VALUE!</v>
      </c>
      <c r="AZ71" s="73" t="e">
        <f t="shared" si="27"/>
        <v>#VALUE!</v>
      </c>
      <c r="BA71" s="87"/>
      <c r="BB71" s="73" t="e">
        <f t="shared" si="28"/>
        <v>#VALUE!</v>
      </c>
      <c r="BC71" s="73" t="e">
        <f t="shared" si="29"/>
        <v>#VALUE!</v>
      </c>
    </row>
    <row r="72" spans="1:55" s="86" customFormat="1" ht="25" customHeight="1">
      <c r="A72" s="492" t="str">
        <f>IF('TECH DATA ENTRY'!A89="","",'TECH DATA ENTRY'!A89)</f>
        <v>20 kHz</v>
      </c>
      <c r="B72" s="364">
        <f>IF('TECH DATA ENTRY'!B89="","",'TECH DATA ENTRY'!B89)</f>
        <v>100</v>
      </c>
      <c r="C72" s="364">
        <f>IF(B72="","",IFERROR('TECH DATA ENTRY'!F89,"NA"))</f>
        <v>99.9</v>
      </c>
      <c r="D72" s="364" t="str">
        <f>IF('TECH DATA ENTRY'!L89="","",'TECH DATA ENTRY'!L89)</f>
        <v/>
      </c>
      <c r="E72" s="364" t="str">
        <f t="shared" si="0"/>
        <v/>
      </c>
      <c r="F72" s="364">
        <f>IF(B72="","",IFERROR('TECH DATA ENTRY'!G89,"NA"))</f>
        <v>100.1</v>
      </c>
      <c r="G72" s="522" t="str">
        <f t="shared" si="1"/>
        <v/>
      </c>
      <c r="H72" s="364" t="str">
        <f>IF(OR(ISTEXT(B72)=TRUE, D72="NA",D72=""),"NA", roundsf(MAX(L72,M72),C72))</f>
        <v>NA</v>
      </c>
      <c r="I72" s="325" t="str">
        <f t="shared" si="2"/>
        <v>NA</v>
      </c>
      <c r="J72" s="299"/>
      <c r="K72" s="245"/>
      <c r="L72" s="506">
        <f>(86/1000000)*ABS(B72)+(7/1000)</f>
        <v>1.5599999999999999E-2</v>
      </c>
      <c r="M72" s="244" t="str">
        <f>UNC_CALCULATION!AM61</f>
        <v>NA</v>
      </c>
      <c r="N72" s="85"/>
      <c r="O72" s="58"/>
      <c r="P72" s="69" t="e">
        <f>IF(B72="","",INDEX('AUX TABLES'!$G$4:$K$8,AV72,AW72))</f>
        <v>#VALUE!</v>
      </c>
      <c r="Q72" s="150" t="e">
        <f>IF(AJ$11=FALSE,IF(B72="","",IF(AJ72="NA",P72,INDEX('AUX TABLES'!$G$4:$K$8,AY72,AZ72))),IF(P72="FAIL",P72,INDEX('AUX TABLES'!$G$4:$K$8,AY72,AZ72)))</f>
        <v>#VALUE!</v>
      </c>
      <c r="R72" s="150" t="e">
        <f>IF(AJ$11=FALSE,IF(B72="","",IF(AJ72="NA",P72,INDEX('AUX TABLES'!$G$4:$K$8,BB72,BC72))),IF(P72="FAIL",P72,INDEX('AUX TABLES'!$G$4:$K$8,BB72,BC72)))</f>
        <v>#VALUE!</v>
      </c>
      <c r="S72" s="69" t="e">
        <f>INDEX('AUX TABLES'!$G$4:$K$8,AM72,AN72)</f>
        <v>#VALUE!</v>
      </c>
      <c r="T72" s="69" t="e">
        <f>IF(AJ$11=FALSE,IF(AJ72="NA",S72,INDEX('AUX TABLES'!$G$4:$K$8,AP72,AQ72)),IF(S72="FAIL",S72,INDEX('AUX TABLES'!$G$4:$K$8,AP72,AQ72)))</f>
        <v>#VALUE!</v>
      </c>
      <c r="U72" s="150" t="e">
        <f>IF(AJ$11=FALSE,IF(AJ72="NA",S72,INDEX('AUX TABLES'!$G$4:$K$8,AS72,AT72)),IF(S72="FAIL",S72,INDEX('AUX TABLES'!$G$4:$K$8,AS72,AT72)))</f>
        <v>#VALUE!</v>
      </c>
      <c r="V72" s="150" t="str">
        <f t="shared" si="4"/>
        <v/>
      </c>
      <c r="W72" s="74">
        <f t="shared" si="5"/>
        <v>100.1</v>
      </c>
      <c r="X72" s="74" t="str">
        <f t="shared" si="6"/>
        <v>NA</v>
      </c>
      <c r="Y72" s="74" t="str">
        <f t="shared" si="7"/>
        <v>NA</v>
      </c>
      <c r="Z72" s="74" t="str">
        <f t="shared" si="8"/>
        <v>NA</v>
      </c>
      <c r="AA72" s="74" t="str">
        <f t="shared" si="9"/>
        <v>NA</v>
      </c>
      <c r="AB72" s="74">
        <f t="shared" si="10"/>
        <v>99.9</v>
      </c>
      <c r="AC72" s="69" t="str">
        <f>IF(ISTEXT('TECH DATA ENTRY'!L89)=TRUE,"NA",'TECH DATA ENTRY'!H89)</f>
        <v>NA</v>
      </c>
      <c r="AD72" s="69" t="str">
        <f t="shared" si="11"/>
        <v>NA</v>
      </c>
      <c r="AE72" s="69" t="str">
        <f t="shared" si="12"/>
        <v>NA</v>
      </c>
      <c r="AF72" s="69" t="e">
        <f t="shared" si="13"/>
        <v>#VALUE!</v>
      </c>
      <c r="AG72" s="69" t="e">
        <f t="shared" si="14"/>
        <v>#VALUE!</v>
      </c>
      <c r="AH72" s="69" t="e">
        <f t="shared" si="15"/>
        <v>#VALUE!</v>
      </c>
      <c r="AI72" s="69" t="e">
        <f t="shared" si="16"/>
        <v>#VALUE!</v>
      </c>
      <c r="AJ72" s="70" t="str">
        <f>IF(OR(ISTEXT('TECH DATA ENTRY'!L89)=TRUE,ISTEXT('TECH DATA ENTRY'!F89)=TRUE,ISTEXT('TECH DATA ENTRY'!G89)=TRUE),"NA",(W72-AB72)/(2*MAX(M72,L72)))</f>
        <v>NA</v>
      </c>
      <c r="AK72" s="69" t="str">
        <f t="shared" si="17"/>
        <v>NA</v>
      </c>
      <c r="AM72" s="73" t="e">
        <f t="shared" si="18"/>
        <v>#VALUE!</v>
      </c>
      <c r="AN72" s="73" t="e">
        <f t="shared" si="19"/>
        <v>#VALUE!</v>
      </c>
      <c r="AO72" s="87"/>
      <c r="AP72" s="73" t="e">
        <f t="shared" si="20"/>
        <v>#VALUE!</v>
      </c>
      <c r="AQ72" s="73" t="e">
        <f t="shared" si="21"/>
        <v>#VALUE!</v>
      </c>
      <c r="AR72" s="87"/>
      <c r="AS72" s="73" t="e">
        <f t="shared" si="22"/>
        <v>#VALUE!</v>
      </c>
      <c r="AT72" s="73" t="e">
        <f t="shared" si="23"/>
        <v>#VALUE!</v>
      </c>
      <c r="AV72" s="73" t="e">
        <f t="shared" si="24"/>
        <v>#VALUE!</v>
      </c>
      <c r="AW72" s="73" t="e">
        <f t="shared" si="25"/>
        <v>#VALUE!</v>
      </c>
      <c r="AX72" s="87"/>
      <c r="AY72" s="73" t="e">
        <f t="shared" si="26"/>
        <v>#VALUE!</v>
      </c>
      <c r="AZ72" s="73" t="e">
        <f t="shared" si="27"/>
        <v>#VALUE!</v>
      </c>
      <c r="BA72" s="87"/>
      <c r="BB72" s="73" t="e">
        <f t="shared" si="28"/>
        <v>#VALUE!</v>
      </c>
      <c r="BC72" s="73" t="e">
        <f t="shared" si="29"/>
        <v>#VALUE!</v>
      </c>
    </row>
    <row r="73" spans="1:55" s="86" customFormat="1" ht="25" customHeight="1">
      <c r="A73" s="492" t="str">
        <f>IF('TECH DATA ENTRY'!A90="","",'TECH DATA ENTRY'!A90)</f>
        <v>50 kHz</v>
      </c>
      <c r="B73" s="364">
        <f>IF('TECH DATA ENTRY'!B90="","",'TECH DATA ENTRY'!B90)</f>
        <v>100</v>
      </c>
      <c r="C73" s="364">
        <f>IF(B73="","",IFERROR('TECH DATA ENTRY'!F90,"NA"))</f>
        <v>99.83</v>
      </c>
      <c r="D73" s="364" t="str">
        <f>IF('TECH DATA ENTRY'!L90="","",'TECH DATA ENTRY'!L90)</f>
        <v/>
      </c>
      <c r="E73" s="364" t="str">
        <f t="shared" si="0"/>
        <v/>
      </c>
      <c r="F73" s="364">
        <f>IF(B73="","",IFERROR('TECH DATA ENTRY'!G90,"NA"))</f>
        <v>100.17</v>
      </c>
      <c r="G73" s="522" t="str">
        <f t="shared" si="1"/>
        <v/>
      </c>
      <c r="H73" s="364" t="str">
        <f>IF(OR(ISTEXT(B73)=TRUE, D73="NA",D73=""),"NA", roundsf(MAX(L73,M73),C73))</f>
        <v>NA</v>
      </c>
      <c r="I73" s="325" t="str">
        <f t="shared" si="2"/>
        <v>NA</v>
      </c>
      <c r="J73" s="299"/>
      <c r="K73" s="245"/>
      <c r="L73" s="506">
        <f>(206/1000000)*ABS(B73)+(7/1000)</f>
        <v>2.76E-2</v>
      </c>
      <c r="M73" s="244" t="str">
        <f>UNC_CALCULATION!AM62</f>
        <v>NA</v>
      </c>
      <c r="N73" s="85"/>
      <c r="O73" s="58"/>
      <c r="P73" s="69" t="e">
        <f>IF(B73="","",INDEX('AUX TABLES'!$G$4:$K$8,AV73,AW73))</f>
        <v>#VALUE!</v>
      </c>
      <c r="Q73" s="150" t="e">
        <f>IF(AJ$11=FALSE,IF(B73="","",IF(AJ73="NA",P73,INDEX('AUX TABLES'!$G$4:$K$8,AY73,AZ73))),IF(P73="FAIL",P73,INDEX('AUX TABLES'!$G$4:$K$8,AY73,AZ73)))</f>
        <v>#VALUE!</v>
      </c>
      <c r="R73" s="150" t="e">
        <f>IF(AJ$11=FALSE,IF(B73="","",IF(AJ73="NA",P73,INDEX('AUX TABLES'!$G$4:$K$8,BB73,BC73))),IF(P73="FAIL",P73,INDEX('AUX TABLES'!$G$4:$K$8,BB73,BC73)))</f>
        <v>#VALUE!</v>
      </c>
      <c r="S73" s="69" t="e">
        <f>INDEX('AUX TABLES'!$G$4:$K$8,AM73,AN73)</f>
        <v>#VALUE!</v>
      </c>
      <c r="T73" s="69" t="e">
        <f>IF(AJ$11=FALSE,IF(AJ73="NA",S73,INDEX('AUX TABLES'!$G$4:$K$8,AP73,AQ73)),IF(S73="FAIL",S73,INDEX('AUX TABLES'!$G$4:$K$8,AP73,AQ73)))</f>
        <v>#VALUE!</v>
      </c>
      <c r="U73" s="150" t="e">
        <f>IF(AJ$11=FALSE,IF(AJ73="NA",S73,INDEX('AUX TABLES'!$G$4:$K$8,AS73,AT73)),IF(S73="FAIL",S73,INDEX('AUX TABLES'!$G$4:$K$8,AS73,AT73)))</f>
        <v>#VALUE!</v>
      </c>
      <c r="V73" s="150" t="str">
        <f t="shared" si="4"/>
        <v/>
      </c>
      <c r="W73" s="74">
        <f t="shared" si="5"/>
        <v>100.17</v>
      </c>
      <c r="X73" s="74" t="str">
        <f t="shared" si="6"/>
        <v>NA</v>
      </c>
      <c r="Y73" s="74" t="str">
        <f t="shared" si="7"/>
        <v>NA</v>
      </c>
      <c r="Z73" s="74" t="str">
        <f t="shared" si="8"/>
        <v>NA</v>
      </c>
      <c r="AA73" s="74" t="str">
        <f t="shared" si="9"/>
        <v>NA</v>
      </c>
      <c r="AB73" s="74">
        <f t="shared" si="10"/>
        <v>99.83</v>
      </c>
      <c r="AC73" s="69" t="str">
        <f>IF(ISTEXT('TECH DATA ENTRY'!L90)=TRUE,"NA",'TECH DATA ENTRY'!H90)</f>
        <v>NA</v>
      </c>
      <c r="AD73" s="69" t="str">
        <f t="shared" si="11"/>
        <v>NA</v>
      </c>
      <c r="AE73" s="69" t="str">
        <f t="shared" si="12"/>
        <v>NA</v>
      </c>
      <c r="AF73" s="69" t="e">
        <f t="shared" si="13"/>
        <v>#VALUE!</v>
      </c>
      <c r="AG73" s="69" t="e">
        <f t="shared" si="14"/>
        <v>#VALUE!</v>
      </c>
      <c r="AH73" s="69" t="e">
        <f t="shared" si="15"/>
        <v>#VALUE!</v>
      </c>
      <c r="AI73" s="69" t="e">
        <f t="shared" si="16"/>
        <v>#VALUE!</v>
      </c>
      <c r="AJ73" s="70" t="str">
        <f>IF(OR(ISTEXT('TECH DATA ENTRY'!L90)=TRUE,ISTEXT('TECH DATA ENTRY'!F90)=TRUE,ISTEXT('TECH DATA ENTRY'!G90)=TRUE),"NA",(W73-AB73)/(2*MAX(M73,L73)))</f>
        <v>NA</v>
      </c>
      <c r="AK73" s="69" t="str">
        <f t="shared" si="17"/>
        <v>NA</v>
      </c>
      <c r="AM73" s="73" t="e">
        <f t="shared" si="18"/>
        <v>#VALUE!</v>
      </c>
      <c r="AN73" s="73" t="e">
        <f t="shared" si="19"/>
        <v>#VALUE!</v>
      </c>
      <c r="AO73" s="87"/>
      <c r="AP73" s="73" t="e">
        <f t="shared" si="20"/>
        <v>#VALUE!</v>
      </c>
      <c r="AQ73" s="73" t="e">
        <f t="shared" si="21"/>
        <v>#VALUE!</v>
      </c>
      <c r="AR73" s="87"/>
      <c r="AS73" s="73" t="e">
        <f t="shared" si="22"/>
        <v>#VALUE!</v>
      </c>
      <c r="AT73" s="73" t="e">
        <f t="shared" si="23"/>
        <v>#VALUE!</v>
      </c>
      <c r="AV73" s="73" t="e">
        <f t="shared" si="24"/>
        <v>#VALUE!</v>
      </c>
      <c r="AW73" s="73" t="e">
        <f t="shared" si="25"/>
        <v>#VALUE!</v>
      </c>
      <c r="AX73" s="87"/>
      <c r="AY73" s="73" t="e">
        <f t="shared" si="26"/>
        <v>#VALUE!</v>
      </c>
      <c r="AZ73" s="73" t="e">
        <f t="shared" si="27"/>
        <v>#VALUE!</v>
      </c>
      <c r="BA73" s="87"/>
      <c r="BB73" s="73" t="e">
        <f t="shared" si="28"/>
        <v>#VALUE!</v>
      </c>
      <c r="BC73" s="73" t="e">
        <f t="shared" si="29"/>
        <v>#VALUE!</v>
      </c>
    </row>
    <row r="74" spans="1:55" s="86" customFormat="1" ht="25" customHeight="1">
      <c r="A74" s="492" t="str">
        <f>IF('TECH DATA ENTRY'!A91="","",'TECH DATA ENTRY'!A91)</f>
        <v>100 kHz</v>
      </c>
      <c r="B74" s="364">
        <f>IF('TECH DATA ENTRY'!B91="","",'TECH DATA ENTRY'!B91)</f>
        <v>100</v>
      </c>
      <c r="C74" s="364">
        <f>IF(B74="","",IFERROR('TECH DATA ENTRY'!F91,"NA"))</f>
        <v>99.32</v>
      </c>
      <c r="D74" s="364" t="str">
        <f>IF('TECH DATA ENTRY'!L91="","",'TECH DATA ENTRY'!L91)</f>
        <v/>
      </c>
      <c r="E74" s="364" t="str">
        <f t="shared" si="0"/>
        <v/>
      </c>
      <c r="F74" s="364">
        <f>IF(B74="","",IFERROR('TECH DATA ENTRY'!G91,"NA"))</f>
        <v>100.68</v>
      </c>
      <c r="G74" s="522" t="str">
        <f t="shared" si="1"/>
        <v/>
      </c>
      <c r="H74" s="364" t="str">
        <f>IF(OR(ISTEXT(B74)=TRUE, D74="NA",D74=""),"NA", roundsf(MAX(L74,M74),C74))</f>
        <v>NA</v>
      </c>
      <c r="I74" s="325" t="str">
        <f t="shared" si="2"/>
        <v>NA</v>
      </c>
      <c r="J74" s="299"/>
      <c r="K74" s="245"/>
      <c r="L74" s="506">
        <f>(478/1000000)*ABS(B74)+(17/1000)</f>
        <v>6.4799999999999996E-2</v>
      </c>
      <c r="M74" s="244" t="str">
        <f>UNC_CALCULATION!AM63</f>
        <v>NA</v>
      </c>
      <c r="N74" s="85"/>
      <c r="O74" s="58"/>
      <c r="P74" s="69" t="e">
        <f>IF(B74="","",INDEX('AUX TABLES'!$G$4:$K$8,AV74,AW74))</f>
        <v>#VALUE!</v>
      </c>
      <c r="Q74" s="150" t="e">
        <f>IF(AJ$11=FALSE,IF(B74="","",IF(AJ74="NA",P74,INDEX('AUX TABLES'!$G$4:$K$8,AY74,AZ74))),IF(P74="FAIL",P74,INDEX('AUX TABLES'!$G$4:$K$8,AY74,AZ74)))</f>
        <v>#VALUE!</v>
      </c>
      <c r="R74" s="150" t="e">
        <f>IF(AJ$11=FALSE,IF(B74="","",IF(AJ74="NA",P74,INDEX('AUX TABLES'!$G$4:$K$8,BB74,BC74))),IF(P74="FAIL",P74,INDEX('AUX TABLES'!$G$4:$K$8,BB74,BC74)))</f>
        <v>#VALUE!</v>
      </c>
      <c r="S74" s="69" t="e">
        <f>INDEX('AUX TABLES'!$G$4:$K$8,AM74,AN74)</f>
        <v>#VALUE!</v>
      </c>
      <c r="T74" s="69" t="e">
        <f>IF(AJ$11=FALSE,IF(AJ74="NA",S74,INDEX('AUX TABLES'!$G$4:$K$8,AP74,AQ74)),IF(S74="FAIL",S74,INDEX('AUX TABLES'!$G$4:$K$8,AP74,AQ74)))</f>
        <v>#VALUE!</v>
      </c>
      <c r="U74" s="150" t="e">
        <f>IF(AJ$11=FALSE,IF(AJ74="NA",S74,INDEX('AUX TABLES'!$G$4:$K$8,AS74,AT74)),IF(S74="FAIL",S74,INDEX('AUX TABLES'!$G$4:$K$8,AS74,AT74)))</f>
        <v>#VALUE!</v>
      </c>
      <c r="V74" s="150" t="str">
        <f t="shared" si="4"/>
        <v/>
      </c>
      <c r="W74" s="74">
        <f t="shared" si="5"/>
        <v>100.68</v>
      </c>
      <c r="X74" s="74" t="str">
        <f t="shared" si="6"/>
        <v>NA</v>
      </c>
      <c r="Y74" s="74" t="str">
        <f t="shared" si="7"/>
        <v>NA</v>
      </c>
      <c r="Z74" s="74" t="str">
        <f t="shared" si="8"/>
        <v>NA</v>
      </c>
      <c r="AA74" s="74" t="str">
        <f t="shared" si="9"/>
        <v>NA</v>
      </c>
      <c r="AB74" s="74">
        <f t="shared" si="10"/>
        <v>99.32</v>
      </c>
      <c r="AC74" s="69" t="str">
        <f>IF(ISTEXT('TECH DATA ENTRY'!L91)=TRUE,"NA",'TECH DATA ENTRY'!H91)</f>
        <v>NA</v>
      </c>
      <c r="AD74" s="69" t="str">
        <f t="shared" si="11"/>
        <v>NA</v>
      </c>
      <c r="AE74" s="69" t="str">
        <f t="shared" si="12"/>
        <v>NA</v>
      </c>
      <c r="AF74" s="69" t="e">
        <f t="shared" si="13"/>
        <v>#VALUE!</v>
      </c>
      <c r="AG74" s="69" t="e">
        <f t="shared" si="14"/>
        <v>#VALUE!</v>
      </c>
      <c r="AH74" s="69" t="e">
        <f t="shared" si="15"/>
        <v>#VALUE!</v>
      </c>
      <c r="AI74" s="69" t="e">
        <f t="shared" si="16"/>
        <v>#VALUE!</v>
      </c>
      <c r="AJ74" s="70" t="str">
        <f>IF(OR(ISTEXT('TECH DATA ENTRY'!L91)=TRUE,ISTEXT('TECH DATA ENTRY'!F91)=TRUE,ISTEXT('TECH DATA ENTRY'!G91)=TRUE),"NA",(W74-AB74)/(2*MAX(M74,L74)))</f>
        <v>NA</v>
      </c>
      <c r="AK74" s="69" t="str">
        <f t="shared" si="17"/>
        <v>NA</v>
      </c>
      <c r="AM74" s="73" t="e">
        <f t="shared" si="18"/>
        <v>#VALUE!</v>
      </c>
      <c r="AN74" s="73" t="e">
        <f t="shared" si="19"/>
        <v>#VALUE!</v>
      </c>
      <c r="AO74" s="87"/>
      <c r="AP74" s="73" t="e">
        <f t="shared" si="20"/>
        <v>#VALUE!</v>
      </c>
      <c r="AQ74" s="73" t="e">
        <f t="shared" si="21"/>
        <v>#VALUE!</v>
      </c>
      <c r="AR74" s="87"/>
      <c r="AS74" s="73" t="e">
        <f t="shared" si="22"/>
        <v>#VALUE!</v>
      </c>
      <c r="AT74" s="73" t="e">
        <f t="shared" si="23"/>
        <v>#VALUE!</v>
      </c>
      <c r="AV74" s="73" t="e">
        <f t="shared" si="24"/>
        <v>#VALUE!</v>
      </c>
      <c r="AW74" s="73" t="e">
        <f t="shared" si="25"/>
        <v>#VALUE!</v>
      </c>
      <c r="AX74" s="87"/>
      <c r="AY74" s="73" t="e">
        <f t="shared" si="26"/>
        <v>#VALUE!</v>
      </c>
      <c r="AZ74" s="73" t="e">
        <f t="shared" si="27"/>
        <v>#VALUE!</v>
      </c>
      <c r="BA74" s="87"/>
      <c r="BB74" s="73" t="e">
        <f t="shared" si="28"/>
        <v>#VALUE!</v>
      </c>
      <c r="BC74" s="73" t="e">
        <f t="shared" si="29"/>
        <v>#VALUE!</v>
      </c>
    </row>
    <row r="75" spans="1:55" s="86" customFormat="1" ht="25" customHeight="1" thickBot="1">
      <c r="A75" s="493" t="str">
        <f>IF('TECH DATA ENTRY'!A92="","",'TECH DATA ENTRY'!A92)</f>
        <v>300 kHz</v>
      </c>
      <c r="B75" s="495">
        <f>IF('TECH DATA ENTRY'!B92="","",'TECH DATA ENTRY'!B92)</f>
        <v>100</v>
      </c>
      <c r="C75" s="495">
        <f>IF(B75="","",IFERROR('TECH DATA ENTRY'!F92,"NA"))</f>
        <v>95.5</v>
      </c>
      <c r="D75" s="495" t="str">
        <f>IF('TECH DATA ENTRY'!L92="","",'TECH DATA ENTRY'!L92)</f>
        <v/>
      </c>
      <c r="E75" s="495" t="str">
        <f t="shared" si="0"/>
        <v/>
      </c>
      <c r="F75" s="495">
        <f>IF(B75="","",IFERROR('TECH DATA ENTRY'!G92,"NA"))</f>
        <v>104.5</v>
      </c>
      <c r="G75" s="523" t="str">
        <f t="shared" si="1"/>
        <v/>
      </c>
      <c r="H75" s="495" t="str">
        <f>IF(OR(ISTEXT(B75)=TRUE, D75="NA",D75=""),"NA", roundsf(MAX(L75,M75),C75))</f>
        <v>NA</v>
      </c>
      <c r="I75" s="486" t="str">
        <f t="shared" si="2"/>
        <v>NA</v>
      </c>
      <c r="J75" s="299"/>
      <c r="K75" s="245"/>
      <c r="L75" s="506">
        <f>(853/1000000)*ABS(B75)+(20/1000)</f>
        <v>0.1053</v>
      </c>
      <c r="M75" s="244" t="str">
        <f>UNC_CALCULATION!AM64</f>
        <v>NA</v>
      </c>
      <c r="N75" s="85"/>
      <c r="O75" s="58"/>
      <c r="P75" s="69" t="e">
        <f>IF(B75="","",INDEX('AUX TABLES'!$G$4:$K$8,AV75,AW75))</f>
        <v>#VALUE!</v>
      </c>
      <c r="Q75" s="150" t="e">
        <f>IF(AJ$11=FALSE,IF(B75="","",IF(AJ75="NA",P75,INDEX('AUX TABLES'!$G$4:$K$8,AY75,AZ75))),IF(P75="FAIL",P75,INDEX('AUX TABLES'!$G$4:$K$8,AY75,AZ75)))</f>
        <v>#VALUE!</v>
      </c>
      <c r="R75" s="150" t="e">
        <f>IF(AJ$11=FALSE,IF(B75="","",IF(AJ75="NA",P75,INDEX('AUX TABLES'!$G$4:$K$8,BB75,BC75))),IF(P75="FAIL",P75,INDEX('AUX TABLES'!$G$4:$K$8,BB75,BC75)))</f>
        <v>#VALUE!</v>
      </c>
      <c r="S75" s="69" t="e">
        <f>INDEX('AUX TABLES'!$G$4:$K$8,AM75,AN75)</f>
        <v>#VALUE!</v>
      </c>
      <c r="T75" s="69" t="e">
        <f>IF(AJ$11=FALSE,IF(AJ75="NA",S75,INDEX('AUX TABLES'!$G$4:$K$8,AP75,AQ75)),IF(S75="FAIL",S75,INDEX('AUX TABLES'!$G$4:$K$8,AP75,AQ75)))</f>
        <v>#VALUE!</v>
      </c>
      <c r="U75" s="150" t="e">
        <f>IF(AJ$11=FALSE,IF(AJ75="NA",S75,INDEX('AUX TABLES'!$G$4:$K$8,AS75,AT75)),IF(S75="FAIL",S75,INDEX('AUX TABLES'!$G$4:$K$8,AS75,AT75)))</f>
        <v>#VALUE!</v>
      </c>
      <c r="V75" s="150" t="str">
        <f t="shared" si="4"/>
        <v/>
      </c>
      <c r="W75" s="74">
        <f t="shared" si="5"/>
        <v>104.5</v>
      </c>
      <c r="X75" s="74" t="str">
        <f t="shared" si="6"/>
        <v>NA</v>
      </c>
      <c r="Y75" s="74" t="str">
        <f t="shared" si="7"/>
        <v>NA</v>
      </c>
      <c r="Z75" s="74" t="str">
        <f t="shared" si="8"/>
        <v>NA</v>
      </c>
      <c r="AA75" s="74" t="str">
        <f t="shared" si="9"/>
        <v>NA</v>
      </c>
      <c r="AB75" s="74">
        <f t="shared" si="10"/>
        <v>95.5</v>
      </c>
      <c r="AC75" s="69" t="str">
        <f>IF(ISTEXT('TECH DATA ENTRY'!L92)=TRUE,"NA",'TECH DATA ENTRY'!H92)</f>
        <v>NA</v>
      </c>
      <c r="AD75" s="69" t="str">
        <f t="shared" si="11"/>
        <v>NA</v>
      </c>
      <c r="AE75" s="69" t="str">
        <f t="shared" si="12"/>
        <v>NA</v>
      </c>
      <c r="AF75" s="69" t="e">
        <f t="shared" si="13"/>
        <v>#VALUE!</v>
      </c>
      <c r="AG75" s="69" t="e">
        <f t="shared" si="14"/>
        <v>#VALUE!</v>
      </c>
      <c r="AH75" s="69" t="e">
        <f t="shared" si="15"/>
        <v>#VALUE!</v>
      </c>
      <c r="AI75" s="69" t="e">
        <f t="shared" si="16"/>
        <v>#VALUE!</v>
      </c>
      <c r="AJ75" s="70" t="str">
        <f>IF(OR(ISTEXT('TECH DATA ENTRY'!L92)=TRUE,ISTEXT('TECH DATA ENTRY'!F92)=TRUE,ISTEXT('TECH DATA ENTRY'!G92)=TRUE),"NA",(W75-AB75)/(2*MAX(M75,L75)))</f>
        <v>NA</v>
      </c>
      <c r="AK75" s="69" t="str">
        <f t="shared" si="17"/>
        <v>NA</v>
      </c>
      <c r="AM75" s="73" t="e">
        <f t="shared" si="18"/>
        <v>#VALUE!</v>
      </c>
      <c r="AN75" s="73" t="e">
        <f t="shared" si="19"/>
        <v>#VALUE!</v>
      </c>
      <c r="AO75" s="87"/>
      <c r="AP75" s="73" t="e">
        <f t="shared" si="20"/>
        <v>#VALUE!</v>
      </c>
      <c r="AQ75" s="73" t="e">
        <f t="shared" si="21"/>
        <v>#VALUE!</v>
      </c>
      <c r="AR75" s="87"/>
      <c r="AS75" s="73" t="e">
        <f t="shared" si="22"/>
        <v>#VALUE!</v>
      </c>
      <c r="AT75" s="73" t="e">
        <f t="shared" si="23"/>
        <v>#VALUE!</v>
      </c>
      <c r="AV75" s="73" t="e">
        <f t="shared" si="24"/>
        <v>#VALUE!</v>
      </c>
      <c r="AW75" s="73" t="e">
        <f t="shared" si="25"/>
        <v>#VALUE!</v>
      </c>
      <c r="AX75" s="87"/>
      <c r="AY75" s="73" t="e">
        <f t="shared" si="26"/>
        <v>#VALUE!</v>
      </c>
      <c r="AZ75" s="73" t="e">
        <f t="shared" si="27"/>
        <v>#VALUE!</v>
      </c>
      <c r="BA75" s="87"/>
      <c r="BB75" s="73" t="e">
        <f t="shared" si="28"/>
        <v>#VALUE!</v>
      </c>
      <c r="BC75" s="73" t="e">
        <f t="shared" si="29"/>
        <v>#VALUE!</v>
      </c>
    </row>
    <row r="76" spans="1:55" s="296" customFormat="1" ht="28.15" customHeight="1">
      <c r="A76" s="550" t="str">
        <f>IF('TECH DATA ENTRY'!A93="","",'TECH DATA ENTRY'!A93)</f>
        <v/>
      </c>
      <c r="B76" s="551"/>
      <c r="C76" s="552"/>
      <c r="D76" s="551"/>
      <c r="E76" s="551"/>
      <c r="F76" s="551"/>
      <c r="G76" s="552"/>
      <c r="H76" s="551"/>
      <c r="I76" s="553"/>
      <c r="J76" s="224"/>
      <c r="K76" s="224"/>
      <c r="L76" s="224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AK76" s="297"/>
    </row>
    <row r="77" spans="1:55" s="31" customFormat="1" ht="22.15" customHeight="1">
      <c r="A77" s="76" t="str">
        <f>IF('TECH DATA ENTRY'!A94="","",'TECH DATA ENTRY'!A94)</f>
        <v>Range 1.0 V</v>
      </c>
      <c r="H77" s="321"/>
      <c r="O77" s="77"/>
      <c r="AK77" s="1"/>
      <c r="AM77" s="637" t="s">
        <v>116</v>
      </c>
      <c r="AN77" s="637"/>
      <c r="AO77" s="637"/>
      <c r="AP77" s="637"/>
      <c r="AQ77" s="637"/>
      <c r="AR77" s="637"/>
      <c r="AS77" s="637"/>
      <c r="AT77" s="637"/>
      <c r="AV77" s="637" t="s">
        <v>117</v>
      </c>
      <c r="AW77" s="637"/>
      <c r="AX77" s="637"/>
      <c r="AY77" s="637"/>
      <c r="AZ77" s="637"/>
      <c r="BA77" s="637"/>
      <c r="BB77" s="637"/>
      <c r="BC77" s="637"/>
    </row>
    <row r="78" spans="1:55" s="225" customFormat="1" ht="4.9000000000000004" customHeight="1" thickBot="1">
      <c r="A78" s="288" t="str">
        <f>IF('TECH DATA ENTRY'!A95="","",'TECH DATA ENTRY'!A95)</f>
        <v/>
      </c>
      <c r="K78" s="239"/>
      <c r="L78" s="239"/>
      <c r="AK78" s="240"/>
    </row>
    <row r="79" spans="1:55" s="285" customFormat="1" ht="20.149999999999999" customHeight="1">
      <c r="A79" s="644" t="str">
        <f>IF('TECH DATA ENTRY'!A96="","",'TECH DATA ENTRY'!A96)</f>
        <v>Frequency</v>
      </c>
      <c r="B79" s="646" t="str">
        <f>IF('TECH DATA ENTRY'!B96="","",'TECH DATA ENTRY'!B96)</f>
        <v>Nominal</v>
      </c>
      <c r="C79" s="648" t="s">
        <v>2</v>
      </c>
      <c r="D79" s="648" t="str">
        <f>IF(LEFT(P$11,3)="ROV", "Measured Value", "As Found")</f>
        <v>As Found</v>
      </c>
      <c r="E79" s="648" t="str">
        <f>IF(LEFT(P$11,3)="ROV", "Correction", "As Left")</f>
        <v>As Left</v>
      </c>
      <c r="F79" s="648" t="s">
        <v>3</v>
      </c>
      <c r="G79" s="653" t="s">
        <v>4</v>
      </c>
      <c r="H79" s="659" t="s">
        <v>30</v>
      </c>
      <c r="I79" s="661" t="s">
        <v>28</v>
      </c>
      <c r="J79" s="284"/>
      <c r="L79" s="658" t="s">
        <v>38</v>
      </c>
      <c r="M79" s="616" t="s">
        <v>31</v>
      </c>
      <c r="N79" s="281"/>
      <c r="O79" s="286"/>
      <c r="P79" s="640" t="s">
        <v>136</v>
      </c>
      <c r="Q79" s="641"/>
      <c r="R79" s="642"/>
      <c r="S79" s="638" t="s">
        <v>115</v>
      </c>
      <c r="T79" s="638"/>
      <c r="U79" s="638"/>
      <c r="V79" s="638"/>
      <c r="W79" s="640" t="s">
        <v>64</v>
      </c>
      <c r="X79" s="641"/>
      <c r="Y79" s="641"/>
      <c r="Z79" s="641"/>
      <c r="AA79" s="641"/>
      <c r="AB79" s="642"/>
      <c r="AC79" s="638" t="s">
        <v>97</v>
      </c>
      <c r="AD79" s="638"/>
      <c r="AE79" s="638"/>
      <c r="AF79" s="638" t="s">
        <v>127</v>
      </c>
      <c r="AG79" s="638"/>
      <c r="AH79" s="638" t="s">
        <v>128</v>
      </c>
      <c r="AI79" s="638"/>
      <c r="AJ79" s="638" t="s">
        <v>28</v>
      </c>
      <c r="AK79" s="638" t="s">
        <v>121</v>
      </c>
      <c r="AL79" s="308"/>
      <c r="AM79" s="639" t="s">
        <v>122</v>
      </c>
      <c r="AN79" s="639"/>
      <c r="AO79" s="308"/>
      <c r="AP79" s="639" t="s">
        <v>119</v>
      </c>
      <c r="AQ79" s="639"/>
      <c r="AR79" s="308"/>
      <c r="AS79" s="639" t="s">
        <v>120</v>
      </c>
      <c r="AT79" s="639"/>
      <c r="AU79" s="308"/>
      <c r="AV79" s="639" t="s">
        <v>122</v>
      </c>
      <c r="AW79" s="639"/>
      <c r="AX79" s="308"/>
      <c r="AY79" s="639" t="s">
        <v>119</v>
      </c>
      <c r="AZ79" s="639"/>
      <c r="BA79" s="308"/>
      <c r="BB79" s="639" t="s">
        <v>120</v>
      </c>
      <c r="BC79" s="639"/>
    </row>
    <row r="80" spans="1:55" s="285" customFormat="1" ht="20.149999999999999" customHeight="1" thickBot="1">
      <c r="A80" s="645"/>
      <c r="B80" s="647"/>
      <c r="C80" s="649"/>
      <c r="D80" s="649"/>
      <c r="E80" s="649"/>
      <c r="F80" s="649"/>
      <c r="G80" s="654"/>
      <c r="H80" s="660"/>
      <c r="I80" s="662"/>
      <c r="J80" s="284"/>
      <c r="L80" s="649"/>
      <c r="M80" s="617"/>
      <c r="O80" s="281"/>
      <c r="P80" s="309" t="s">
        <v>122</v>
      </c>
      <c r="Q80" s="309" t="s">
        <v>119</v>
      </c>
      <c r="R80" s="309" t="s">
        <v>120</v>
      </c>
      <c r="S80" s="309" t="s">
        <v>122</v>
      </c>
      <c r="T80" s="309" t="s">
        <v>119</v>
      </c>
      <c r="U80" s="309" t="s">
        <v>120</v>
      </c>
      <c r="V80" s="309" t="s">
        <v>118</v>
      </c>
      <c r="W80" s="309" t="s">
        <v>63</v>
      </c>
      <c r="X80" s="309" t="s">
        <v>69</v>
      </c>
      <c r="Y80" s="309" t="s">
        <v>71</v>
      </c>
      <c r="Z80" s="309" t="s">
        <v>72</v>
      </c>
      <c r="AA80" s="309" t="s">
        <v>70</v>
      </c>
      <c r="AB80" s="309" t="s">
        <v>75</v>
      </c>
      <c r="AC80" s="309" t="s">
        <v>78</v>
      </c>
      <c r="AD80" s="309" t="s">
        <v>119</v>
      </c>
      <c r="AE80" s="309" t="s">
        <v>120</v>
      </c>
      <c r="AF80" s="309" t="s">
        <v>129</v>
      </c>
      <c r="AG80" s="309" t="s">
        <v>130</v>
      </c>
      <c r="AH80" s="309" t="s">
        <v>129</v>
      </c>
      <c r="AI80" s="309" t="s">
        <v>130</v>
      </c>
      <c r="AJ80" s="652"/>
      <c r="AK80" s="652"/>
      <c r="AL80" s="308"/>
      <c r="AM80" s="310" t="s">
        <v>67</v>
      </c>
      <c r="AN80" s="310" t="s">
        <v>68</v>
      </c>
      <c r="AO80" s="308"/>
      <c r="AP80" s="310" t="s">
        <v>67</v>
      </c>
      <c r="AQ80" s="310" t="s">
        <v>68</v>
      </c>
      <c r="AR80" s="308"/>
      <c r="AS80" s="310" t="s">
        <v>67</v>
      </c>
      <c r="AT80" s="310" t="s">
        <v>68</v>
      </c>
      <c r="AU80" s="308"/>
      <c r="AV80" s="310" t="s">
        <v>67</v>
      </c>
      <c r="AW80" s="310" t="s">
        <v>68</v>
      </c>
      <c r="AX80" s="308"/>
      <c r="AY80" s="310" t="s">
        <v>67</v>
      </c>
      <c r="AZ80" s="310" t="s">
        <v>68</v>
      </c>
      <c r="BA80" s="308"/>
      <c r="BB80" s="310" t="s">
        <v>67</v>
      </c>
      <c r="BC80" s="310" t="s">
        <v>68</v>
      </c>
    </row>
    <row r="81" spans="1:55" s="86" customFormat="1" ht="25" customHeight="1" thickTop="1">
      <c r="A81" s="492" t="str">
        <f>IF('TECH DATA ENTRY'!A98="","",'TECH DATA ENTRY'!A98)</f>
        <v>10 Hz</v>
      </c>
      <c r="B81" s="355">
        <f>IF('TECH DATA ENTRY'!B98="","",'TECH DATA ENTRY'!B98)</f>
        <v>1</v>
      </c>
      <c r="C81" s="355">
        <f>IF(B81="","",IFERROR('TECH DATA ENTRY'!F98,"NA"))</f>
        <v>0.99909999999999999</v>
      </c>
      <c r="D81" s="355" t="str">
        <f>IF('TECH DATA ENTRY'!L98="","",'TECH DATA ENTRY'!L98)</f>
        <v/>
      </c>
      <c r="E81" s="355" t="str">
        <f t="shared" si="0"/>
        <v/>
      </c>
      <c r="F81" s="355">
        <f>IF(B81="","",IFERROR('TECH DATA ENTRY'!G98,"NA"))</f>
        <v>1.0008999999999999</v>
      </c>
      <c r="G81" s="518" t="str">
        <f t="shared" si="1"/>
        <v/>
      </c>
      <c r="H81" s="355" t="str">
        <f>IF(OR(ISTEXT(B81)=TRUE, D81="NA",D81=""),"NA", roundsf(MAX(L81,M81),C81))</f>
        <v>NA</v>
      </c>
      <c r="I81" s="325" t="str">
        <f t="shared" si="2"/>
        <v>NA</v>
      </c>
      <c r="J81" s="299"/>
      <c r="K81" s="245"/>
      <c r="L81" s="506">
        <f>(252/1000000)*ABS(B81)+(40/1000000)</f>
        <v>2.92E-4</v>
      </c>
      <c r="M81" s="244" t="str">
        <f>UNC_CALCULATION!AM70</f>
        <v>NA</v>
      </c>
      <c r="N81" s="85"/>
      <c r="O81" s="58"/>
      <c r="P81" s="69" t="e">
        <f>IF(B81="","",INDEX('AUX TABLES'!$G$4:$K$8,AV81,AW81))</f>
        <v>#VALUE!</v>
      </c>
      <c r="Q81" s="150" t="e">
        <f>IF(AJ$11=FALSE,IF(B81="","",IF(AJ81="NA",P81,INDEX('AUX TABLES'!$G$4:$K$8,AY81,AZ81))),IF(P81="FAIL",P81,INDEX('AUX TABLES'!$G$4:$K$8,AY81,AZ81)))</f>
        <v>#VALUE!</v>
      </c>
      <c r="R81" s="150" t="e">
        <f>IF(AJ$11=FALSE,IF(B81="","",IF(AJ81="NA",P81,INDEX('AUX TABLES'!$G$4:$K$8,BB81,BC81))),IF(P81="FAIL",P81,INDEX('AUX TABLES'!$G$4:$K$8,BB81,BC81)))</f>
        <v>#VALUE!</v>
      </c>
      <c r="S81" s="69" t="e">
        <f>INDEX('AUX TABLES'!$G$4:$K$8,AM81,AN81)</f>
        <v>#VALUE!</v>
      </c>
      <c r="T81" s="69" t="e">
        <f>IF(AJ$11=FALSE,IF(AJ81="NA",S81,INDEX('AUX TABLES'!$G$4:$K$8,AP81,AQ81)),IF(S81="FAIL",S81,INDEX('AUX TABLES'!$G$4:$K$8,AP81,AQ81)))</f>
        <v>#VALUE!</v>
      </c>
      <c r="U81" s="150" t="e">
        <f>IF(AJ$11=FALSE,IF(AJ81="NA",S81,INDEX('AUX TABLES'!$G$4:$K$8,AS81,AT81)),IF(S81="FAIL",S81,INDEX('AUX TABLES'!$G$4:$K$8,AS81,AT81)))</f>
        <v>#VALUE!</v>
      </c>
      <c r="V81" s="150" t="str">
        <f t="shared" si="4"/>
        <v/>
      </c>
      <c r="W81" s="74">
        <f t="shared" si="5"/>
        <v>1.0008999999999999</v>
      </c>
      <c r="X81" s="74" t="str">
        <f t="shared" si="6"/>
        <v>NA</v>
      </c>
      <c r="Y81" s="74" t="str">
        <f t="shared" si="7"/>
        <v>NA</v>
      </c>
      <c r="Z81" s="74" t="str">
        <f t="shared" si="8"/>
        <v>NA</v>
      </c>
      <c r="AA81" s="74" t="str">
        <f t="shared" si="9"/>
        <v>NA</v>
      </c>
      <c r="AB81" s="74">
        <f t="shared" si="10"/>
        <v>0.99909999999999999</v>
      </c>
      <c r="AC81" s="69" t="str">
        <f>IF(ISTEXT('TECH DATA ENTRY'!L98)=TRUE,"NA",'TECH DATA ENTRY'!H98)</f>
        <v>NA</v>
      </c>
      <c r="AD81" s="69" t="str">
        <f t="shared" si="11"/>
        <v>NA</v>
      </c>
      <c r="AE81" s="69" t="str">
        <f t="shared" si="12"/>
        <v>NA</v>
      </c>
      <c r="AF81" s="69" t="e">
        <f t="shared" si="13"/>
        <v>#VALUE!</v>
      </c>
      <c r="AG81" s="69" t="e">
        <f t="shared" si="14"/>
        <v>#VALUE!</v>
      </c>
      <c r="AH81" s="69" t="e">
        <f t="shared" si="15"/>
        <v>#VALUE!</v>
      </c>
      <c r="AI81" s="69" t="e">
        <f t="shared" si="16"/>
        <v>#VALUE!</v>
      </c>
      <c r="AJ81" s="70" t="str">
        <f>IF(OR(ISTEXT('TECH DATA ENTRY'!L98)=TRUE,ISTEXT('TECH DATA ENTRY'!F98)=TRUE,ISTEXT('TECH DATA ENTRY'!G98)=TRUE),"NA",(W81-AB81)/(2*MAX(M81,L81)))</f>
        <v>NA</v>
      </c>
      <c r="AK81" s="69" t="str">
        <f t="shared" si="17"/>
        <v>NA</v>
      </c>
      <c r="AM81" s="73" t="e">
        <f t="shared" si="18"/>
        <v>#VALUE!</v>
      </c>
      <c r="AN81" s="73" t="e">
        <f t="shared" si="19"/>
        <v>#VALUE!</v>
      </c>
      <c r="AO81" s="87"/>
      <c r="AP81" s="73" t="e">
        <f t="shared" si="20"/>
        <v>#VALUE!</v>
      </c>
      <c r="AQ81" s="73" t="e">
        <f t="shared" si="21"/>
        <v>#VALUE!</v>
      </c>
      <c r="AR81" s="87"/>
      <c r="AS81" s="73" t="e">
        <f t="shared" si="22"/>
        <v>#VALUE!</v>
      </c>
      <c r="AT81" s="73" t="e">
        <f t="shared" si="23"/>
        <v>#VALUE!</v>
      </c>
      <c r="AV81" s="73" t="e">
        <f t="shared" si="24"/>
        <v>#VALUE!</v>
      </c>
      <c r="AW81" s="73" t="e">
        <f t="shared" si="25"/>
        <v>#VALUE!</v>
      </c>
      <c r="AX81" s="87"/>
      <c r="AY81" s="73" t="e">
        <f t="shared" si="26"/>
        <v>#VALUE!</v>
      </c>
      <c r="AZ81" s="73" t="e">
        <f t="shared" si="27"/>
        <v>#VALUE!</v>
      </c>
      <c r="BA81" s="87"/>
      <c r="BB81" s="73" t="e">
        <f t="shared" si="28"/>
        <v>#VALUE!</v>
      </c>
      <c r="BC81" s="73" t="e">
        <f t="shared" si="29"/>
        <v>#VALUE!</v>
      </c>
    </row>
    <row r="82" spans="1:55" s="86" customFormat="1" ht="25" customHeight="1">
      <c r="A82" s="492" t="str">
        <f>IF('TECH DATA ENTRY'!A99="","",'TECH DATA ENTRY'!A99)</f>
        <v>20 kHz</v>
      </c>
      <c r="B82" s="355">
        <f>IF('TECH DATA ENTRY'!B99="","",'TECH DATA ENTRY'!B99)</f>
        <v>1</v>
      </c>
      <c r="C82" s="355">
        <f>IF(B82="","",IFERROR('TECH DATA ENTRY'!F99,"NA"))</f>
        <v>0.99909999999999999</v>
      </c>
      <c r="D82" s="355" t="str">
        <f>IF('TECH DATA ENTRY'!L99="","",'TECH DATA ENTRY'!L99)</f>
        <v/>
      </c>
      <c r="E82" s="355" t="str">
        <f t="shared" si="0"/>
        <v/>
      </c>
      <c r="F82" s="355">
        <f>IF(B82="","",IFERROR('TECH DATA ENTRY'!G99,"NA"))</f>
        <v>1.0008999999999999</v>
      </c>
      <c r="G82" s="518" t="str">
        <f t="shared" si="1"/>
        <v/>
      </c>
      <c r="H82" s="355" t="str">
        <f>IF(OR(ISTEXT(B82)=TRUE, D82="NA",D82=""),"NA", roundsf(MAX(L82,M82),C82))</f>
        <v>NA</v>
      </c>
      <c r="I82" s="325" t="str">
        <f t="shared" si="2"/>
        <v>NA</v>
      </c>
      <c r="J82" s="299"/>
      <c r="K82" s="245"/>
      <c r="L82" s="506">
        <f>(55/1000000)*ABS(B82)+(8/1000000)</f>
        <v>6.3E-5</v>
      </c>
      <c r="M82" s="244" t="str">
        <f>UNC_CALCULATION!AM71</f>
        <v>NA</v>
      </c>
      <c r="N82" s="85"/>
      <c r="O82" s="58"/>
      <c r="P82" s="69" t="e">
        <f>IF(B82="","",INDEX('AUX TABLES'!$G$4:$K$8,AV82,AW82))</f>
        <v>#VALUE!</v>
      </c>
      <c r="Q82" s="150" t="e">
        <f>IF(AJ$11=FALSE,IF(B82="","",IF(AJ82="NA",P82,INDEX('AUX TABLES'!$G$4:$K$8,AY82,AZ82))),IF(P82="FAIL",P82,INDEX('AUX TABLES'!$G$4:$K$8,AY82,AZ82)))</f>
        <v>#VALUE!</v>
      </c>
      <c r="R82" s="150" t="e">
        <f>IF(AJ$11=FALSE,IF(B82="","",IF(AJ82="NA",P82,INDEX('AUX TABLES'!$G$4:$K$8,BB82,BC82))),IF(P82="FAIL",P82,INDEX('AUX TABLES'!$G$4:$K$8,BB82,BC82)))</f>
        <v>#VALUE!</v>
      </c>
      <c r="S82" s="69" t="e">
        <f>INDEX('AUX TABLES'!$G$4:$K$8,AM82,AN82)</f>
        <v>#VALUE!</v>
      </c>
      <c r="T82" s="69" t="e">
        <f>IF(AJ$11=FALSE,IF(AJ82="NA",S82,INDEX('AUX TABLES'!$G$4:$K$8,AP82,AQ82)),IF(S82="FAIL",S82,INDEX('AUX TABLES'!$G$4:$K$8,AP82,AQ82)))</f>
        <v>#VALUE!</v>
      </c>
      <c r="U82" s="150" t="e">
        <f>IF(AJ$11=FALSE,IF(AJ82="NA",S82,INDEX('AUX TABLES'!$G$4:$K$8,AS82,AT82)),IF(S82="FAIL",S82,INDEX('AUX TABLES'!$G$4:$K$8,AS82,AT82)))</f>
        <v>#VALUE!</v>
      </c>
      <c r="V82" s="150" t="str">
        <f t="shared" si="4"/>
        <v/>
      </c>
      <c r="W82" s="74">
        <f t="shared" si="5"/>
        <v>1.0008999999999999</v>
      </c>
      <c r="X82" s="74" t="str">
        <f t="shared" si="6"/>
        <v>NA</v>
      </c>
      <c r="Y82" s="74" t="str">
        <f t="shared" si="7"/>
        <v>NA</v>
      </c>
      <c r="Z82" s="74" t="str">
        <f t="shared" si="8"/>
        <v>NA</v>
      </c>
      <c r="AA82" s="74" t="str">
        <f t="shared" si="9"/>
        <v>NA</v>
      </c>
      <c r="AB82" s="74">
        <f t="shared" si="10"/>
        <v>0.99909999999999999</v>
      </c>
      <c r="AC82" s="69" t="str">
        <f>IF(ISTEXT('TECH DATA ENTRY'!L99)=TRUE,"NA",'TECH DATA ENTRY'!H99)</f>
        <v>NA</v>
      </c>
      <c r="AD82" s="69" t="str">
        <f t="shared" si="11"/>
        <v>NA</v>
      </c>
      <c r="AE82" s="69" t="str">
        <f t="shared" si="12"/>
        <v>NA</v>
      </c>
      <c r="AF82" s="69" t="e">
        <f t="shared" si="13"/>
        <v>#VALUE!</v>
      </c>
      <c r="AG82" s="69" t="e">
        <f t="shared" si="14"/>
        <v>#VALUE!</v>
      </c>
      <c r="AH82" s="69" t="e">
        <f t="shared" si="15"/>
        <v>#VALUE!</v>
      </c>
      <c r="AI82" s="69" t="e">
        <f t="shared" si="16"/>
        <v>#VALUE!</v>
      </c>
      <c r="AJ82" s="70" t="str">
        <f>IF(OR(ISTEXT('TECH DATA ENTRY'!L99)=TRUE,ISTEXT('TECH DATA ENTRY'!F99)=TRUE,ISTEXT('TECH DATA ENTRY'!G99)=TRUE),"NA",(W82-AB82)/(2*MAX(M82,L82)))</f>
        <v>NA</v>
      </c>
      <c r="AK82" s="69" t="str">
        <f t="shared" si="17"/>
        <v>NA</v>
      </c>
      <c r="AM82" s="73" t="e">
        <f t="shared" si="18"/>
        <v>#VALUE!</v>
      </c>
      <c r="AN82" s="73" t="e">
        <f t="shared" si="19"/>
        <v>#VALUE!</v>
      </c>
      <c r="AO82" s="87"/>
      <c r="AP82" s="73" t="e">
        <f t="shared" si="20"/>
        <v>#VALUE!</v>
      </c>
      <c r="AQ82" s="73" t="e">
        <f t="shared" si="21"/>
        <v>#VALUE!</v>
      </c>
      <c r="AR82" s="87"/>
      <c r="AS82" s="73" t="e">
        <f t="shared" si="22"/>
        <v>#VALUE!</v>
      </c>
      <c r="AT82" s="73" t="e">
        <f t="shared" si="23"/>
        <v>#VALUE!</v>
      </c>
      <c r="AV82" s="73" t="e">
        <f t="shared" si="24"/>
        <v>#VALUE!</v>
      </c>
      <c r="AW82" s="73" t="e">
        <f t="shared" si="25"/>
        <v>#VALUE!</v>
      </c>
      <c r="AX82" s="87"/>
      <c r="AY82" s="73" t="e">
        <f t="shared" si="26"/>
        <v>#VALUE!</v>
      </c>
      <c r="AZ82" s="73" t="e">
        <f t="shared" si="27"/>
        <v>#VALUE!</v>
      </c>
      <c r="BA82" s="87"/>
      <c r="BB82" s="73" t="e">
        <f t="shared" si="28"/>
        <v>#VALUE!</v>
      </c>
      <c r="BC82" s="73" t="e">
        <f t="shared" si="29"/>
        <v>#VALUE!</v>
      </c>
    </row>
    <row r="83" spans="1:55" s="86" customFormat="1" ht="25" customHeight="1">
      <c r="A83" s="492" t="str">
        <f>IF('TECH DATA ENTRY'!A100="","",'TECH DATA ENTRY'!A100)</f>
        <v>50 kHz</v>
      </c>
      <c r="B83" s="355">
        <f>IF('TECH DATA ENTRY'!B100="","",'TECH DATA ENTRY'!B100)</f>
        <v>1</v>
      </c>
      <c r="C83" s="355">
        <f>IF(B83="","",IFERROR('TECH DATA ENTRY'!F100,"NA"))</f>
        <v>0.99829999999999997</v>
      </c>
      <c r="D83" s="355" t="str">
        <f>IF('TECH DATA ENTRY'!L100="","",'TECH DATA ENTRY'!L100)</f>
        <v/>
      </c>
      <c r="E83" s="355" t="str">
        <f t="shared" si="0"/>
        <v/>
      </c>
      <c r="F83" s="355">
        <f>IF(B83="","",IFERROR('TECH DATA ENTRY'!G100,"NA"))</f>
        <v>1.0017</v>
      </c>
      <c r="G83" s="518" t="str">
        <f t="shared" si="1"/>
        <v/>
      </c>
      <c r="H83" s="355" t="str">
        <f>IF(OR(ISTEXT(B83)=TRUE, D83="NA",D83=""),"NA", roundsf(MAX(L83,M83),C83))</f>
        <v>NA</v>
      </c>
      <c r="I83" s="325" t="str">
        <f t="shared" si="2"/>
        <v>NA</v>
      </c>
      <c r="J83" s="299"/>
      <c r="K83" s="245"/>
      <c r="L83" s="506">
        <f>(85/1000000)*ABS(B83)+(10/1000000)</f>
        <v>9.5000000000000005E-5</v>
      </c>
      <c r="M83" s="244" t="str">
        <f>UNC_CALCULATION!AM72</f>
        <v>NA</v>
      </c>
      <c r="N83" s="85"/>
      <c r="O83" s="58"/>
      <c r="P83" s="69" t="e">
        <f>IF(B83="","",INDEX('AUX TABLES'!$G$4:$K$8,AV83,AW83))</f>
        <v>#VALUE!</v>
      </c>
      <c r="Q83" s="150" t="e">
        <f>IF(AJ$11=FALSE,IF(B83="","",IF(AJ83="NA",P83,INDEX('AUX TABLES'!$G$4:$K$8,AY83,AZ83))),IF(P83="FAIL",P83,INDEX('AUX TABLES'!$G$4:$K$8,AY83,AZ83)))</f>
        <v>#VALUE!</v>
      </c>
      <c r="R83" s="150" t="e">
        <f>IF(AJ$11=FALSE,IF(B83="","",IF(AJ83="NA",P83,INDEX('AUX TABLES'!$G$4:$K$8,BB83,BC83))),IF(P83="FAIL",P83,INDEX('AUX TABLES'!$G$4:$K$8,BB83,BC83)))</f>
        <v>#VALUE!</v>
      </c>
      <c r="S83" s="69" t="e">
        <f>INDEX('AUX TABLES'!$G$4:$K$8,AM83,AN83)</f>
        <v>#VALUE!</v>
      </c>
      <c r="T83" s="69" t="e">
        <f>IF(AJ$11=FALSE,IF(AJ83="NA",S83,INDEX('AUX TABLES'!$G$4:$K$8,AP83,AQ83)),IF(S83="FAIL",S83,INDEX('AUX TABLES'!$G$4:$K$8,AP83,AQ83)))</f>
        <v>#VALUE!</v>
      </c>
      <c r="U83" s="150" t="e">
        <f>IF(AJ$11=FALSE,IF(AJ83="NA",S83,INDEX('AUX TABLES'!$G$4:$K$8,AS83,AT83)),IF(S83="FAIL",S83,INDEX('AUX TABLES'!$G$4:$K$8,AS83,AT83)))</f>
        <v>#VALUE!</v>
      </c>
      <c r="V83" s="150" t="str">
        <f t="shared" si="4"/>
        <v/>
      </c>
      <c r="W83" s="74">
        <f t="shared" si="5"/>
        <v>1.0017</v>
      </c>
      <c r="X83" s="74" t="str">
        <f t="shared" si="6"/>
        <v>NA</v>
      </c>
      <c r="Y83" s="74" t="str">
        <f t="shared" si="7"/>
        <v>NA</v>
      </c>
      <c r="Z83" s="74" t="str">
        <f t="shared" si="8"/>
        <v>NA</v>
      </c>
      <c r="AA83" s="74" t="str">
        <f t="shared" si="9"/>
        <v>NA</v>
      </c>
      <c r="AB83" s="74">
        <f t="shared" si="10"/>
        <v>0.99829999999999997</v>
      </c>
      <c r="AC83" s="69" t="str">
        <f>IF(ISTEXT('TECH DATA ENTRY'!L100)=TRUE,"NA",'TECH DATA ENTRY'!H100)</f>
        <v>NA</v>
      </c>
      <c r="AD83" s="69" t="str">
        <f t="shared" si="11"/>
        <v>NA</v>
      </c>
      <c r="AE83" s="69" t="str">
        <f t="shared" si="12"/>
        <v>NA</v>
      </c>
      <c r="AF83" s="69" t="e">
        <f t="shared" si="13"/>
        <v>#VALUE!</v>
      </c>
      <c r="AG83" s="69" t="e">
        <f t="shared" si="14"/>
        <v>#VALUE!</v>
      </c>
      <c r="AH83" s="69" t="e">
        <f t="shared" si="15"/>
        <v>#VALUE!</v>
      </c>
      <c r="AI83" s="69" t="e">
        <f t="shared" si="16"/>
        <v>#VALUE!</v>
      </c>
      <c r="AJ83" s="70" t="str">
        <f>IF(OR(ISTEXT('TECH DATA ENTRY'!L100)=TRUE,ISTEXT('TECH DATA ENTRY'!F100)=TRUE,ISTEXT('TECH DATA ENTRY'!G100)=TRUE),"NA",(W83-AB83)/(2*MAX(M83,L83)))</f>
        <v>NA</v>
      </c>
      <c r="AK83" s="69" t="str">
        <f t="shared" si="17"/>
        <v>NA</v>
      </c>
      <c r="AM83" s="73" t="e">
        <f t="shared" si="18"/>
        <v>#VALUE!</v>
      </c>
      <c r="AN83" s="73" t="e">
        <f t="shared" si="19"/>
        <v>#VALUE!</v>
      </c>
      <c r="AO83" s="87"/>
      <c r="AP83" s="73" t="e">
        <f t="shared" si="20"/>
        <v>#VALUE!</v>
      </c>
      <c r="AQ83" s="73" t="e">
        <f t="shared" si="21"/>
        <v>#VALUE!</v>
      </c>
      <c r="AR83" s="87"/>
      <c r="AS83" s="73" t="e">
        <f t="shared" si="22"/>
        <v>#VALUE!</v>
      </c>
      <c r="AT83" s="73" t="e">
        <f t="shared" si="23"/>
        <v>#VALUE!</v>
      </c>
      <c r="AV83" s="73" t="e">
        <f t="shared" si="24"/>
        <v>#VALUE!</v>
      </c>
      <c r="AW83" s="73" t="e">
        <f t="shared" si="25"/>
        <v>#VALUE!</v>
      </c>
      <c r="AX83" s="87"/>
      <c r="AY83" s="73" t="e">
        <f t="shared" si="26"/>
        <v>#VALUE!</v>
      </c>
      <c r="AZ83" s="73" t="e">
        <f t="shared" si="27"/>
        <v>#VALUE!</v>
      </c>
      <c r="BA83" s="87"/>
      <c r="BB83" s="73" t="e">
        <f t="shared" si="28"/>
        <v>#VALUE!</v>
      </c>
      <c r="BC83" s="73" t="e">
        <f t="shared" si="29"/>
        <v>#VALUE!</v>
      </c>
    </row>
    <row r="84" spans="1:55" s="86" customFormat="1" ht="25" customHeight="1">
      <c r="A84" s="492" t="str">
        <f>IF('TECH DATA ENTRY'!A101="","",'TECH DATA ENTRY'!A101)</f>
        <v>100 kHz</v>
      </c>
      <c r="B84" s="355">
        <f>IF('TECH DATA ENTRY'!B101="","",'TECH DATA ENTRY'!B101)</f>
        <v>1</v>
      </c>
      <c r="C84" s="355">
        <f>IF(B84="","",IFERROR('TECH DATA ENTRY'!F101,"NA"))</f>
        <v>0.99319999999999997</v>
      </c>
      <c r="D84" s="355" t="str">
        <f>IF('TECH DATA ENTRY'!L101="","",'TECH DATA ENTRY'!L101)</f>
        <v/>
      </c>
      <c r="E84" s="355" t="str">
        <f t="shared" ref="E84:E147" si="35">IF(LEFT(P$11,3)="ROV",AK84,D84)</f>
        <v/>
      </c>
      <c r="F84" s="355">
        <f>IF(B84="","",IFERROR('TECH DATA ENTRY'!G101,"NA"))</f>
        <v>1.0067999999999999</v>
      </c>
      <c r="G84" s="518" t="str">
        <f t="shared" ref="G84:G147" si="36">IF(D84="","",IF(OR($P$11="ACC CAL WITHOUT GB",$P$11="DATA NO UNC"),P84,IF($P$11="ACC CAL WITH GB - Method 5",R84,Q84)))</f>
        <v/>
      </c>
      <c r="H84" s="355" t="str">
        <f>IF(OR(ISTEXT(B84)=TRUE, D84="NA",D84=""),"NA", roundsf(MAX(L84,M84),C84))</f>
        <v>NA</v>
      </c>
      <c r="I84" s="325" t="str">
        <f t="shared" ref="I84:I147" si="37">IF(AJ84="NA","NA",(IF(AJ84&gt;=4,"≥ 4.0 : 1",TEXT(AJ84,"0.0")&amp;" : 1")))</f>
        <v>NA</v>
      </c>
      <c r="J84" s="299"/>
      <c r="K84" s="245"/>
      <c r="L84" s="506">
        <f>(123/1000000)*ABS(B84)+(30/1000000)</f>
        <v>1.5300000000000001E-4</v>
      </c>
      <c r="M84" s="244" t="str">
        <f>UNC_CALCULATION!AM73</f>
        <v>NA</v>
      </c>
      <c r="N84" s="85"/>
      <c r="O84" s="58"/>
      <c r="P84" s="69" t="e">
        <f>IF(B84="","",INDEX('AUX TABLES'!$G$4:$K$8,AV84,AW84))</f>
        <v>#VALUE!</v>
      </c>
      <c r="Q84" s="150" t="e">
        <f>IF(AJ$11=FALSE,IF(B84="","",IF(AJ84="NA",P84,INDEX('AUX TABLES'!$G$4:$K$8,AY84,AZ84))),IF(P84="FAIL",P84,INDEX('AUX TABLES'!$G$4:$K$8,AY84,AZ84)))</f>
        <v>#VALUE!</v>
      </c>
      <c r="R84" s="150" t="e">
        <f>IF(AJ$11=FALSE,IF(B84="","",IF(AJ84="NA",P84,INDEX('AUX TABLES'!$G$4:$K$8,BB84,BC84))),IF(P84="FAIL",P84,INDEX('AUX TABLES'!$G$4:$K$8,BB84,BC84)))</f>
        <v>#VALUE!</v>
      </c>
      <c r="S84" s="69" t="e">
        <f>INDEX('AUX TABLES'!$G$4:$K$8,AM84,AN84)</f>
        <v>#VALUE!</v>
      </c>
      <c r="T84" s="69" t="e">
        <f>IF(AJ$11=FALSE,IF(AJ84="NA",S84,INDEX('AUX TABLES'!$G$4:$K$8,AP84,AQ84)),IF(S84="FAIL",S84,INDEX('AUX TABLES'!$G$4:$K$8,AP84,AQ84)))</f>
        <v>#VALUE!</v>
      </c>
      <c r="U84" s="150" t="e">
        <f>IF(AJ$11=FALSE,IF(AJ84="NA",S84,INDEX('AUX TABLES'!$G$4:$K$8,AS84,AT84)),IF(S84="FAIL",S84,INDEX('AUX TABLES'!$G$4:$K$8,AS84,AT84)))</f>
        <v>#VALUE!</v>
      </c>
      <c r="V84" s="150" t="str">
        <f t="shared" ref="V84:V147" si="38">IF(D84="","",IF(OR($P$11="ACC CAL WITHOUT GB",$P$11="DATA NO UNC"),S84,IF($P$11="ACC CAL WITH GB - Method 5",U84,T84)))</f>
        <v/>
      </c>
      <c r="W84" s="74">
        <f t="shared" ref="W84:W147" si="39">F84</f>
        <v>1.0067999999999999</v>
      </c>
      <c r="X84" s="74" t="str">
        <f t="shared" ref="X84:X147" si="40">IFERROR(W84-AD84,"NA")</f>
        <v>NA</v>
      </c>
      <c r="Y84" s="74" t="str">
        <f t="shared" ref="Y84:Y147" si="41">IFERROR(W84-AE84,"NA")</f>
        <v>NA</v>
      </c>
      <c r="Z84" s="74" t="str">
        <f t="shared" ref="Z84:Z147" si="42">IFERROR(AB84+AE84,"NA")</f>
        <v>NA</v>
      </c>
      <c r="AA84" s="74" t="str">
        <f t="shared" ref="AA84:AA147" si="43">IFERROR(AB84+AD84,"NA")</f>
        <v>NA</v>
      </c>
      <c r="AB84" s="74">
        <f t="shared" ref="AB84:AB147" si="44">C84</f>
        <v>0.99319999999999997</v>
      </c>
      <c r="AC84" s="69" t="str">
        <f>IF(ISTEXT('TECH DATA ENTRY'!L101)=TRUE,"NA",'TECH DATA ENTRY'!H101)</f>
        <v>NA</v>
      </c>
      <c r="AD84" s="69" t="str">
        <f t="shared" ref="AD84:AD147" si="45">IF(AJ84="NA","NA",IF(AJ84&lt;0,0,ABS(MAX(M84,L84)*(1.04-EXP(0.38*LN((W84-AB84)/(2*MAX(M84,L84)))-0.54)))))</f>
        <v>NA</v>
      </c>
      <c r="AE84" s="69" t="str">
        <f t="shared" ref="AE84:AE147" si="46">IF(ISTEXT(D84)=TRUE,"NA",MAX(L84,M84))</f>
        <v>NA</v>
      </c>
      <c r="AF84" s="69" t="e">
        <f t="shared" ref="AF84:AF147" si="47">D84-MAX(L84:M84)</f>
        <v>#VALUE!</v>
      </c>
      <c r="AG84" s="69" t="e">
        <f t="shared" ref="AG84:AG147" si="48">D84+MAX(L84:M84)</f>
        <v>#VALUE!</v>
      </c>
      <c r="AH84" s="69" t="e">
        <f t="shared" ref="AH84:AH147" si="49">E84-MAX(L84:M84)</f>
        <v>#VALUE!</v>
      </c>
      <c r="AI84" s="69" t="e">
        <f t="shared" ref="AI84:AI147" si="50">E84+MAX(L84:M84)</f>
        <v>#VALUE!</v>
      </c>
      <c r="AJ84" s="70" t="str">
        <f>IF(OR(ISTEXT('TECH DATA ENTRY'!L101)=TRUE,ISTEXT('TECH DATA ENTRY'!F101)=TRUE,ISTEXT('TECH DATA ENTRY'!G101)=TRUE),"NA",(W84-AB84)/(2*MAX(M84,L84)))</f>
        <v>NA</v>
      </c>
      <c r="AK84" s="69" t="str">
        <f t="shared" ref="AK84:AK147" si="51">IF(ISTEXT(D84)=TRUE,"NA",B84-D84)</f>
        <v>NA</v>
      </c>
      <c r="AM84" s="73" t="e">
        <f t="shared" ref="AM84:AM147" si="52">IF(LEFT(P$11,3)="ROV",1,IF(D84="NA",5,IF(ISTEXT(B84)=TRUE,IF(D84=B84,1,4),IF(ISTEXT(F84)=TRUE,5,IF(D84+MAX(L84:M84)*AK$9&lt;=W84,1,IF(AND(OR(D84=B84,D84&lt;=W84),D84+MAX(L84:M84)*AK$9&gt;W84),2,IF(D84-MAX(L84:M84)*AK$9&gt;W84,4,3)))))))</f>
        <v>#VALUE!</v>
      </c>
      <c r="AN84" s="73" t="e">
        <f t="shared" ref="AN84:AN147" si="53">IF(LEFT(P$11,3)="ROV",1,IF(D84="NA",5,IF(ISTEXT(B84)=TRUE,IF(D84=B84,1,4),IF(ISTEXT(C84)=TRUE,5,IF($D84-MAX(L84:M84)*AK$9&gt;=AB84,1,IF(AND(OR(D84=B84,D84&gt;=AB84),D84-MAX(L84:M84)*AK$9&lt;AB84),2,IF($D84+MAX(L84:M84)*AK$9&lt;AB84,4,3)))))))</f>
        <v>#VALUE!</v>
      </c>
      <c r="AO84" s="87"/>
      <c r="AP84" s="73" t="e">
        <f t="shared" ref="AP84:AP147" si="54">IF(LEFT(P$11,3)="ROV",1,IF(D84="NA",5,IF(ISTEXT(B84)=TRUE,IF(D84=B84,1,4),IF(ISTEXT(F84)=TRUE,5,IF((AF84&gt;=W84),4,IF(AND(D84&lt;X84,AG84&gt;=W84),2,IF(AND(D84&gt;=X84,AF84&lt;W84),3,1)))))))</f>
        <v>#VALUE!</v>
      </c>
      <c r="AQ84" s="73" t="e">
        <f t="shared" ref="AQ84:AQ147" si="55">IF(LEFT(P$11,3)="ROV",1,IF(D84="NA",5,IF(ISTEXT(B84)=TRUE,IF(D84=B84,1,4),IF(ISTEXT(C84)=TRUE,5,IF((AG84&lt;=AB84),4,IF(AND(D84&gt;AA84,AF84&lt;=AB84),2,IF(AND(D84&lt;=AA84,AG84&gt;AB84),3,1)))))))</f>
        <v>#VALUE!</v>
      </c>
      <c r="AR84" s="87"/>
      <c r="AS84" s="73" t="e">
        <f t="shared" ref="AS84:AS147" si="56">IF(LEFT(P$11,3)="ROV",1,IF(D84="NA",5,IF(ISTEXT(B84)=TRUE,IF(D84=B84,1,4),IF(ISTEXT(F84)=TRUE,5,IF(AF84&gt;=W84,4,IF(AND(D84&gt;=Y84,AF84&lt;W84),3,1))))))</f>
        <v>#VALUE!</v>
      </c>
      <c r="AT84" s="73" t="e">
        <f t="shared" ref="AT84:AT147" si="57">IF(LEFT(P$11,3)="ROV",1,IF(D84="NA",5,IF(ISTEXT(B84)=TRUE,IF(D84=B84,1,4),IF(ISTEXT(C84)=TRUE,5,IF(AG84&lt;=AB84,4,IF(AND(D84&lt;=Z84,AG84&gt;AB84),3,1))))))</f>
        <v>#VALUE!</v>
      </c>
      <c r="AV84" s="73" t="e">
        <f t="shared" ref="AV84:AV147" si="58">IF(LEFT(P$11,3)="ROV",1,IF(D84="NA",5,IF(ISTEXT(B84)=TRUE,IF(D84=B84,1,4),IF(ISTEXT(F84)=TRUE,5,IF(E84+MAX(L84:M84)*AK$9&lt;=W84,1,IF(AND(OR(E84=B84,E84&lt;=W84),E84+MAX(L84:M84)*AK$9&gt;W84),2,IF(E84-MAX(L84:M84)*AK$9&gt;W84,4,3)))))))</f>
        <v>#VALUE!</v>
      </c>
      <c r="AW84" s="73" t="e">
        <f t="shared" ref="AW84:AW147" si="59">IF(LEFT(P$11,3)="ROV",1,IF(D84="NA",5,IF(ISTEXT(B84)=TRUE,IF(D84=B84,1,4),IF(ISTEXT(C84)=TRUE,5,IF($E84-MAX(L84:M84)*AK$9&gt;=AB84,1,IF(AND(OR(E84=B84,E84&gt;=AB84),E84-MAX(L84:M84)*AK$9&lt;AB84),2,IF($E84+MAX(L84:M84)*AK$9&lt;AB84,4,3)))))))</f>
        <v>#VALUE!</v>
      </c>
      <c r="AX84" s="87"/>
      <c r="AY84" s="73" t="e">
        <f t="shared" ref="AY84:AY147" si="60">IF(LEFT(P$11,3)="ROV",1,IF(D84="NA",5,IF(ISTEXT(B84)=TRUE,IF(D84=B84,1,4),IF(ISTEXT(F84)=TRUE,5,IF((AH84&gt;=W84),4,IF(AND(E84&lt;X84,AI84&gt;=W84),2,IF(AND(E84&gt;=X84,AH84&lt;W84),3,1)))))))</f>
        <v>#VALUE!</v>
      </c>
      <c r="AZ84" s="73" t="e">
        <f t="shared" ref="AZ84:AZ147" si="61">IF(LEFT(P$11,3)="ROV",1,IF(D84="NA",5,IF(ISTEXT(B84)=TRUE,IF(D84=B84,1,4),IF(ISTEXT(C84)=TRUE,5,IF((AI84&lt;=AB84),4,IF(AND(E84&gt;AA84,AH84&lt;=AB84),2,IF(AND(E84&lt;=AA84,AI84&gt;AB84),3,1)))))))</f>
        <v>#VALUE!</v>
      </c>
      <c r="BA84" s="87"/>
      <c r="BB84" s="73" t="e">
        <f t="shared" ref="BB84:BB147" si="62">IF(LEFT(P$11,3)="ROV",1,IF(D84="NA",5,IF(ISTEXT(B84)=TRUE,IF(D84=B84,1,4),IF(ISTEXT(F84)=TRUE,5,IF(AH84&gt;=W84,4,IF(AND(E84&gt;=Y84,AH84&lt;W84),3,1))))))</f>
        <v>#VALUE!</v>
      </c>
      <c r="BC84" s="73" t="e">
        <f t="shared" ref="BC84:BC147" si="63">IF(LEFT(P$11,3)="ROV",1,IF(D84="NA",5,IF(ISTEXT(B84)=TRUE,IF(D84=B84,1,4),IF(ISTEXT(C84)=TRUE,5,IF(AI84&lt;=AB84,4,IF(AND(E84&lt;=Z84,AI84&gt;AB84),3,1))))))</f>
        <v>#VALUE!</v>
      </c>
    </row>
    <row r="85" spans="1:55" s="86" customFormat="1" ht="25" customHeight="1" thickBot="1">
      <c r="A85" s="493" t="str">
        <f>IF('TECH DATA ENTRY'!A102="","",'TECH DATA ENTRY'!A102)</f>
        <v>300 kHz</v>
      </c>
      <c r="B85" s="494">
        <f>IF('TECH DATA ENTRY'!B102="","",'TECH DATA ENTRY'!B102)</f>
        <v>1</v>
      </c>
      <c r="C85" s="494">
        <f>IF(B85="","",IFERROR('TECH DATA ENTRY'!F102,"NA"))</f>
        <v>0.95499999999999996</v>
      </c>
      <c r="D85" s="494" t="str">
        <f>IF('TECH DATA ENTRY'!L102="","",'TECH DATA ENTRY'!L102)</f>
        <v/>
      </c>
      <c r="E85" s="494" t="str">
        <f t="shared" si="35"/>
        <v/>
      </c>
      <c r="F85" s="494">
        <f>IF(B85="","",IFERROR('TECH DATA ENTRY'!G102,"NA"))</f>
        <v>1.0449999999999999</v>
      </c>
      <c r="G85" s="519" t="str">
        <f t="shared" si="36"/>
        <v/>
      </c>
      <c r="H85" s="494" t="str">
        <f>IF(OR(ISTEXT(B85)=TRUE, D85="NA",D85=""),"NA", roundsf(MAX(L85,M85),C85))</f>
        <v>NA</v>
      </c>
      <c r="I85" s="486" t="str">
        <f t="shared" si="37"/>
        <v>NA</v>
      </c>
      <c r="J85" s="299"/>
      <c r="K85" s="245"/>
      <c r="L85" s="506">
        <f>(386/1000000)*ABS(B85)+(80/1000000)</f>
        <v>4.66E-4</v>
      </c>
      <c r="M85" s="244" t="str">
        <f>UNC_CALCULATION!AM74</f>
        <v>NA</v>
      </c>
      <c r="N85" s="85"/>
      <c r="O85" s="58"/>
      <c r="P85" s="69" t="e">
        <f>IF(B85="","",INDEX('AUX TABLES'!$G$4:$K$8,AV85,AW85))</f>
        <v>#VALUE!</v>
      </c>
      <c r="Q85" s="150" t="e">
        <f>IF(AJ$11=FALSE,IF(B85="","",IF(AJ85="NA",P85,INDEX('AUX TABLES'!$G$4:$K$8,AY85,AZ85))),IF(P85="FAIL",P85,INDEX('AUX TABLES'!$G$4:$K$8,AY85,AZ85)))</f>
        <v>#VALUE!</v>
      </c>
      <c r="R85" s="150" t="e">
        <f>IF(AJ$11=FALSE,IF(B85="","",IF(AJ85="NA",P85,INDEX('AUX TABLES'!$G$4:$K$8,BB85,BC85))),IF(P85="FAIL",P85,INDEX('AUX TABLES'!$G$4:$K$8,BB85,BC85)))</f>
        <v>#VALUE!</v>
      </c>
      <c r="S85" s="69" t="e">
        <f>INDEX('AUX TABLES'!$G$4:$K$8,AM85,AN85)</f>
        <v>#VALUE!</v>
      </c>
      <c r="T85" s="69" t="e">
        <f>IF(AJ$11=FALSE,IF(AJ85="NA",S85,INDEX('AUX TABLES'!$G$4:$K$8,AP85,AQ85)),IF(S85="FAIL",S85,INDEX('AUX TABLES'!$G$4:$K$8,AP85,AQ85)))</f>
        <v>#VALUE!</v>
      </c>
      <c r="U85" s="150" t="e">
        <f>IF(AJ$11=FALSE,IF(AJ85="NA",S85,INDEX('AUX TABLES'!$G$4:$K$8,AS85,AT85)),IF(S85="FAIL",S85,INDEX('AUX TABLES'!$G$4:$K$8,AS85,AT85)))</f>
        <v>#VALUE!</v>
      </c>
      <c r="V85" s="150" t="str">
        <f t="shared" si="38"/>
        <v/>
      </c>
      <c r="W85" s="74">
        <f t="shared" si="39"/>
        <v>1.0449999999999999</v>
      </c>
      <c r="X85" s="74" t="str">
        <f t="shared" si="40"/>
        <v>NA</v>
      </c>
      <c r="Y85" s="74" t="str">
        <f t="shared" si="41"/>
        <v>NA</v>
      </c>
      <c r="Z85" s="74" t="str">
        <f t="shared" si="42"/>
        <v>NA</v>
      </c>
      <c r="AA85" s="74" t="str">
        <f t="shared" si="43"/>
        <v>NA</v>
      </c>
      <c r="AB85" s="74">
        <f t="shared" si="44"/>
        <v>0.95499999999999996</v>
      </c>
      <c r="AC85" s="69" t="str">
        <f>IF(ISTEXT('TECH DATA ENTRY'!L102)=TRUE,"NA",'TECH DATA ENTRY'!H102)</f>
        <v>NA</v>
      </c>
      <c r="AD85" s="69" t="str">
        <f t="shared" si="45"/>
        <v>NA</v>
      </c>
      <c r="AE85" s="69" t="str">
        <f t="shared" si="46"/>
        <v>NA</v>
      </c>
      <c r="AF85" s="69" t="e">
        <f t="shared" si="47"/>
        <v>#VALUE!</v>
      </c>
      <c r="AG85" s="69" t="e">
        <f t="shared" si="48"/>
        <v>#VALUE!</v>
      </c>
      <c r="AH85" s="69" t="e">
        <f t="shared" si="49"/>
        <v>#VALUE!</v>
      </c>
      <c r="AI85" s="69" t="e">
        <f t="shared" si="50"/>
        <v>#VALUE!</v>
      </c>
      <c r="AJ85" s="70" t="str">
        <f>IF(OR(ISTEXT('TECH DATA ENTRY'!L102)=TRUE,ISTEXT('TECH DATA ENTRY'!F102)=TRUE,ISTEXT('TECH DATA ENTRY'!G102)=TRUE),"NA",(W85-AB85)/(2*MAX(M85,L85)))</f>
        <v>NA</v>
      </c>
      <c r="AK85" s="69" t="str">
        <f t="shared" si="51"/>
        <v>NA</v>
      </c>
      <c r="AM85" s="73" t="e">
        <f t="shared" si="52"/>
        <v>#VALUE!</v>
      </c>
      <c r="AN85" s="73" t="e">
        <f t="shared" si="53"/>
        <v>#VALUE!</v>
      </c>
      <c r="AO85" s="87"/>
      <c r="AP85" s="73" t="e">
        <f t="shared" si="54"/>
        <v>#VALUE!</v>
      </c>
      <c r="AQ85" s="73" t="e">
        <f t="shared" si="55"/>
        <v>#VALUE!</v>
      </c>
      <c r="AR85" s="87"/>
      <c r="AS85" s="73" t="e">
        <f t="shared" si="56"/>
        <v>#VALUE!</v>
      </c>
      <c r="AT85" s="73" t="e">
        <f t="shared" si="57"/>
        <v>#VALUE!</v>
      </c>
      <c r="AV85" s="73" t="e">
        <f t="shared" si="58"/>
        <v>#VALUE!</v>
      </c>
      <c r="AW85" s="73" t="e">
        <f t="shared" si="59"/>
        <v>#VALUE!</v>
      </c>
      <c r="AX85" s="87"/>
      <c r="AY85" s="73" t="e">
        <f t="shared" si="60"/>
        <v>#VALUE!</v>
      </c>
      <c r="AZ85" s="73" t="e">
        <f t="shared" si="61"/>
        <v>#VALUE!</v>
      </c>
      <c r="BA85" s="87"/>
      <c r="BB85" s="73" t="e">
        <f t="shared" si="62"/>
        <v>#VALUE!</v>
      </c>
      <c r="BC85" s="73" t="e">
        <f t="shared" si="63"/>
        <v>#VALUE!</v>
      </c>
    </row>
    <row r="86" spans="1:55" s="296" customFormat="1" ht="28.15" customHeight="1">
      <c r="A86" s="550" t="str">
        <f>IF('TECH DATA ENTRY'!A103="","",'TECH DATA ENTRY'!A103)</f>
        <v/>
      </c>
      <c r="B86" s="551"/>
      <c r="C86" s="552"/>
      <c r="D86" s="551"/>
      <c r="E86" s="551"/>
      <c r="F86" s="551"/>
      <c r="G86" s="552"/>
      <c r="H86" s="551"/>
      <c r="I86" s="553"/>
      <c r="J86" s="224"/>
      <c r="K86" s="224"/>
      <c r="L86" s="224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AK86" s="297"/>
    </row>
    <row r="87" spans="1:55" s="31" customFormat="1" ht="22.15" customHeight="1">
      <c r="A87" s="76" t="str">
        <f>IF('TECH DATA ENTRY'!A104="","",'TECH DATA ENTRY'!A104)</f>
        <v>Range 10 V</v>
      </c>
      <c r="H87" s="321"/>
      <c r="O87" s="77"/>
      <c r="AK87" s="1"/>
      <c r="AM87" s="637" t="s">
        <v>116</v>
      </c>
      <c r="AN87" s="637"/>
      <c r="AO87" s="637"/>
      <c r="AP87" s="637"/>
      <c r="AQ87" s="637"/>
      <c r="AR87" s="637"/>
      <c r="AS87" s="637"/>
      <c r="AT87" s="637"/>
      <c r="AV87" s="637" t="s">
        <v>117</v>
      </c>
      <c r="AW87" s="637"/>
      <c r="AX87" s="637"/>
      <c r="AY87" s="637"/>
      <c r="AZ87" s="637"/>
      <c r="BA87" s="637"/>
      <c r="BB87" s="637"/>
      <c r="BC87" s="637"/>
    </row>
    <row r="88" spans="1:55" s="225" customFormat="1" ht="4.9000000000000004" customHeight="1" thickBot="1">
      <c r="A88" s="288" t="str">
        <f>IF('TECH DATA ENTRY'!A105="","",'TECH DATA ENTRY'!A105)</f>
        <v/>
      </c>
      <c r="K88" s="239"/>
      <c r="L88" s="239"/>
      <c r="AK88" s="240"/>
    </row>
    <row r="89" spans="1:55" s="285" customFormat="1" ht="20.149999999999999" customHeight="1">
      <c r="A89" s="644" t="str">
        <f>IF('TECH DATA ENTRY'!A106="","",'TECH DATA ENTRY'!A106)</f>
        <v>Frequency</v>
      </c>
      <c r="B89" s="646" t="str">
        <f>IF('TECH DATA ENTRY'!B106="","",'TECH DATA ENTRY'!B106)</f>
        <v>Nominal</v>
      </c>
      <c r="C89" s="648" t="s">
        <v>2</v>
      </c>
      <c r="D89" s="648" t="str">
        <f>IF(LEFT(P$11,3)="ROV", "Measured Value", "As Found")</f>
        <v>As Found</v>
      </c>
      <c r="E89" s="648" t="str">
        <f>IF(LEFT(P$11,3)="ROV", "Correction", "As Left")</f>
        <v>As Left</v>
      </c>
      <c r="F89" s="648" t="s">
        <v>3</v>
      </c>
      <c r="G89" s="653" t="s">
        <v>4</v>
      </c>
      <c r="H89" s="659" t="s">
        <v>30</v>
      </c>
      <c r="I89" s="661" t="s">
        <v>28</v>
      </c>
      <c r="J89" s="284"/>
      <c r="L89" s="658" t="s">
        <v>38</v>
      </c>
      <c r="M89" s="616" t="s">
        <v>31</v>
      </c>
      <c r="N89" s="281"/>
      <c r="O89" s="286"/>
      <c r="P89" s="640" t="s">
        <v>136</v>
      </c>
      <c r="Q89" s="641"/>
      <c r="R89" s="642"/>
      <c r="S89" s="638" t="s">
        <v>115</v>
      </c>
      <c r="T89" s="638"/>
      <c r="U89" s="638"/>
      <c r="V89" s="638"/>
      <c r="W89" s="640" t="s">
        <v>64</v>
      </c>
      <c r="X89" s="641"/>
      <c r="Y89" s="641"/>
      <c r="Z89" s="641"/>
      <c r="AA89" s="641"/>
      <c r="AB89" s="642"/>
      <c r="AC89" s="638" t="s">
        <v>97</v>
      </c>
      <c r="AD89" s="638"/>
      <c r="AE89" s="638"/>
      <c r="AF89" s="638" t="s">
        <v>127</v>
      </c>
      <c r="AG89" s="638"/>
      <c r="AH89" s="638" t="s">
        <v>128</v>
      </c>
      <c r="AI89" s="638"/>
      <c r="AJ89" s="638" t="s">
        <v>28</v>
      </c>
      <c r="AK89" s="638" t="s">
        <v>121</v>
      </c>
      <c r="AL89" s="308"/>
      <c r="AM89" s="639" t="s">
        <v>122</v>
      </c>
      <c r="AN89" s="639"/>
      <c r="AO89" s="308"/>
      <c r="AP89" s="639" t="s">
        <v>119</v>
      </c>
      <c r="AQ89" s="639"/>
      <c r="AR89" s="308"/>
      <c r="AS89" s="639" t="s">
        <v>120</v>
      </c>
      <c r="AT89" s="639"/>
      <c r="AU89" s="308"/>
      <c r="AV89" s="639" t="s">
        <v>122</v>
      </c>
      <c r="AW89" s="639"/>
      <c r="AX89" s="308"/>
      <c r="AY89" s="639" t="s">
        <v>119</v>
      </c>
      <c r="AZ89" s="639"/>
      <c r="BA89" s="308"/>
      <c r="BB89" s="639" t="s">
        <v>120</v>
      </c>
      <c r="BC89" s="639"/>
    </row>
    <row r="90" spans="1:55" s="285" customFormat="1" ht="20.149999999999999" customHeight="1" thickBot="1">
      <c r="A90" s="645"/>
      <c r="B90" s="647"/>
      <c r="C90" s="649"/>
      <c r="D90" s="649"/>
      <c r="E90" s="649"/>
      <c r="F90" s="649"/>
      <c r="G90" s="654"/>
      <c r="H90" s="660"/>
      <c r="I90" s="662"/>
      <c r="J90" s="284"/>
      <c r="L90" s="649"/>
      <c r="M90" s="617"/>
      <c r="O90" s="281"/>
      <c r="P90" s="309" t="s">
        <v>122</v>
      </c>
      <c r="Q90" s="309" t="s">
        <v>119</v>
      </c>
      <c r="R90" s="309" t="s">
        <v>120</v>
      </c>
      <c r="S90" s="309" t="s">
        <v>122</v>
      </c>
      <c r="T90" s="309" t="s">
        <v>119</v>
      </c>
      <c r="U90" s="309" t="s">
        <v>120</v>
      </c>
      <c r="V90" s="309" t="s">
        <v>118</v>
      </c>
      <c r="W90" s="309" t="s">
        <v>63</v>
      </c>
      <c r="X90" s="309" t="s">
        <v>69</v>
      </c>
      <c r="Y90" s="309" t="s">
        <v>71</v>
      </c>
      <c r="Z90" s="309" t="s">
        <v>72</v>
      </c>
      <c r="AA90" s="309" t="s">
        <v>70</v>
      </c>
      <c r="AB90" s="309" t="s">
        <v>75</v>
      </c>
      <c r="AC90" s="309" t="s">
        <v>78</v>
      </c>
      <c r="AD90" s="309" t="s">
        <v>119</v>
      </c>
      <c r="AE90" s="309" t="s">
        <v>120</v>
      </c>
      <c r="AF90" s="309" t="s">
        <v>129</v>
      </c>
      <c r="AG90" s="309" t="s">
        <v>130</v>
      </c>
      <c r="AH90" s="309" t="s">
        <v>129</v>
      </c>
      <c r="AI90" s="309" t="s">
        <v>130</v>
      </c>
      <c r="AJ90" s="652"/>
      <c r="AK90" s="652"/>
      <c r="AL90" s="308"/>
      <c r="AM90" s="310" t="s">
        <v>67</v>
      </c>
      <c r="AN90" s="310" t="s">
        <v>68</v>
      </c>
      <c r="AO90" s="308"/>
      <c r="AP90" s="310" t="s">
        <v>67</v>
      </c>
      <c r="AQ90" s="310" t="s">
        <v>68</v>
      </c>
      <c r="AR90" s="308"/>
      <c r="AS90" s="310" t="s">
        <v>67</v>
      </c>
      <c r="AT90" s="310" t="s">
        <v>68</v>
      </c>
      <c r="AU90" s="308"/>
      <c r="AV90" s="310" t="s">
        <v>67</v>
      </c>
      <c r="AW90" s="310" t="s">
        <v>68</v>
      </c>
      <c r="AX90" s="308"/>
      <c r="AY90" s="310" t="s">
        <v>67</v>
      </c>
      <c r="AZ90" s="310" t="s">
        <v>68</v>
      </c>
      <c r="BA90" s="308"/>
      <c r="BB90" s="310" t="s">
        <v>67</v>
      </c>
      <c r="BC90" s="310" t="s">
        <v>68</v>
      </c>
    </row>
    <row r="91" spans="1:55" s="86" customFormat="1" ht="25" customHeight="1" thickTop="1">
      <c r="A91" s="492" t="str">
        <f>IF('TECH DATA ENTRY'!A108="","",'TECH DATA ENTRY'!A108)</f>
        <v>10 Hz</v>
      </c>
      <c r="B91" s="355">
        <f>IF('TECH DATA ENTRY'!B108="","",'TECH DATA ENTRY'!B108)</f>
        <v>10</v>
      </c>
      <c r="C91" s="355">
        <f>IF(B91="","",IFERROR('TECH DATA ENTRY'!F108,"NA"))</f>
        <v>9.9909999999999997</v>
      </c>
      <c r="D91" s="355" t="str">
        <f>IF('TECH DATA ENTRY'!L108="","",'TECH DATA ENTRY'!L108)</f>
        <v/>
      </c>
      <c r="E91" s="355" t="str">
        <f t="shared" si="35"/>
        <v/>
      </c>
      <c r="F91" s="355">
        <f>IF(B91="","",IFERROR('TECH DATA ENTRY'!G108,"NA"))</f>
        <v>10.009</v>
      </c>
      <c r="G91" s="518" t="str">
        <f t="shared" si="36"/>
        <v/>
      </c>
      <c r="H91" s="355" t="str">
        <f>IF(OR(ISTEXT(B91)=TRUE, D91="NA",D91=""),"NA", roundsf(MAX(L91,M91),C91))</f>
        <v>NA</v>
      </c>
      <c r="I91" s="325" t="str">
        <f t="shared" si="37"/>
        <v>NA</v>
      </c>
      <c r="J91" s="299"/>
      <c r="K91" s="245"/>
      <c r="L91" s="506">
        <f>(251/1000000)*ABS(B91)+(400/1000000)</f>
        <v>2.9099999999999998E-3</v>
      </c>
      <c r="M91" s="244" t="str">
        <f>UNC_CALCULATION!AM80</f>
        <v>NA</v>
      </c>
      <c r="N91" s="85"/>
      <c r="O91" s="58"/>
      <c r="P91" s="69" t="e">
        <f>IF(B91="","",INDEX('AUX TABLES'!$G$4:$K$8,AV91,AW91))</f>
        <v>#VALUE!</v>
      </c>
      <c r="Q91" s="150" t="e">
        <f>IF(AJ$11=FALSE,IF(B91="","",IF(AJ91="NA",P91,INDEX('AUX TABLES'!$G$4:$K$8,AY91,AZ91))),IF(P91="FAIL",P91,INDEX('AUX TABLES'!$G$4:$K$8,AY91,AZ91)))</f>
        <v>#VALUE!</v>
      </c>
      <c r="R91" s="150" t="e">
        <f>IF(AJ$11=FALSE,IF(B91="","",IF(AJ91="NA",P91,INDEX('AUX TABLES'!$G$4:$K$8,BB91,BC91))),IF(P91="FAIL",P91,INDEX('AUX TABLES'!$G$4:$K$8,BB91,BC91)))</f>
        <v>#VALUE!</v>
      </c>
      <c r="S91" s="69" t="e">
        <f>INDEX('AUX TABLES'!$G$4:$K$8,AM91,AN91)</f>
        <v>#VALUE!</v>
      </c>
      <c r="T91" s="69" t="e">
        <f>IF(AJ$11=FALSE,IF(AJ91="NA",S91,INDEX('AUX TABLES'!$G$4:$K$8,AP91,AQ91)),IF(S91="FAIL",S91,INDEX('AUX TABLES'!$G$4:$K$8,AP91,AQ91)))</f>
        <v>#VALUE!</v>
      </c>
      <c r="U91" s="150" t="e">
        <f>IF(AJ$11=FALSE,IF(AJ91="NA",S91,INDEX('AUX TABLES'!$G$4:$K$8,AS91,AT91)),IF(S91="FAIL",S91,INDEX('AUX TABLES'!$G$4:$K$8,AS91,AT91)))</f>
        <v>#VALUE!</v>
      </c>
      <c r="V91" s="150" t="str">
        <f t="shared" si="38"/>
        <v/>
      </c>
      <c r="W91" s="74">
        <f t="shared" si="39"/>
        <v>10.009</v>
      </c>
      <c r="X91" s="74" t="str">
        <f t="shared" si="40"/>
        <v>NA</v>
      </c>
      <c r="Y91" s="74" t="str">
        <f t="shared" si="41"/>
        <v>NA</v>
      </c>
      <c r="Z91" s="74" t="str">
        <f t="shared" si="42"/>
        <v>NA</v>
      </c>
      <c r="AA91" s="74" t="str">
        <f t="shared" si="43"/>
        <v>NA</v>
      </c>
      <c r="AB91" s="74">
        <f t="shared" si="44"/>
        <v>9.9909999999999997</v>
      </c>
      <c r="AC91" s="69" t="str">
        <f>IF(ISTEXT('TECH DATA ENTRY'!L108)=TRUE,"NA",'TECH DATA ENTRY'!H108)</f>
        <v>NA</v>
      </c>
      <c r="AD91" s="69" t="str">
        <f t="shared" si="45"/>
        <v>NA</v>
      </c>
      <c r="AE91" s="69" t="str">
        <f t="shared" si="46"/>
        <v>NA</v>
      </c>
      <c r="AF91" s="69" t="e">
        <f t="shared" si="47"/>
        <v>#VALUE!</v>
      </c>
      <c r="AG91" s="69" t="e">
        <f t="shared" si="48"/>
        <v>#VALUE!</v>
      </c>
      <c r="AH91" s="69" t="e">
        <f t="shared" si="49"/>
        <v>#VALUE!</v>
      </c>
      <c r="AI91" s="69" t="e">
        <f t="shared" si="50"/>
        <v>#VALUE!</v>
      </c>
      <c r="AJ91" s="70" t="str">
        <f>IF(OR(ISTEXT('TECH DATA ENTRY'!L108)=TRUE,ISTEXT('TECH DATA ENTRY'!F108)=TRUE,ISTEXT('TECH DATA ENTRY'!G108)=TRUE),"NA",(W91-AB91)/(2*MAX(M91,L91)))</f>
        <v>NA</v>
      </c>
      <c r="AK91" s="69" t="str">
        <f t="shared" si="51"/>
        <v>NA</v>
      </c>
      <c r="AM91" s="73" t="e">
        <f t="shared" si="52"/>
        <v>#VALUE!</v>
      </c>
      <c r="AN91" s="73" t="e">
        <f t="shared" si="53"/>
        <v>#VALUE!</v>
      </c>
      <c r="AO91" s="87"/>
      <c r="AP91" s="73" t="e">
        <f t="shared" si="54"/>
        <v>#VALUE!</v>
      </c>
      <c r="AQ91" s="73" t="e">
        <f t="shared" si="55"/>
        <v>#VALUE!</v>
      </c>
      <c r="AR91" s="87"/>
      <c r="AS91" s="73" t="e">
        <f t="shared" si="56"/>
        <v>#VALUE!</v>
      </c>
      <c r="AT91" s="73" t="e">
        <f t="shared" si="57"/>
        <v>#VALUE!</v>
      </c>
      <c r="AV91" s="73" t="e">
        <f t="shared" si="58"/>
        <v>#VALUE!</v>
      </c>
      <c r="AW91" s="73" t="e">
        <f t="shared" si="59"/>
        <v>#VALUE!</v>
      </c>
      <c r="AX91" s="87"/>
      <c r="AY91" s="73" t="e">
        <f t="shared" si="60"/>
        <v>#VALUE!</v>
      </c>
      <c r="AZ91" s="73" t="e">
        <f t="shared" si="61"/>
        <v>#VALUE!</v>
      </c>
      <c r="BA91" s="87"/>
      <c r="BB91" s="73" t="e">
        <f t="shared" si="62"/>
        <v>#VALUE!</v>
      </c>
      <c r="BC91" s="73" t="e">
        <f t="shared" si="63"/>
        <v>#VALUE!</v>
      </c>
    </row>
    <row r="92" spans="1:55" s="86" customFormat="1" ht="25" customHeight="1">
      <c r="A92" s="492" t="str">
        <f>IF('TECH DATA ENTRY'!A109="","",'TECH DATA ENTRY'!A109)</f>
        <v>20 kHz</v>
      </c>
      <c r="B92" s="355">
        <f>IF('TECH DATA ENTRY'!B109="","",'TECH DATA ENTRY'!B109)</f>
        <v>10</v>
      </c>
      <c r="C92" s="355">
        <f>IF(B92="","",IFERROR('TECH DATA ENTRY'!F109,"NA"))</f>
        <v>9.9909999999999997</v>
      </c>
      <c r="D92" s="355" t="str">
        <f>IF('TECH DATA ENTRY'!L109="","",'TECH DATA ENTRY'!L109)</f>
        <v/>
      </c>
      <c r="E92" s="355" t="str">
        <f t="shared" si="35"/>
        <v/>
      </c>
      <c r="F92" s="355">
        <f>IF(B92="","",IFERROR('TECH DATA ENTRY'!G109,"NA"))</f>
        <v>10.009</v>
      </c>
      <c r="G92" s="518" t="str">
        <f t="shared" si="36"/>
        <v/>
      </c>
      <c r="H92" s="355" t="str">
        <f>IF(OR(ISTEXT(B92)=TRUE, D92="NA",D92=""),"NA", roundsf(MAX(L92,M92),C92))</f>
        <v>NA</v>
      </c>
      <c r="I92" s="325" t="str">
        <f t="shared" si="37"/>
        <v>NA</v>
      </c>
      <c r="J92" s="299"/>
      <c r="K92" s="245"/>
      <c r="L92" s="506">
        <f>(47/1000000)*ABS(B92)+(50/1000000)</f>
        <v>5.1999999999999995E-4</v>
      </c>
      <c r="M92" s="244" t="str">
        <f>UNC_CALCULATION!AM81</f>
        <v>NA</v>
      </c>
      <c r="N92" s="85"/>
      <c r="O92" s="58"/>
      <c r="P92" s="69" t="e">
        <f>IF(B92="","",INDEX('AUX TABLES'!$G$4:$K$8,AV92,AW92))</f>
        <v>#VALUE!</v>
      </c>
      <c r="Q92" s="150" t="e">
        <f>IF(AJ$11=FALSE,IF(B92="","",IF(AJ92="NA",P92,INDEX('AUX TABLES'!$G$4:$K$8,AY92,AZ92))),IF(P92="FAIL",P92,INDEX('AUX TABLES'!$G$4:$K$8,AY92,AZ92)))</f>
        <v>#VALUE!</v>
      </c>
      <c r="R92" s="150" t="e">
        <f>IF(AJ$11=FALSE,IF(B92="","",IF(AJ92="NA",P92,INDEX('AUX TABLES'!$G$4:$K$8,BB92,BC92))),IF(P92="FAIL",P92,INDEX('AUX TABLES'!$G$4:$K$8,BB92,BC92)))</f>
        <v>#VALUE!</v>
      </c>
      <c r="S92" s="69" t="e">
        <f>INDEX('AUX TABLES'!$G$4:$K$8,AM92,AN92)</f>
        <v>#VALUE!</v>
      </c>
      <c r="T92" s="69" t="e">
        <f>IF(AJ$11=FALSE,IF(AJ92="NA",S92,INDEX('AUX TABLES'!$G$4:$K$8,AP92,AQ92)),IF(S92="FAIL",S92,INDEX('AUX TABLES'!$G$4:$K$8,AP92,AQ92)))</f>
        <v>#VALUE!</v>
      </c>
      <c r="U92" s="150" t="e">
        <f>IF(AJ$11=FALSE,IF(AJ92="NA",S92,INDEX('AUX TABLES'!$G$4:$K$8,AS92,AT92)),IF(S92="FAIL",S92,INDEX('AUX TABLES'!$G$4:$K$8,AS92,AT92)))</f>
        <v>#VALUE!</v>
      </c>
      <c r="V92" s="150" t="str">
        <f t="shared" si="38"/>
        <v/>
      </c>
      <c r="W92" s="74">
        <f t="shared" si="39"/>
        <v>10.009</v>
      </c>
      <c r="X92" s="74" t="str">
        <f t="shared" si="40"/>
        <v>NA</v>
      </c>
      <c r="Y92" s="74" t="str">
        <f t="shared" si="41"/>
        <v>NA</v>
      </c>
      <c r="Z92" s="74" t="str">
        <f t="shared" si="42"/>
        <v>NA</v>
      </c>
      <c r="AA92" s="74" t="str">
        <f t="shared" si="43"/>
        <v>NA</v>
      </c>
      <c r="AB92" s="74">
        <f t="shared" si="44"/>
        <v>9.9909999999999997</v>
      </c>
      <c r="AC92" s="69" t="str">
        <f>IF(ISTEXT('TECH DATA ENTRY'!L109)=TRUE,"NA",'TECH DATA ENTRY'!H109)</f>
        <v>NA</v>
      </c>
      <c r="AD92" s="69" t="str">
        <f t="shared" si="45"/>
        <v>NA</v>
      </c>
      <c r="AE92" s="69" t="str">
        <f t="shared" si="46"/>
        <v>NA</v>
      </c>
      <c r="AF92" s="69" t="e">
        <f t="shared" si="47"/>
        <v>#VALUE!</v>
      </c>
      <c r="AG92" s="69" t="e">
        <f t="shared" si="48"/>
        <v>#VALUE!</v>
      </c>
      <c r="AH92" s="69" t="e">
        <f t="shared" si="49"/>
        <v>#VALUE!</v>
      </c>
      <c r="AI92" s="69" t="e">
        <f t="shared" si="50"/>
        <v>#VALUE!</v>
      </c>
      <c r="AJ92" s="70" t="str">
        <f>IF(OR(ISTEXT('TECH DATA ENTRY'!L109)=TRUE,ISTEXT('TECH DATA ENTRY'!F109)=TRUE,ISTEXT('TECH DATA ENTRY'!G109)=TRUE),"NA",(W92-AB92)/(2*MAX(M92,L92)))</f>
        <v>NA</v>
      </c>
      <c r="AK92" s="69" t="str">
        <f t="shared" si="51"/>
        <v>NA</v>
      </c>
      <c r="AM92" s="73" t="e">
        <f t="shared" si="52"/>
        <v>#VALUE!</v>
      </c>
      <c r="AN92" s="73" t="e">
        <f t="shared" si="53"/>
        <v>#VALUE!</v>
      </c>
      <c r="AO92" s="87"/>
      <c r="AP92" s="73" t="e">
        <f t="shared" si="54"/>
        <v>#VALUE!</v>
      </c>
      <c r="AQ92" s="73" t="e">
        <f t="shared" si="55"/>
        <v>#VALUE!</v>
      </c>
      <c r="AR92" s="87"/>
      <c r="AS92" s="73" t="e">
        <f t="shared" si="56"/>
        <v>#VALUE!</v>
      </c>
      <c r="AT92" s="73" t="e">
        <f t="shared" si="57"/>
        <v>#VALUE!</v>
      </c>
      <c r="AV92" s="73" t="e">
        <f t="shared" si="58"/>
        <v>#VALUE!</v>
      </c>
      <c r="AW92" s="73" t="e">
        <f t="shared" si="59"/>
        <v>#VALUE!</v>
      </c>
      <c r="AX92" s="87"/>
      <c r="AY92" s="73" t="e">
        <f t="shared" si="60"/>
        <v>#VALUE!</v>
      </c>
      <c r="AZ92" s="73" t="e">
        <f t="shared" si="61"/>
        <v>#VALUE!</v>
      </c>
      <c r="BA92" s="87"/>
      <c r="BB92" s="73" t="e">
        <f t="shared" si="62"/>
        <v>#VALUE!</v>
      </c>
      <c r="BC92" s="73" t="e">
        <f t="shared" si="63"/>
        <v>#VALUE!</v>
      </c>
    </row>
    <row r="93" spans="1:55" s="86" customFormat="1" ht="25" customHeight="1">
      <c r="A93" s="492" t="str">
        <f>IF('TECH DATA ENTRY'!A110="","",'TECH DATA ENTRY'!A110)</f>
        <v>50 kHz</v>
      </c>
      <c r="B93" s="355">
        <f>IF('TECH DATA ENTRY'!B110="","",'TECH DATA ENTRY'!B110)</f>
        <v>10</v>
      </c>
      <c r="C93" s="355">
        <f>IF(B93="","",IFERROR('TECH DATA ENTRY'!F110,"NA"))</f>
        <v>9.9830000000000005</v>
      </c>
      <c r="D93" s="355" t="str">
        <f>IF('TECH DATA ENTRY'!L110="","",'TECH DATA ENTRY'!L110)</f>
        <v/>
      </c>
      <c r="E93" s="355" t="str">
        <f t="shared" si="35"/>
        <v/>
      </c>
      <c r="F93" s="355">
        <f>IF(B93="","",IFERROR('TECH DATA ENTRY'!G110,"NA"))</f>
        <v>10.016999999999999</v>
      </c>
      <c r="G93" s="518" t="str">
        <f t="shared" si="36"/>
        <v/>
      </c>
      <c r="H93" s="355" t="str">
        <f>IF(OR(ISTEXT(B93)=TRUE, D93="NA",D93=""),"NA", roundsf(MAX(L93,M93),C93))</f>
        <v>NA</v>
      </c>
      <c r="I93" s="325" t="str">
        <f t="shared" si="37"/>
        <v>NA</v>
      </c>
      <c r="J93" s="299"/>
      <c r="K93" s="245"/>
      <c r="L93" s="506">
        <f>(80/1000000)*ABS(B93)+(100/1000000)</f>
        <v>9.0000000000000008E-4</v>
      </c>
      <c r="M93" s="244" t="str">
        <f>UNC_CALCULATION!AM82</f>
        <v>NA</v>
      </c>
      <c r="N93" s="85"/>
      <c r="O93" s="58"/>
      <c r="P93" s="69" t="e">
        <f>IF(B93="","",INDEX('AUX TABLES'!$G$4:$K$8,AV93,AW93))</f>
        <v>#VALUE!</v>
      </c>
      <c r="Q93" s="150" t="e">
        <f>IF(AJ$11=FALSE,IF(B93="","",IF(AJ93="NA",P93,INDEX('AUX TABLES'!$G$4:$K$8,AY93,AZ93))),IF(P93="FAIL",P93,INDEX('AUX TABLES'!$G$4:$K$8,AY93,AZ93)))</f>
        <v>#VALUE!</v>
      </c>
      <c r="R93" s="150" t="e">
        <f>IF(AJ$11=FALSE,IF(B93="","",IF(AJ93="NA",P93,INDEX('AUX TABLES'!$G$4:$K$8,BB93,BC93))),IF(P93="FAIL",P93,INDEX('AUX TABLES'!$G$4:$K$8,BB93,BC93)))</f>
        <v>#VALUE!</v>
      </c>
      <c r="S93" s="69" t="e">
        <f>INDEX('AUX TABLES'!$G$4:$K$8,AM93,AN93)</f>
        <v>#VALUE!</v>
      </c>
      <c r="T93" s="69" t="e">
        <f>IF(AJ$11=FALSE,IF(AJ93="NA",S93,INDEX('AUX TABLES'!$G$4:$K$8,AP93,AQ93)),IF(S93="FAIL",S93,INDEX('AUX TABLES'!$G$4:$K$8,AP93,AQ93)))</f>
        <v>#VALUE!</v>
      </c>
      <c r="U93" s="150" t="e">
        <f>IF(AJ$11=FALSE,IF(AJ93="NA",S93,INDEX('AUX TABLES'!$G$4:$K$8,AS93,AT93)),IF(S93="FAIL",S93,INDEX('AUX TABLES'!$G$4:$K$8,AS93,AT93)))</f>
        <v>#VALUE!</v>
      </c>
      <c r="V93" s="150" t="str">
        <f t="shared" si="38"/>
        <v/>
      </c>
      <c r="W93" s="74">
        <f t="shared" si="39"/>
        <v>10.016999999999999</v>
      </c>
      <c r="X93" s="74" t="str">
        <f t="shared" si="40"/>
        <v>NA</v>
      </c>
      <c r="Y93" s="74" t="str">
        <f t="shared" si="41"/>
        <v>NA</v>
      </c>
      <c r="Z93" s="74" t="str">
        <f t="shared" si="42"/>
        <v>NA</v>
      </c>
      <c r="AA93" s="74" t="str">
        <f t="shared" si="43"/>
        <v>NA</v>
      </c>
      <c r="AB93" s="74">
        <f t="shared" si="44"/>
        <v>9.9830000000000005</v>
      </c>
      <c r="AC93" s="69" t="str">
        <f>IF(ISTEXT('TECH DATA ENTRY'!L110)=TRUE,"NA",'TECH DATA ENTRY'!H110)</f>
        <v>NA</v>
      </c>
      <c r="AD93" s="69" t="str">
        <f t="shared" si="45"/>
        <v>NA</v>
      </c>
      <c r="AE93" s="69" t="str">
        <f t="shared" si="46"/>
        <v>NA</v>
      </c>
      <c r="AF93" s="69" t="e">
        <f t="shared" si="47"/>
        <v>#VALUE!</v>
      </c>
      <c r="AG93" s="69" t="e">
        <f t="shared" si="48"/>
        <v>#VALUE!</v>
      </c>
      <c r="AH93" s="69" t="e">
        <f t="shared" si="49"/>
        <v>#VALUE!</v>
      </c>
      <c r="AI93" s="69" t="e">
        <f t="shared" si="50"/>
        <v>#VALUE!</v>
      </c>
      <c r="AJ93" s="70" t="str">
        <f>IF(OR(ISTEXT('TECH DATA ENTRY'!L110)=TRUE,ISTEXT('TECH DATA ENTRY'!F110)=TRUE,ISTEXT('TECH DATA ENTRY'!G110)=TRUE),"NA",(W93-AB93)/(2*MAX(M93,L93)))</f>
        <v>NA</v>
      </c>
      <c r="AK93" s="69" t="str">
        <f t="shared" si="51"/>
        <v>NA</v>
      </c>
      <c r="AM93" s="73" t="e">
        <f t="shared" si="52"/>
        <v>#VALUE!</v>
      </c>
      <c r="AN93" s="73" t="e">
        <f t="shared" si="53"/>
        <v>#VALUE!</v>
      </c>
      <c r="AO93" s="87"/>
      <c r="AP93" s="73" t="e">
        <f t="shared" si="54"/>
        <v>#VALUE!</v>
      </c>
      <c r="AQ93" s="73" t="e">
        <f t="shared" si="55"/>
        <v>#VALUE!</v>
      </c>
      <c r="AR93" s="87"/>
      <c r="AS93" s="73" t="e">
        <f t="shared" si="56"/>
        <v>#VALUE!</v>
      </c>
      <c r="AT93" s="73" t="e">
        <f t="shared" si="57"/>
        <v>#VALUE!</v>
      </c>
      <c r="AV93" s="73" t="e">
        <f t="shared" si="58"/>
        <v>#VALUE!</v>
      </c>
      <c r="AW93" s="73" t="e">
        <f t="shared" si="59"/>
        <v>#VALUE!</v>
      </c>
      <c r="AX93" s="87"/>
      <c r="AY93" s="73" t="e">
        <f t="shared" si="60"/>
        <v>#VALUE!</v>
      </c>
      <c r="AZ93" s="73" t="e">
        <f t="shared" si="61"/>
        <v>#VALUE!</v>
      </c>
      <c r="BA93" s="87"/>
      <c r="BB93" s="73" t="e">
        <f t="shared" si="62"/>
        <v>#VALUE!</v>
      </c>
      <c r="BC93" s="73" t="e">
        <f t="shared" si="63"/>
        <v>#VALUE!</v>
      </c>
    </row>
    <row r="94" spans="1:55" s="86" customFormat="1" ht="25" customHeight="1">
      <c r="A94" s="492" t="str">
        <f>IF('TECH DATA ENTRY'!A111="","",'TECH DATA ENTRY'!A111)</f>
        <v>100 kHz</v>
      </c>
      <c r="B94" s="355">
        <f>IF('TECH DATA ENTRY'!B111="","",'TECH DATA ENTRY'!B111)</f>
        <v>10</v>
      </c>
      <c r="C94" s="355">
        <f>IF(B94="","",IFERROR('TECH DATA ENTRY'!F111,"NA"))</f>
        <v>9.9320000000000004</v>
      </c>
      <c r="D94" s="355" t="str">
        <f>IF('TECH DATA ENTRY'!L111="","",'TECH DATA ENTRY'!L111)</f>
        <v/>
      </c>
      <c r="E94" s="355" t="str">
        <f t="shared" si="35"/>
        <v/>
      </c>
      <c r="F94" s="355">
        <f>IF(B94="","",IFERROR('TECH DATA ENTRY'!G111,"NA"))</f>
        <v>10.068</v>
      </c>
      <c r="G94" s="518" t="str">
        <f t="shared" si="36"/>
        <v/>
      </c>
      <c r="H94" s="355" t="str">
        <f>IF(OR(ISTEXT(B94)=TRUE, D94="NA",D94=""),"NA", roundsf(MAX(L94,M94),C94))</f>
        <v>NA</v>
      </c>
      <c r="I94" s="325" t="str">
        <f t="shared" si="37"/>
        <v>NA</v>
      </c>
      <c r="J94" s="299"/>
      <c r="K94" s="245"/>
      <c r="L94" s="506">
        <f>(109/1000000)*ABS(B94)+(200/1000000)</f>
        <v>1.2900000000000001E-3</v>
      </c>
      <c r="M94" s="244" t="str">
        <f>UNC_CALCULATION!AM83</f>
        <v>NA</v>
      </c>
      <c r="N94" s="85"/>
      <c r="O94" s="58"/>
      <c r="P94" s="69" t="e">
        <f>IF(B94="","",INDEX('AUX TABLES'!$G$4:$K$8,AV94,AW94))</f>
        <v>#VALUE!</v>
      </c>
      <c r="Q94" s="150" t="e">
        <f>IF(AJ$11=FALSE,IF(B94="","",IF(AJ94="NA",P94,INDEX('AUX TABLES'!$G$4:$K$8,AY94,AZ94))),IF(P94="FAIL",P94,INDEX('AUX TABLES'!$G$4:$K$8,AY94,AZ94)))</f>
        <v>#VALUE!</v>
      </c>
      <c r="R94" s="150" t="e">
        <f>IF(AJ$11=FALSE,IF(B94="","",IF(AJ94="NA",P94,INDEX('AUX TABLES'!$G$4:$K$8,BB94,BC94))),IF(P94="FAIL",P94,INDEX('AUX TABLES'!$G$4:$K$8,BB94,BC94)))</f>
        <v>#VALUE!</v>
      </c>
      <c r="S94" s="69" t="e">
        <f>INDEX('AUX TABLES'!$G$4:$K$8,AM94,AN94)</f>
        <v>#VALUE!</v>
      </c>
      <c r="T94" s="69" t="e">
        <f>IF(AJ$11=FALSE,IF(AJ94="NA",S94,INDEX('AUX TABLES'!$G$4:$K$8,AP94,AQ94)),IF(S94="FAIL",S94,INDEX('AUX TABLES'!$G$4:$K$8,AP94,AQ94)))</f>
        <v>#VALUE!</v>
      </c>
      <c r="U94" s="150" t="e">
        <f>IF(AJ$11=FALSE,IF(AJ94="NA",S94,INDEX('AUX TABLES'!$G$4:$K$8,AS94,AT94)),IF(S94="FAIL",S94,INDEX('AUX TABLES'!$G$4:$K$8,AS94,AT94)))</f>
        <v>#VALUE!</v>
      </c>
      <c r="V94" s="150" t="str">
        <f t="shared" si="38"/>
        <v/>
      </c>
      <c r="W94" s="74">
        <f t="shared" si="39"/>
        <v>10.068</v>
      </c>
      <c r="X94" s="74" t="str">
        <f t="shared" si="40"/>
        <v>NA</v>
      </c>
      <c r="Y94" s="74" t="str">
        <f t="shared" si="41"/>
        <v>NA</v>
      </c>
      <c r="Z94" s="74" t="str">
        <f t="shared" si="42"/>
        <v>NA</v>
      </c>
      <c r="AA94" s="74" t="str">
        <f t="shared" si="43"/>
        <v>NA</v>
      </c>
      <c r="AB94" s="74">
        <f t="shared" si="44"/>
        <v>9.9320000000000004</v>
      </c>
      <c r="AC94" s="69" t="str">
        <f>IF(ISTEXT('TECH DATA ENTRY'!L111)=TRUE,"NA",'TECH DATA ENTRY'!H111)</f>
        <v>NA</v>
      </c>
      <c r="AD94" s="69" t="str">
        <f t="shared" si="45"/>
        <v>NA</v>
      </c>
      <c r="AE94" s="69" t="str">
        <f t="shared" si="46"/>
        <v>NA</v>
      </c>
      <c r="AF94" s="69" t="e">
        <f t="shared" si="47"/>
        <v>#VALUE!</v>
      </c>
      <c r="AG94" s="69" t="e">
        <f t="shared" si="48"/>
        <v>#VALUE!</v>
      </c>
      <c r="AH94" s="69" t="e">
        <f t="shared" si="49"/>
        <v>#VALUE!</v>
      </c>
      <c r="AI94" s="69" t="e">
        <f t="shared" si="50"/>
        <v>#VALUE!</v>
      </c>
      <c r="AJ94" s="70" t="str">
        <f>IF(OR(ISTEXT('TECH DATA ENTRY'!L111)=TRUE,ISTEXT('TECH DATA ENTRY'!F111)=TRUE,ISTEXT('TECH DATA ENTRY'!G111)=TRUE),"NA",(W94-AB94)/(2*MAX(M94,L94)))</f>
        <v>NA</v>
      </c>
      <c r="AK94" s="69" t="str">
        <f t="shared" si="51"/>
        <v>NA</v>
      </c>
      <c r="AM94" s="73" t="e">
        <f t="shared" si="52"/>
        <v>#VALUE!</v>
      </c>
      <c r="AN94" s="73" t="e">
        <f t="shared" si="53"/>
        <v>#VALUE!</v>
      </c>
      <c r="AO94" s="87"/>
      <c r="AP94" s="73" t="e">
        <f t="shared" si="54"/>
        <v>#VALUE!</v>
      </c>
      <c r="AQ94" s="73" t="e">
        <f t="shared" si="55"/>
        <v>#VALUE!</v>
      </c>
      <c r="AR94" s="87"/>
      <c r="AS94" s="73" t="e">
        <f t="shared" si="56"/>
        <v>#VALUE!</v>
      </c>
      <c r="AT94" s="73" t="e">
        <f t="shared" si="57"/>
        <v>#VALUE!</v>
      </c>
      <c r="AV94" s="73" t="e">
        <f t="shared" si="58"/>
        <v>#VALUE!</v>
      </c>
      <c r="AW94" s="73" t="e">
        <f t="shared" si="59"/>
        <v>#VALUE!</v>
      </c>
      <c r="AX94" s="87"/>
      <c r="AY94" s="73" t="e">
        <f t="shared" si="60"/>
        <v>#VALUE!</v>
      </c>
      <c r="AZ94" s="73" t="e">
        <f t="shared" si="61"/>
        <v>#VALUE!</v>
      </c>
      <c r="BA94" s="87"/>
      <c r="BB94" s="73" t="e">
        <f t="shared" si="62"/>
        <v>#VALUE!</v>
      </c>
      <c r="BC94" s="73" t="e">
        <f t="shared" si="63"/>
        <v>#VALUE!</v>
      </c>
    </row>
    <row r="95" spans="1:55" s="86" customFormat="1" ht="25" customHeight="1" thickBot="1">
      <c r="A95" s="493" t="str">
        <f>IF('TECH DATA ENTRY'!A112="","",'TECH DATA ENTRY'!A112)</f>
        <v>300 kHz</v>
      </c>
      <c r="B95" s="494">
        <f>IF('TECH DATA ENTRY'!B112="","",'TECH DATA ENTRY'!B112)</f>
        <v>3</v>
      </c>
      <c r="C95" s="494">
        <f>IF(B95="","",IFERROR('TECH DATA ENTRY'!F112,"NA"))</f>
        <v>2.83</v>
      </c>
      <c r="D95" s="494" t="str">
        <f>IF('TECH DATA ENTRY'!L112="","",'TECH DATA ENTRY'!L112)</f>
        <v/>
      </c>
      <c r="E95" s="494" t="str">
        <f t="shared" si="35"/>
        <v/>
      </c>
      <c r="F95" s="494">
        <f>IF(B95="","",IFERROR('TECH DATA ENTRY'!G112,"NA"))</f>
        <v>3.17</v>
      </c>
      <c r="G95" s="519" t="str">
        <f t="shared" si="36"/>
        <v/>
      </c>
      <c r="H95" s="494" t="str">
        <f>IF(OR(ISTEXT(B95)=TRUE, D95="NA",D95=""),"NA", roundsf(MAX(L95,M95),C95))</f>
        <v>NA</v>
      </c>
      <c r="I95" s="486" t="str">
        <f t="shared" si="37"/>
        <v>NA</v>
      </c>
      <c r="J95" s="299"/>
      <c r="K95" s="245"/>
      <c r="L95" s="506">
        <f>(295/1000000)*ABS(B95)+(600/1000000)</f>
        <v>1.485E-3</v>
      </c>
      <c r="M95" s="244" t="str">
        <f>UNC_CALCULATION!AM84</f>
        <v>NA</v>
      </c>
      <c r="N95" s="85"/>
      <c r="O95" s="58"/>
      <c r="P95" s="69" t="e">
        <f>IF(B95="","",INDEX('AUX TABLES'!$G$4:$K$8,AV95,AW95))</f>
        <v>#VALUE!</v>
      </c>
      <c r="Q95" s="150" t="e">
        <f>IF(AJ$11=FALSE,IF(B95="","",IF(AJ95="NA",P95,INDEX('AUX TABLES'!$G$4:$K$8,AY95,AZ95))),IF(P95="FAIL",P95,INDEX('AUX TABLES'!$G$4:$K$8,AY95,AZ95)))</f>
        <v>#VALUE!</v>
      </c>
      <c r="R95" s="150" t="e">
        <f>IF(AJ$11=FALSE,IF(B95="","",IF(AJ95="NA",P95,INDEX('AUX TABLES'!$G$4:$K$8,BB95,BC95))),IF(P95="FAIL",P95,INDEX('AUX TABLES'!$G$4:$K$8,BB95,BC95)))</f>
        <v>#VALUE!</v>
      </c>
      <c r="S95" s="69" t="e">
        <f>INDEX('AUX TABLES'!$G$4:$K$8,AM95,AN95)</f>
        <v>#VALUE!</v>
      </c>
      <c r="T95" s="69" t="e">
        <f>IF(AJ$11=FALSE,IF(AJ95="NA",S95,INDEX('AUX TABLES'!$G$4:$K$8,AP95,AQ95)),IF(S95="FAIL",S95,INDEX('AUX TABLES'!$G$4:$K$8,AP95,AQ95)))</f>
        <v>#VALUE!</v>
      </c>
      <c r="U95" s="150" t="e">
        <f>IF(AJ$11=FALSE,IF(AJ95="NA",S95,INDEX('AUX TABLES'!$G$4:$K$8,AS95,AT95)),IF(S95="FAIL",S95,INDEX('AUX TABLES'!$G$4:$K$8,AS95,AT95)))</f>
        <v>#VALUE!</v>
      </c>
      <c r="V95" s="150" t="str">
        <f t="shared" si="38"/>
        <v/>
      </c>
      <c r="W95" s="74">
        <f t="shared" si="39"/>
        <v>3.17</v>
      </c>
      <c r="X95" s="74" t="str">
        <f t="shared" si="40"/>
        <v>NA</v>
      </c>
      <c r="Y95" s="74" t="str">
        <f t="shared" si="41"/>
        <v>NA</v>
      </c>
      <c r="Z95" s="74" t="str">
        <f t="shared" si="42"/>
        <v>NA</v>
      </c>
      <c r="AA95" s="74" t="str">
        <f t="shared" si="43"/>
        <v>NA</v>
      </c>
      <c r="AB95" s="74">
        <f t="shared" si="44"/>
        <v>2.83</v>
      </c>
      <c r="AC95" s="69" t="str">
        <f>IF(ISTEXT('TECH DATA ENTRY'!L112)=TRUE,"NA",'TECH DATA ENTRY'!H112)</f>
        <v>NA</v>
      </c>
      <c r="AD95" s="69" t="str">
        <f t="shared" si="45"/>
        <v>NA</v>
      </c>
      <c r="AE95" s="69" t="str">
        <f t="shared" si="46"/>
        <v>NA</v>
      </c>
      <c r="AF95" s="69" t="e">
        <f t="shared" si="47"/>
        <v>#VALUE!</v>
      </c>
      <c r="AG95" s="69" t="e">
        <f t="shared" si="48"/>
        <v>#VALUE!</v>
      </c>
      <c r="AH95" s="69" t="e">
        <f t="shared" si="49"/>
        <v>#VALUE!</v>
      </c>
      <c r="AI95" s="69" t="e">
        <f t="shared" si="50"/>
        <v>#VALUE!</v>
      </c>
      <c r="AJ95" s="70" t="str">
        <f>IF(OR(ISTEXT('TECH DATA ENTRY'!L112)=TRUE,ISTEXT('TECH DATA ENTRY'!F112)=TRUE,ISTEXT('TECH DATA ENTRY'!G112)=TRUE),"NA",(W95-AB95)/(2*MAX(M95,L95)))</f>
        <v>NA</v>
      </c>
      <c r="AK95" s="69" t="str">
        <f t="shared" si="51"/>
        <v>NA</v>
      </c>
      <c r="AM95" s="73" t="e">
        <f t="shared" si="52"/>
        <v>#VALUE!</v>
      </c>
      <c r="AN95" s="73" t="e">
        <f t="shared" si="53"/>
        <v>#VALUE!</v>
      </c>
      <c r="AO95" s="87"/>
      <c r="AP95" s="73" t="e">
        <f t="shared" si="54"/>
        <v>#VALUE!</v>
      </c>
      <c r="AQ95" s="73" t="e">
        <f t="shared" si="55"/>
        <v>#VALUE!</v>
      </c>
      <c r="AR95" s="87"/>
      <c r="AS95" s="73" t="e">
        <f t="shared" si="56"/>
        <v>#VALUE!</v>
      </c>
      <c r="AT95" s="73" t="e">
        <f t="shared" si="57"/>
        <v>#VALUE!</v>
      </c>
      <c r="AV95" s="73" t="e">
        <f t="shared" si="58"/>
        <v>#VALUE!</v>
      </c>
      <c r="AW95" s="73" t="e">
        <f t="shared" si="59"/>
        <v>#VALUE!</v>
      </c>
      <c r="AX95" s="87"/>
      <c r="AY95" s="73" t="e">
        <f t="shared" si="60"/>
        <v>#VALUE!</v>
      </c>
      <c r="AZ95" s="73" t="e">
        <f t="shared" si="61"/>
        <v>#VALUE!</v>
      </c>
      <c r="BA95" s="87"/>
      <c r="BB95" s="73" t="e">
        <f t="shared" si="62"/>
        <v>#VALUE!</v>
      </c>
      <c r="BC95" s="73" t="e">
        <f t="shared" si="63"/>
        <v>#VALUE!</v>
      </c>
    </row>
    <row r="96" spans="1:55" s="296" customFormat="1" ht="28.15" customHeight="1">
      <c r="A96" s="550" t="str">
        <f>IF('TECH DATA ENTRY'!A113="","",'TECH DATA ENTRY'!A113)</f>
        <v/>
      </c>
      <c r="B96" s="551"/>
      <c r="C96" s="552"/>
      <c r="D96" s="551"/>
      <c r="E96" s="551"/>
      <c r="F96" s="551"/>
      <c r="G96" s="552"/>
      <c r="H96" s="551"/>
      <c r="I96" s="553"/>
      <c r="J96" s="224"/>
      <c r="K96" s="224"/>
      <c r="L96" s="224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AK96" s="297"/>
    </row>
    <row r="97" spans="1:55" s="31" customFormat="1" ht="22.15" customHeight="1">
      <c r="A97" s="76" t="str">
        <f>IF('TECH DATA ENTRY'!A114="","",'TECH DATA ENTRY'!A114)</f>
        <v>Range 100 V</v>
      </c>
      <c r="H97" s="321"/>
      <c r="O97" s="77"/>
      <c r="AK97" s="1"/>
      <c r="AM97" s="637" t="s">
        <v>116</v>
      </c>
      <c r="AN97" s="637"/>
      <c r="AO97" s="637"/>
      <c r="AP97" s="637"/>
      <c r="AQ97" s="637"/>
      <c r="AR97" s="637"/>
      <c r="AS97" s="637"/>
      <c r="AT97" s="637"/>
      <c r="AV97" s="637" t="s">
        <v>117</v>
      </c>
      <c r="AW97" s="637"/>
      <c r="AX97" s="637"/>
      <c r="AY97" s="637"/>
      <c r="AZ97" s="637"/>
      <c r="BA97" s="637"/>
      <c r="BB97" s="637"/>
      <c r="BC97" s="637"/>
    </row>
    <row r="98" spans="1:55" s="225" customFormat="1" ht="4.9000000000000004" customHeight="1" thickBot="1">
      <c r="A98" s="288" t="str">
        <f>IF('TECH DATA ENTRY'!A115="","",'TECH DATA ENTRY'!A115)</f>
        <v/>
      </c>
      <c r="K98" s="239"/>
      <c r="L98" s="239"/>
      <c r="AK98" s="240"/>
    </row>
    <row r="99" spans="1:55" s="285" customFormat="1" ht="20.149999999999999" customHeight="1">
      <c r="A99" s="644" t="str">
        <f>IF('TECH DATA ENTRY'!A116="","",'TECH DATA ENTRY'!A116)</f>
        <v>Frequency</v>
      </c>
      <c r="B99" s="646" t="str">
        <f>IF('TECH DATA ENTRY'!B116="","",'TECH DATA ENTRY'!B116)</f>
        <v>Nominal</v>
      </c>
      <c r="C99" s="648" t="s">
        <v>2</v>
      </c>
      <c r="D99" s="648" t="str">
        <f>IF(LEFT(P$11,3)="ROV", "Measured Value", "As Found")</f>
        <v>As Found</v>
      </c>
      <c r="E99" s="648" t="str">
        <f>IF(LEFT(P$11,3)="ROV", "Correction", "As Left")</f>
        <v>As Left</v>
      </c>
      <c r="F99" s="648" t="s">
        <v>3</v>
      </c>
      <c r="G99" s="653" t="s">
        <v>4</v>
      </c>
      <c r="H99" s="659" t="s">
        <v>30</v>
      </c>
      <c r="I99" s="661" t="s">
        <v>28</v>
      </c>
      <c r="J99" s="284"/>
      <c r="L99" s="658" t="s">
        <v>38</v>
      </c>
      <c r="M99" s="616" t="s">
        <v>31</v>
      </c>
      <c r="N99" s="281"/>
      <c r="O99" s="286"/>
      <c r="P99" s="640" t="s">
        <v>136</v>
      </c>
      <c r="Q99" s="641"/>
      <c r="R99" s="642"/>
      <c r="S99" s="638" t="s">
        <v>115</v>
      </c>
      <c r="T99" s="638"/>
      <c r="U99" s="638"/>
      <c r="V99" s="638"/>
      <c r="W99" s="640" t="s">
        <v>64</v>
      </c>
      <c r="X99" s="641"/>
      <c r="Y99" s="641"/>
      <c r="Z99" s="641"/>
      <c r="AA99" s="641"/>
      <c r="AB99" s="642"/>
      <c r="AC99" s="638" t="s">
        <v>97</v>
      </c>
      <c r="AD99" s="638"/>
      <c r="AE99" s="638"/>
      <c r="AF99" s="638" t="s">
        <v>127</v>
      </c>
      <c r="AG99" s="638"/>
      <c r="AH99" s="638" t="s">
        <v>128</v>
      </c>
      <c r="AI99" s="638"/>
      <c r="AJ99" s="638" t="s">
        <v>28</v>
      </c>
      <c r="AK99" s="638" t="s">
        <v>121</v>
      </c>
      <c r="AL99" s="308"/>
      <c r="AM99" s="639" t="s">
        <v>122</v>
      </c>
      <c r="AN99" s="639"/>
      <c r="AO99" s="308"/>
      <c r="AP99" s="639" t="s">
        <v>119</v>
      </c>
      <c r="AQ99" s="639"/>
      <c r="AR99" s="308"/>
      <c r="AS99" s="639" t="s">
        <v>120</v>
      </c>
      <c r="AT99" s="639"/>
      <c r="AU99" s="308"/>
      <c r="AV99" s="639" t="s">
        <v>122</v>
      </c>
      <c r="AW99" s="639"/>
      <c r="AX99" s="308"/>
      <c r="AY99" s="639" t="s">
        <v>119</v>
      </c>
      <c r="AZ99" s="639"/>
      <c r="BA99" s="308"/>
      <c r="BB99" s="639" t="s">
        <v>120</v>
      </c>
      <c r="BC99" s="639"/>
    </row>
    <row r="100" spans="1:55" s="285" customFormat="1" ht="20.149999999999999" customHeight="1" thickBot="1">
      <c r="A100" s="645"/>
      <c r="B100" s="647"/>
      <c r="C100" s="649"/>
      <c r="D100" s="649"/>
      <c r="E100" s="649"/>
      <c r="F100" s="649"/>
      <c r="G100" s="654"/>
      <c r="H100" s="660"/>
      <c r="I100" s="662"/>
      <c r="J100" s="284"/>
      <c r="L100" s="649"/>
      <c r="M100" s="617"/>
      <c r="O100" s="281"/>
      <c r="P100" s="309" t="s">
        <v>122</v>
      </c>
      <c r="Q100" s="309" t="s">
        <v>119</v>
      </c>
      <c r="R100" s="309" t="s">
        <v>120</v>
      </c>
      <c r="S100" s="309" t="s">
        <v>122</v>
      </c>
      <c r="T100" s="309" t="s">
        <v>119</v>
      </c>
      <c r="U100" s="309" t="s">
        <v>120</v>
      </c>
      <c r="V100" s="309" t="s">
        <v>118</v>
      </c>
      <c r="W100" s="309" t="s">
        <v>63</v>
      </c>
      <c r="X100" s="309" t="s">
        <v>69</v>
      </c>
      <c r="Y100" s="309" t="s">
        <v>71</v>
      </c>
      <c r="Z100" s="309" t="s">
        <v>72</v>
      </c>
      <c r="AA100" s="309" t="s">
        <v>70</v>
      </c>
      <c r="AB100" s="309" t="s">
        <v>75</v>
      </c>
      <c r="AC100" s="309" t="s">
        <v>78</v>
      </c>
      <c r="AD100" s="309" t="s">
        <v>119</v>
      </c>
      <c r="AE100" s="309" t="s">
        <v>120</v>
      </c>
      <c r="AF100" s="309" t="s">
        <v>129</v>
      </c>
      <c r="AG100" s="309" t="s">
        <v>130</v>
      </c>
      <c r="AH100" s="309" t="s">
        <v>129</v>
      </c>
      <c r="AI100" s="309" t="s">
        <v>130</v>
      </c>
      <c r="AJ100" s="652"/>
      <c r="AK100" s="652"/>
      <c r="AL100" s="308"/>
      <c r="AM100" s="310" t="s">
        <v>67</v>
      </c>
      <c r="AN100" s="310" t="s">
        <v>68</v>
      </c>
      <c r="AO100" s="308"/>
      <c r="AP100" s="310" t="s">
        <v>67</v>
      </c>
      <c r="AQ100" s="310" t="s">
        <v>68</v>
      </c>
      <c r="AR100" s="308"/>
      <c r="AS100" s="310" t="s">
        <v>67</v>
      </c>
      <c r="AT100" s="310" t="s">
        <v>68</v>
      </c>
      <c r="AU100" s="308"/>
      <c r="AV100" s="310" t="s">
        <v>67</v>
      </c>
      <c r="AW100" s="310" t="s">
        <v>68</v>
      </c>
      <c r="AX100" s="308"/>
      <c r="AY100" s="310" t="s">
        <v>67</v>
      </c>
      <c r="AZ100" s="310" t="s">
        <v>68</v>
      </c>
      <c r="BA100" s="308"/>
      <c r="BB100" s="310" t="s">
        <v>67</v>
      </c>
      <c r="BC100" s="310" t="s">
        <v>68</v>
      </c>
    </row>
    <row r="101" spans="1:55" s="86" customFormat="1" ht="25" customHeight="1" thickTop="1">
      <c r="A101" s="466" t="str">
        <f>IF('TECH DATA ENTRY'!A118="","",'TECH DATA ENTRY'!A118)</f>
        <v>45 Hz</v>
      </c>
      <c r="B101" s="367">
        <f>IF('TECH DATA ENTRY'!B118="","",'TECH DATA ENTRY'!B118)</f>
        <v>100</v>
      </c>
      <c r="C101" s="367">
        <f>IF(B101="","",IFERROR('TECH DATA ENTRY'!F118,"NA"))</f>
        <v>99.91</v>
      </c>
      <c r="D101" s="367" t="str">
        <f>IF('TECH DATA ENTRY'!L118="","",'TECH DATA ENTRY'!L118)</f>
        <v/>
      </c>
      <c r="E101" s="367" t="str">
        <f t="shared" si="35"/>
        <v/>
      </c>
      <c r="F101" s="367">
        <f>IF(B101="","",IFERROR('TECH DATA ENTRY'!G118,"NA"))</f>
        <v>100.09</v>
      </c>
      <c r="G101" s="524" t="str">
        <f t="shared" si="36"/>
        <v/>
      </c>
      <c r="H101" s="367" t="str">
        <f>IF(OR(ISTEXT(B101)=TRUE, D101="NA",D101=""),"NA", roundsf(MAX(L101,M101),C101))</f>
        <v>NA</v>
      </c>
      <c r="I101" s="325" t="str">
        <f t="shared" si="37"/>
        <v>NA</v>
      </c>
      <c r="J101" s="299"/>
      <c r="K101" s="245"/>
      <c r="L101" s="506">
        <f>(55/1000000)*ABS(B101)+(0.6/1000)</f>
        <v>6.1000000000000004E-3</v>
      </c>
      <c r="M101" s="244" t="str">
        <f>UNC_CALCULATION!AM90</f>
        <v>NA</v>
      </c>
      <c r="N101" s="85"/>
      <c r="O101" s="58"/>
      <c r="P101" s="69" t="e">
        <f>IF(B101="","",INDEX('AUX TABLES'!$G$4:$K$8,AV101,AW101))</f>
        <v>#VALUE!</v>
      </c>
      <c r="Q101" s="150" t="e">
        <f>IF(AJ$11=FALSE,IF(B101="","",IF(AJ101="NA",P101,INDEX('AUX TABLES'!$G$4:$K$8,AY101,AZ101))),IF(P101="FAIL",P101,INDEX('AUX TABLES'!$G$4:$K$8,AY101,AZ101)))</f>
        <v>#VALUE!</v>
      </c>
      <c r="R101" s="150" t="e">
        <f>IF(AJ$11=FALSE,IF(B101="","",IF(AJ101="NA",P101,INDEX('AUX TABLES'!$G$4:$K$8,BB101,BC101))),IF(P101="FAIL",P101,INDEX('AUX TABLES'!$G$4:$K$8,BB101,BC101)))</f>
        <v>#VALUE!</v>
      </c>
      <c r="S101" s="69" t="e">
        <f>INDEX('AUX TABLES'!$G$4:$K$8,AM101,AN101)</f>
        <v>#VALUE!</v>
      </c>
      <c r="T101" s="69" t="e">
        <f>IF(AJ$11=FALSE,IF(AJ101="NA",S101,INDEX('AUX TABLES'!$G$4:$K$8,AP101,AQ101)),IF(S101="FAIL",S101,INDEX('AUX TABLES'!$G$4:$K$8,AP101,AQ101)))</f>
        <v>#VALUE!</v>
      </c>
      <c r="U101" s="150" t="e">
        <f>IF(AJ$11=FALSE,IF(AJ101="NA",S101,INDEX('AUX TABLES'!$G$4:$K$8,AS101,AT101)),IF(S101="FAIL",S101,INDEX('AUX TABLES'!$G$4:$K$8,AS101,AT101)))</f>
        <v>#VALUE!</v>
      </c>
      <c r="V101" s="150" t="str">
        <f t="shared" si="38"/>
        <v/>
      </c>
      <c r="W101" s="74">
        <f t="shared" si="39"/>
        <v>100.09</v>
      </c>
      <c r="X101" s="74" t="str">
        <f t="shared" si="40"/>
        <v>NA</v>
      </c>
      <c r="Y101" s="74" t="str">
        <f t="shared" si="41"/>
        <v>NA</v>
      </c>
      <c r="Z101" s="74" t="str">
        <f t="shared" si="42"/>
        <v>NA</v>
      </c>
      <c r="AA101" s="74" t="str">
        <f t="shared" si="43"/>
        <v>NA</v>
      </c>
      <c r="AB101" s="74">
        <f t="shared" si="44"/>
        <v>99.91</v>
      </c>
      <c r="AC101" s="69" t="str">
        <f>IF(ISTEXT('TECH DATA ENTRY'!L118)=TRUE,"NA",'TECH DATA ENTRY'!H118)</f>
        <v>NA</v>
      </c>
      <c r="AD101" s="69" t="str">
        <f t="shared" si="45"/>
        <v>NA</v>
      </c>
      <c r="AE101" s="69" t="str">
        <f t="shared" si="46"/>
        <v>NA</v>
      </c>
      <c r="AF101" s="69" t="e">
        <f t="shared" si="47"/>
        <v>#VALUE!</v>
      </c>
      <c r="AG101" s="69" t="e">
        <f t="shared" si="48"/>
        <v>#VALUE!</v>
      </c>
      <c r="AH101" s="69" t="e">
        <f t="shared" si="49"/>
        <v>#VALUE!</v>
      </c>
      <c r="AI101" s="69" t="e">
        <f t="shared" si="50"/>
        <v>#VALUE!</v>
      </c>
      <c r="AJ101" s="70" t="str">
        <f>IF(OR(ISTEXT('TECH DATA ENTRY'!L118)=TRUE,ISTEXT('TECH DATA ENTRY'!F118)=TRUE,ISTEXT('TECH DATA ENTRY'!G118)=TRUE),"NA",(W101-AB101)/(2*MAX(M101,L101)))</f>
        <v>NA</v>
      </c>
      <c r="AK101" s="69" t="str">
        <f t="shared" si="51"/>
        <v>NA</v>
      </c>
      <c r="AM101" s="73" t="e">
        <f t="shared" si="52"/>
        <v>#VALUE!</v>
      </c>
      <c r="AN101" s="73" t="e">
        <f t="shared" si="53"/>
        <v>#VALUE!</v>
      </c>
      <c r="AO101" s="87"/>
      <c r="AP101" s="73" t="e">
        <f t="shared" si="54"/>
        <v>#VALUE!</v>
      </c>
      <c r="AQ101" s="73" t="e">
        <f t="shared" si="55"/>
        <v>#VALUE!</v>
      </c>
      <c r="AR101" s="87"/>
      <c r="AS101" s="73" t="e">
        <f t="shared" si="56"/>
        <v>#VALUE!</v>
      </c>
      <c r="AT101" s="73" t="e">
        <f t="shared" si="57"/>
        <v>#VALUE!</v>
      </c>
      <c r="AV101" s="73" t="e">
        <f t="shared" si="58"/>
        <v>#VALUE!</v>
      </c>
      <c r="AW101" s="73" t="e">
        <f t="shared" si="59"/>
        <v>#VALUE!</v>
      </c>
      <c r="AX101" s="87"/>
      <c r="AY101" s="73" t="e">
        <f t="shared" si="60"/>
        <v>#VALUE!</v>
      </c>
      <c r="AZ101" s="73" t="e">
        <f t="shared" si="61"/>
        <v>#VALUE!</v>
      </c>
      <c r="BA101" s="87"/>
      <c r="BB101" s="73" t="e">
        <f t="shared" si="62"/>
        <v>#VALUE!</v>
      </c>
      <c r="BC101" s="73" t="e">
        <f t="shared" si="63"/>
        <v>#VALUE!</v>
      </c>
    </row>
    <row r="102" spans="1:55" s="86" customFormat="1" ht="25" customHeight="1">
      <c r="A102" s="466" t="str">
        <f>IF('TECH DATA ENTRY'!A119="","",'TECH DATA ENTRY'!A119)</f>
        <v>20 kHz</v>
      </c>
      <c r="B102" s="367">
        <f>IF('TECH DATA ENTRY'!B119="","",'TECH DATA ENTRY'!B119)</f>
        <v>100</v>
      </c>
      <c r="C102" s="367">
        <f>IF(B102="","",IFERROR('TECH DATA ENTRY'!F119,"NA"))</f>
        <v>99.91</v>
      </c>
      <c r="D102" s="367" t="str">
        <f>IF('TECH DATA ENTRY'!L119="","",'TECH DATA ENTRY'!L119)</f>
        <v/>
      </c>
      <c r="E102" s="367" t="str">
        <f t="shared" si="35"/>
        <v/>
      </c>
      <c r="F102" s="367">
        <f>IF(B102="","",IFERROR('TECH DATA ENTRY'!G119,"NA"))</f>
        <v>100.09</v>
      </c>
      <c r="G102" s="524" t="str">
        <f t="shared" si="36"/>
        <v/>
      </c>
      <c r="H102" s="367" t="str">
        <f>IF(OR(ISTEXT(B102)=TRUE, D102="NA",D102=""),"NA", roundsf(MAX(L102,M102),C102))</f>
        <v>NA</v>
      </c>
      <c r="I102" s="325" t="str">
        <f t="shared" si="37"/>
        <v>NA</v>
      </c>
      <c r="J102" s="299"/>
      <c r="K102" s="245"/>
      <c r="L102" s="506">
        <f>(55/1000000)*ABS(B102)+(0.6/1000)</f>
        <v>6.1000000000000004E-3</v>
      </c>
      <c r="M102" s="244" t="str">
        <f>UNC_CALCULATION!AM91</f>
        <v>NA</v>
      </c>
      <c r="N102" s="85"/>
      <c r="O102" s="58"/>
      <c r="P102" s="69" t="e">
        <f>IF(B102="","",INDEX('AUX TABLES'!$G$4:$K$8,AV102,AW102))</f>
        <v>#VALUE!</v>
      </c>
      <c r="Q102" s="150" t="e">
        <f>IF(AJ$11=FALSE,IF(B102="","",IF(AJ102="NA",P102,INDEX('AUX TABLES'!$G$4:$K$8,AY102,AZ102))),IF(P102="FAIL",P102,INDEX('AUX TABLES'!$G$4:$K$8,AY102,AZ102)))</f>
        <v>#VALUE!</v>
      </c>
      <c r="R102" s="150" t="e">
        <f>IF(AJ$11=FALSE,IF(B102="","",IF(AJ102="NA",P102,INDEX('AUX TABLES'!$G$4:$K$8,BB102,BC102))),IF(P102="FAIL",P102,INDEX('AUX TABLES'!$G$4:$K$8,BB102,BC102)))</f>
        <v>#VALUE!</v>
      </c>
      <c r="S102" s="69" t="e">
        <f>INDEX('AUX TABLES'!$G$4:$K$8,AM102,AN102)</f>
        <v>#VALUE!</v>
      </c>
      <c r="T102" s="69" t="e">
        <f>IF(AJ$11=FALSE,IF(AJ102="NA",S102,INDEX('AUX TABLES'!$G$4:$K$8,AP102,AQ102)),IF(S102="FAIL",S102,INDEX('AUX TABLES'!$G$4:$K$8,AP102,AQ102)))</f>
        <v>#VALUE!</v>
      </c>
      <c r="U102" s="150" t="e">
        <f>IF(AJ$11=FALSE,IF(AJ102="NA",S102,INDEX('AUX TABLES'!$G$4:$K$8,AS102,AT102)),IF(S102="FAIL",S102,INDEX('AUX TABLES'!$G$4:$K$8,AS102,AT102)))</f>
        <v>#VALUE!</v>
      </c>
      <c r="V102" s="150" t="str">
        <f t="shared" si="38"/>
        <v/>
      </c>
      <c r="W102" s="74">
        <f t="shared" si="39"/>
        <v>100.09</v>
      </c>
      <c r="X102" s="74" t="str">
        <f t="shared" si="40"/>
        <v>NA</v>
      </c>
      <c r="Y102" s="74" t="str">
        <f t="shared" si="41"/>
        <v>NA</v>
      </c>
      <c r="Z102" s="74" t="str">
        <f t="shared" si="42"/>
        <v>NA</v>
      </c>
      <c r="AA102" s="74" t="str">
        <f t="shared" si="43"/>
        <v>NA</v>
      </c>
      <c r="AB102" s="74">
        <f t="shared" si="44"/>
        <v>99.91</v>
      </c>
      <c r="AC102" s="69" t="str">
        <f>IF(ISTEXT('TECH DATA ENTRY'!L119)=TRUE,"NA",'TECH DATA ENTRY'!H119)</f>
        <v>NA</v>
      </c>
      <c r="AD102" s="69" t="str">
        <f t="shared" si="45"/>
        <v>NA</v>
      </c>
      <c r="AE102" s="69" t="str">
        <f t="shared" si="46"/>
        <v>NA</v>
      </c>
      <c r="AF102" s="69" t="e">
        <f t="shared" si="47"/>
        <v>#VALUE!</v>
      </c>
      <c r="AG102" s="69" t="e">
        <f t="shared" si="48"/>
        <v>#VALUE!</v>
      </c>
      <c r="AH102" s="69" t="e">
        <f t="shared" si="49"/>
        <v>#VALUE!</v>
      </c>
      <c r="AI102" s="69" t="e">
        <f t="shared" si="50"/>
        <v>#VALUE!</v>
      </c>
      <c r="AJ102" s="70" t="str">
        <f>IF(OR(ISTEXT('TECH DATA ENTRY'!L119)=TRUE,ISTEXT('TECH DATA ENTRY'!F119)=TRUE,ISTEXT('TECH DATA ENTRY'!G119)=TRUE),"NA",(W102-AB102)/(2*MAX(M102,L102)))</f>
        <v>NA</v>
      </c>
      <c r="AK102" s="69" t="str">
        <f t="shared" si="51"/>
        <v>NA</v>
      </c>
      <c r="AM102" s="73" t="e">
        <f t="shared" si="52"/>
        <v>#VALUE!</v>
      </c>
      <c r="AN102" s="73" t="e">
        <f t="shared" si="53"/>
        <v>#VALUE!</v>
      </c>
      <c r="AO102" s="87"/>
      <c r="AP102" s="73" t="e">
        <f t="shared" si="54"/>
        <v>#VALUE!</v>
      </c>
      <c r="AQ102" s="73" t="e">
        <f t="shared" si="55"/>
        <v>#VALUE!</v>
      </c>
      <c r="AR102" s="87"/>
      <c r="AS102" s="73" t="e">
        <f t="shared" si="56"/>
        <v>#VALUE!</v>
      </c>
      <c r="AT102" s="73" t="e">
        <f t="shared" si="57"/>
        <v>#VALUE!</v>
      </c>
      <c r="AV102" s="73" t="e">
        <f t="shared" si="58"/>
        <v>#VALUE!</v>
      </c>
      <c r="AW102" s="73" t="e">
        <f t="shared" si="59"/>
        <v>#VALUE!</v>
      </c>
      <c r="AX102" s="87"/>
      <c r="AY102" s="73" t="e">
        <f t="shared" si="60"/>
        <v>#VALUE!</v>
      </c>
      <c r="AZ102" s="73" t="e">
        <f t="shared" si="61"/>
        <v>#VALUE!</v>
      </c>
      <c r="BA102" s="87"/>
      <c r="BB102" s="73" t="e">
        <f t="shared" si="62"/>
        <v>#VALUE!</v>
      </c>
      <c r="BC102" s="73" t="e">
        <f t="shared" si="63"/>
        <v>#VALUE!</v>
      </c>
    </row>
    <row r="103" spans="1:55" s="86" customFormat="1" ht="25" customHeight="1">
      <c r="A103" s="466" t="str">
        <f>IF('TECH DATA ENTRY'!A120="","",'TECH DATA ENTRY'!A120)</f>
        <v>50 kHz</v>
      </c>
      <c r="B103" s="367">
        <f>IF('TECH DATA ENTRY'!B120="","",'TECH DATA ENTRY'!B120)</f>
        <v>100</v>
      </c>
      <c r="C103" s="367">
        <f>IF(B103="","",IFERROR('TECH DATA ENTRY'!F120,"NA"))</f>
        <v>99.83</v>
      </c>
      <c r="D103" s="367" t="str">
        <f>IF('TECH DATA ENTRY'!L120="","",'TECH DATA ENTRY'!L120)</f>
        <v/>
      </c>
      <c r="E103" s="367" t="str">
        <f t="shared" si="35"/>
        <v/>
      </c>
      <c r="F103" s="367">
        <f>IF(B103="","",IFERROR('TECH DATA ENTRY'!G120,"NA"))</f>
        <v>100.17</v>
      </c>
      <c r="G103" s="524" t="str">
        <f t="shared" si="36"/>
        <v/>
      </c>
      <c r="H103" s="367" t="str">
        <f>IF(OR(ISTEXT(B103)=TRUE, D103="NA",D103=""),"NA", roundsf(MAX(L103,M103),C103))</f>
        <v>NA</v>
      </c>
      <c r="I103" s="325" t="str">
        <f t="shared" si="37"/>
        <v>NA</v>
      </c>
      <c r="J103" s="299"/>
      <c r="K103" s="245"/>
      <c r="L103" s="506">
        <f>(86/1000000)*ABS(B103)+(1/1000)</f>
        <v>9.6000000000000009E-3</v>
      </c>
      <c r="M103" s="244" t="str">
        <f>UNC_CALCULATION!AM92</f>
        <v>NA</v>
      </c>
      <c r="N103" s="85"/>
      <c r="O103" s="58"/>
      <c r="P103" s="69" t="e">
        <f>IF(B103="","",INDEX('AUX TABLES'!$G$4:$K$8,AV103,AW103))</f>
        <v>#VALUE!</v>
      </c>
      <c r="Q103" s="150" t="e">
        <f>IF(AJ$11=FALSE,IF(B103="","",IF(AJ103="NA",P103,INDEX('AUX TABLES'!$G$4:$K$8,AY103,AZ103))),IF(P103="FAIL",P103,INDEX('AUX TABLES'!$G$4:$K$8,AY103,AZ103)))</f>
        <v>#VALUE!</v>
      </c>
      <c r="R103" s="150" t="e">
        <f>IF(AJ$11=FALSE,IF(B103="","",IF(AJ103="NA",P103,INDEX('AUX TABLES'!$G$4:$K$8,BB103,BC103))),IF(P103="FAIL",P103,INDEX('AUX TABLES'!$G$4:$K$8,BB103,BC103)))</f>
        <v>#VALUE!</v>
      </c>
      <c r="S103" s="69" t="e">
        <f>INDEX('AUX TABLES'!$G$4:$K$8,AM103,AN103)</f>
        <v>#VALUE!</v>
      </c>
      <c r="T103" s="69" t="e">
        <f>IF(AJ$11=FALSE,IF(AJ103="NA",S103,INDEX('AUX TABLES'!$G$4:$K$8,AP103,AQ103)),IF(S103="FAIL",S103,INDEX('AUX TABLES'!$G$4:$K$8,AP103,AQ103)))</f>
        <v>#VALUE!</v>
      </c>
      <c r="U103" s="150" t="e">
        <f>IF(AJ$11=FALSE,IF(AJ103="NA",S103,INDEX('AUX TABLES'!$G$4:$K$8,AS103,AT103)),IF(S103="FAIL",S103,INDEX('AUX TABLES'!$G$4:$K$8,AS103,AT103)))</f>
        <v>#VALUE!</v>
      </c>
      <c r="V103" s="150" t="str">
        <f t="shared" si="38"/>
        <v/>
      </c>
      <c r="W103" s="74">
        <f t="shared" si="39"/>
        <v>100.17</v>
      </c>
      <c r="X103" s="74" t="str">
        <f t="shared" si="40"/>
        <v>NA</v>
      </c>
      <c r="Y103" s="74" t="str">
        <f t="shared" si="41"/>
        <v>NA</v>
      </c>
      <c r="Z103" s="74" t="str">
        <f t="shared" si="42"/>
        <v>NA</v>
      </c>
      <c r="AA103" s="74" t="str">
        <f t="shared" si="43"/>
        <v>NA</v>
      </c>
      <c r="AB103" s="74">
        <f t="shared" si="44"/>
        <v>99.83</v>
      </c>
      <c r="AC103" s="69" t="str">
        <f>IF(ISTEXT('TECH DATA ENTRY'!L120)=TRUE,"NA",'TECH DATA ENTRY'!H120)</f>
        <v>NA</v>
      </c>
      <c r="AD103" s="69" t="str">
        <f t="shared" si="45"/>
        <v>NA</v>
      </c>
      <c r="AE103" s="69" t="str">
        <f t="shared" si="46"/>
        <v>NA</v>
      </c>
      <c r="AF103" s="69" t="e">
        <f t="shared" si="47"/>
        <v>#VALUE!</v>
      </c>
      <c r="AG103" s="69" t="e">
        <f t="shared" si="48"/>
        <v>#VALUE!</v>
      </c>
      <c r="AH103" s="69" t="e">
        <f t="shared" si="49"/>
        <v>#VALUE!</v>
      </c>
      <c r="AI103" s="69" t="e">
        <f t="shared" si="50"/>
        <v>#VALUE!</v>
      </c>
      <c r="AJ103" s="70" t="str">
        <f>IF(OR(ISTEXT('TECH DATA ENTRY'!L120)=TRUE,ISTEXT('TECH DATA ENTRY'!F120)=TRUE,ISTEXT('TECH DATA ENTRY'!G120)=TRUE),"NA",(W103-AB103)/(2*MAX(M103,L103)))</f>
        <v>NA</v>
      </c>
      <c r="AK103" s="69" t="str">
        <f t="shared" si="51"/>
        <v>NA</v>
      </c>
      <c r="AM103" s="73" t="e">
        <f t="shared" si="52"/>
        <v>#VALUE!</v>
      </c>
      <c r="AN103" s="73" t="e">
        <f t="shared" si="53"/>
        <v>#VALUE!</v>
      </c>
      <c r="AO103" s="87"/>
      <c r="AP103" s="73" t="e">
        <f t="shared" si="54"/>
        <v>#VALUE!</v>
      </c>
      <c r="AQ103" s="73" t="e">
        <f t="shared" si="55"/>
        <v>#VALUE!</v>
      </c>
      <c r="AR103" s="87"/>
      <c r="AS103" s="73" t="e">
        <f t="shared" si="56"/>
        <v>#VALUE!</v>
      </c>
      <c r="AT103" s="73" t="e">
        <f t="shared" si="57"/>
        <v>#VALUE!</v>
      </c>
      <c r="AV103" s="73" t="e">
        <f t="shared" si="58"/>
        <v>#VALUE!</v>
      </c>
      <c r="AW103" s="73" t="e">
        <f t="shared" si="59"/>
        <v>#VALUE!</v>
      </c>
      <c r="AX103" s="87"/>
      <c r="AY103" s="73" t="e">
        <f t="shared" si="60"/>
        <v>#VALUE!</v>
      </c>
      <c r="AZ103" s="73" t="e">
        <f t="shared" si="61"/>
        <v>#VALUE!</v>
      </c>
      <c r="BA103" s="87"/>
      <c r="BB103" s="73" t="e">
        <f t="shared" si="62"/>
        <v>#VALUE!</v>
      </c>
      <c r="BC103" s="73" t="e">
        <f t="shared" si="63"/>
        <v>#VALUE!</v>
      </c>
    </row>
    <row r="104" spans="1:55" s="86" customFormat="1" ht="25" customHeight="1" thickBot="1">
      <c r="A104" s="467" t="str">
        <f>IF('TECH DATA ENTRY'!A121="","",'TECH DATA ENTRY'!A121)</f>
        <v>100 kHz</v>
      </c>
      <c r="B104" s="491">
        <f>IF('TECH DATA ENTRY'!B121="","",'TECH DATA ENTRY'!B121)</f>
        <v>100</v>
      </c>
      <c r="C104" s="491">
        <f>IF(B104="","",IFERROR('TECH DATA ENTRY'!F121,"NA"))</f>
        <v>99.32</v>
      </c>
      <c r="D104" s="491" t="str">
        <f>IF('TECH DATA ENTRY'!L121="","",'TECH DATA ENTRY'!L121)</f>
        <v/>
      </c>
      <c r="E104" s="491" t="str">
        <f t="shared" si="35"/>
        <v/>
      </c>
      <c r="F104" s="491">
        <f>IF(B104="","",IFERROR('TECH DATA ENTRY'!G121,"NA"))</f>
        <v>100.68</v>
      </c>
      <c r="G104" s="525" t="str">
        <f t="shared" si="36"/>
        <v/>
      </c>
      <c r="H104" s="491" t="str">
        <f>IF(OR(ISTEXT(B104)=TRUE, D104="NA",D104=""),"NA", roundsf(MAX(L104,M104),C104))</f>
        <v>NA</v>
      </c>
      <c r="I104" s="486" t="str">
        <f t="shared" si="37"/>
        <v>NA</v>
      </c>
      <c r="J104" s="299"/>
      <c r="K104" s="245"/>
      <c r="L104" s="506">
        <f>(149/1000000)*ABS(B104)+(2.5/1000)</f>
        <v>1.7399999999999999E-2</v>
      </c>
      <c r="M104" s="244" t="str">
        <f>UNC_CALCULATION!AM93</f>
        <v>NA</v>
      </c>
      <c r="N104" s="85"/>
      <c r="O104" s="58"/>
      <c r="P104" s="69" t="e">
        <f>IF(B104="","",INDEX('AUX TABLES'!$G$4:$K$8,AV104,AW104))</f>
        <v>#VALUE!</v>
      </c>
      <c r="Q104" s="150" t="e">
        <f>IF(AJ$11=FALSE,IF(B104="","",IF(AJ104="NA",P104,INDEX('AUX TABLES'!$G$4:$K$8,AY104,AZ104))),IF(P104="FAIL",P104,INDEX('AUX TABLES'!$G$4:$K$8,AY104,AZ104)))</f>
        <v>#VALUE!</v>
      </c>
      <c r="R104" s="150" t="e">
        <f>IF(AJ$11=FALSE,IF(B104="","",IF(AJ104="NA",P104,INDEX('AUX TABLES'!$G$4:$K$8,BB104,BC104))),IF(P104="FAIL",P104,INDEX('AUX TABLES'!$G$4:$K$8,BB104,BC104)))</f>
        <v>#VALUE!</v>
      </c>
      <c r="S104" s="69" t="e">
        <f>INDEX('AUX TABLES'!$G$4:$K$8,AM104,AN104)</f>
        <v>#VALUE!</v>
      </c>
      <c r="T104" s="69" t="e">
        <f>IF(AJ$11=FALSE,IF(AJ104="NA",S104,INDEX('AUX TABLES'!$G$4:$K$8,AP104,AQ104)),IF(S104="FAIL",S104,INDEX('AUX TABLES'!$G$4:$K$8,AP104,AQ104)))</f>
        <v>#VALUE!</v>
      </c>
      <c r="U104" s="150" t="e">
        <f>IF(AJ$11=FALSE,IF(AJ104="NA",S104,INDEX('AUX TABLES'!$G$4:$K$8,AS104,AT104)),IF(S104="FAIL",S104,INDEX('AUX TABLES'!$G$4:$K$8,AS104,AT104)))</f>
        <v>#VALUE!</v>
      </c>
      <c r="V104" s="150" t="str">
        <f t="shared" si="38"/>
        <v/>
      </c>
      <c r="W104" s="74">
        <f t="shared" si="39"/>
        <v>100.68</v>
      </c>
      <c r="X104" s="74" t="str">
        <f t="shared" si="40"/>
        <v>NA</v>
      </c>
      <c r="Y104" s="74" t="str">
        <f t="shared" si="41"/>
        <v>NA</v>
      </c>
      <c r="Z104" s="74" t="str">
        <f t="shared" si="42"/>
        <v>NA</v>
      </c>
      <c r="AA104" s="74" t="str">
        <f t="shared" si="43"/>
        <v>NA</v>
      </c>
      <c r="AB104" s="74">
        <f t="shared" si="44"/>
        <v>99.32</v>
      </c>
      <c r="AC104" s="69" t="str">
        <f>IF(ISTEXT('TECH DATA ENTRY'!L121)=TRUE,"NA",'TECH DATA ENTRY'!H121)</f>
        <v>NA</v>
      </c>
      <c r="AD104" s="69" t="str">
        <f t="shared" si="45"/>
        <v>NA</v>
      </c>
      <c r="AE104" s="69" t="str">
        <f t="shared" si="46"/>
        <v>NA</v>
      </c>
      <c r="AF104" s="69" t="e">
        <f t="shared" si="47"/>
        <v>#VALUE!</v>
      </c>
      <c r="AG104" s="69" t="e">
        <f t="shared" si="48"/>
        <v>#VALUE!</v>
      </c>
      <c r="AH104" s="69" t="e">
        <f t="shared" si="49"/>
        <v>#VALUE!</v>
      </c>
      <c r="AI104" s="69" t="e">
        <f t="shared" si="50"/>
        <v>#VALUE!</v>
      </c>
      <c r="AJ104" s="70" t="str">
        <f>IF(OR(ISTEXT('TECH DATA ENTRY'!L121)=TRUE,ISTEXT('TECH DATA ENTRY'!F121)=TRUE,ISTEXT('TECH DATA ENTRY'!G121)=TRUE),"NA",(W104-AB104)/(2*MAX(M104,L104)))</f>
        <v>NA</v>
      </c>
      <c r="AK104" s="69" t="str">
        <f t="shared" si="51"/>
        <v>NA</v>
      </c>
      <c r="AM104" s="73" t="e">
        <f t="shared" si="52"/>
        <v>#VALUE!</v>
      </c>
      <c r="AN104" s="73" t="e">
        <f t="shared" si="53"/>
        <v>#VALUE!</v>
      </c>
      <c r="AO104" s="87"/>
      <c r="AP104" s="73" t="e">
        <f t="shared" si="54"/>
        <v>#VALUE!</v>
      </c>
      <c r="AQ104" s="73" t="e">
        <f t="shared" si="55"/>
        <v>#VALUE!</v>
      </c>
      <c r="AR104" s="87"/>
      <c r="AS104" s="73" t="e">
        <f t="shared" si="56"/>
        <v>#VALUE!</v>
      </c>
      <c r="AT104" s="73" t="e">
        <f t="shared" si="57"/>
        <v>#VALUE!</v>
      </c>
      <c r="AV104" s="73" t="e">
        <f t="shared" si="58"/>
        <v>#VALUE!</v>
      </c>
      <c r="AW104" s="73" t="e">
        <f t="shared" si="59"/>
        <v>#VALUE!</v>
      </c>
      <c r="AX104" s="87"/>
      <c r="AY104" s="73" t="e">
        <f t="shared" si="60"/>
        <v>#VALUE!</v>
      </c>
      <c r="AZ104" s="73" t="e">
        <f t="shared" si="61"/>
        <v>#VALUE!</v>
      </c>
      <c r="BA104" s="87"/>
      <c r="BB104" s="73" t="e">
        <f t="shared" si="62"/>
        <v>#VALUE!</v>
      </c>
      <c r="BC104" s="73" t="e">
        <f t="shared" si="63"/>
        <v>#VALUE!</v>
      </c>
    </row>
    <row r="105" spans="1:55" s="296" customFormat="1" ht="28.15" customHeight="1">
      <c r="A105" s="550" t="str">
        <f>IF('TECH DATA ENTRY'!A122="","",'TECH DATA ENTRY'!A122)</f>
        <v/>
      </c>
      <c r="B105" s="551"/>
      <c r="C105" s="552"/>
      <c r="D105" s="551"/>
      <c r="E105" s="551"/>
      <c r="F105" s="551"/>
      <c r="G105" s="552"/>
      <c r="H105" s="551"/>
      <c r="I105" s="553"/>
      <c r="J105" s="224"/>
      <c r="K105" s="224"/>
      <c r="L105" s="224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AK105" s="297"/>
    </row>
    <row r="106" spans="1:55" s="31" customFormat="1" ht="22.15" customHeight="1">
      <c r="A106" s="76" t="str">
        <f>IF('TECH DATA ENTRY'!A123="","",'TECH DATA ENTRY'!A123)</f>
        <v>Range 1000 V</v>
      </c>
      <c r="H106" s="321"/>
      <c r="L106" s="507"/>
      <c r="O106" s="77"/>
      <c r="AK106" s="1"/>
      <c r="AM106" s="637" t="s">
        <v>116</v>
      </c>
      <c r="AN106" s="637"/>
      <c r="AO106" s="637"/>
      <c r="AP106" s="637"/>
      <c r="AQ106" s="637"/>
      <c r="AR106" s="637"/>
      <c r="AS106" s="637"/>
      <c r="AT106" s="637"/>
      <c r="AV106" s="637" t="s">
        <v>117</v>
      </c>
      <c r="AW106" s="637"/>
      <c r="AX106" s="637"/>
      <c r="AY106" s="637"/>
      <c r="AZ106" s="637"/>
      <c r="BA106" s="637"/>
      <c r="BB106" s="637"/>
      <c r="BC106" s="637"/>
    </row>
    <row r="107" spans="1:55" s="225" customFormat="1" ht="4.9000000000000004" customHeight="1" thickBot="1">
      <c r="A107" s="288" t="str">
        <f>IF('TECH DATA ENTRY'!A124="","",'TECH DATA ENTRY'!A124)</f>
        <v/>
      </c>
      <c r="K107" s="239"/>
      <c r="L107" s="239"/>
      <c r="AK107" s="240"/>
    </row>
    <row r="108" spans="1:55" s="285" customFormat="1" ht="20.149999999999999" customHeight="1">
      <c r="A108" s="644" t="str">
        <f>IF('TECH DATA ENTRY'!A125="","",'TECH DATA ENTRY'!A125)</f>
        <v>Frequency</v>
      </c>
      <c r="B108" s="646" t="str">
        <f>IF('TECH DATA ENTRY'!B125="","",'TECH DATA ENTRY'!B125)</f>
        <v>Nominal</v>
      </c>
      <c r="C108" s="648" t="s">
        <v>2</v>
      </c>
      <c r="D108" s="648" t="str">
        <f>IF(LEFT(P$11,3)="ROV", "Measured Value", "As Found")</f>
        <v>As Found</v>
      </c>
      <c r="E108" s="648" t="str">
        <f>IF(LEFT(P$11,3)="ROV", "Correction", "As Left")</f>
        <v>As Left</v>
      </c>
      <c r="F108" s="648" t="s">
        <v>3</v>
      </c>
      <c r="G108" s="653" t="s">
        <v>4</v>
      </c>
      <c r="H108" s="659" t="s">
        <v>30</v>
      </c>
      <c r="I108" s="661" t="s">
        <v>28</v>
      </c>
      <c r="J108" s="284"/>
      <c r="L108" s="658" t="s">
        <v>38</v>
      </c>
      <c r="M108" s="616" t="s">
        <v>31</v>
      </c>
      <c r="N108" s="281"/>
      <c r="O108" s="286"/>
      <c r="P108" s="640" t="s">
        <v>136</v>
      </c>
      <c r="Q108" s="641"/>
      <c r="R108" s="642"/>
      <c r="S108" s="638" t="s">
        <v>115</v>
      </c>
      <c r="T108" s="638"/>
      <c r="U108" s="638"/>
      <c r="V108" s="638"/>
      <c r="W108" s="640" t="s">
        <v>64</v>
      </c>
      <c r="X108" s="641"/>
      <c r="Y108" s="641"/>
      <c r="Z108" s="641"/>
      <c r="AA108" s="641"/>
      <c r="AB108" s="642"/>
      <c r="AC108" s="638" t="s">
        <v>97</v>
      </c>
      <c r="AD108" s="638"/>
      <c r="AE108" s="638"/>
      <c r="AF108" s="638" t="s">
        <v>127</v>
      </c>
      <c r="AG108" s="638"/>
      <c r="AH108" s="638" t="s">
        <v>128</v>
      </c>
      <c r="AI108" s="638"/>
      <c r="AJ108" s="638" t="s">
        <v>28</v>
      </c>
      <c r="AK108" s="638" t="s">
        <v>121</v>
      </c>
      <c r="AL108" s="308"/>
      <c r="AM108" s="639" t="s">
        <v>122</v>
      </c>
      <c r="AN108" s="639"/>
      <c r="AO108" s="308"/>
      <c r="AP108" s="639" t="s">
        <v>119</v>
      </c>
      <c r="AQ108" s="639"/>
      <c r="AR108" s="308"/>
      <c r="AS108" s="639" t="s">
        <v>120</v>
      </c>
      <c r="AT108" s="639"/>
      <c r="AU108" s="308"/>
      <c r="AV108" s="639" t="s">
        <v>122</v>
      </c>
      <c r="AW108" s="639"/>
      <c r="AX108" s="308"/>
      <c r="AY108" s="639" t="s">
        <v>119</v>
      </c>
      <c r="AZ108" s="639"/>
      <c r="BA108" s="308"/>
      <c r="BB108" s="639" t="s">
        <v>120</v>
      </c>
      <c r="BC108" s="639"/>
    </row>
    <row r="109" spans="1:55" s="285" customFormat="1" ht="20.149999999999999" customHeight="1" thickBot="1">
      <c r="A109" s="645"/>
      <c r="B109" s="647"/>
      <c r="C109" s="649"/>
      <c r="D109" s="649"/>
      <c r="E109" s="649"/>
      <c r="F109" s="649"/>
      <c r="G109" s="654"/>
      <c r="H109" s="660"/>
      <c r="I109" s="662"/>
      <c r="J109" s="284"/>
      <c r="L109" s="649"/>
      <c r="M109" s="617"/>
      <c r="O109" s="281"/>
      <c r="P109" s="309" t="s">
        <v>122</v>
      </c>
      <c r="Q109" s="309" t="s">
        <v>119</v>
      </c>
      <c r="R109" s="309" t="s">
        <v>120</v>
      </c>
      <c r="S109" s="309" t="s">
        <v>122</v>
      </c>
      <c r="T109" s="309" t="s">
        <v>119</v>
      </c>
      <c r="U109" s="309" t="s">
        <v>120</v>
      </c>
      <c r="V109" s="309" t="s">
        <v>118</v>
      </c>
      <c r="W109" s="309" t="s">
        <v>63</v>
      </c>
      <c r="X109" s="309" t="s">
        <v>69</v>
      </c>
      <c r="Y109" s="309" t="s">
        <v>71</v>
      </c>
      <c r="Z109" s="309" t="s">
        <v>72</v>
      </c>
      <c r="AA109" s="309" t="s">
        <v>70</v>
      </c>
      <c r="AB109" s="309" t="s">
        <v>75</v>
      </c>
      <c r="AC109" s="309" t="s">
        <v>78</v>
      </c>
      <c r="AD109" s="309" t="s">
        <v>119</v>
      </c>
      <c r="AE109" s="309" t="s">
        <v>120</v>
      </c>
      <c r="AF109" s="309" t="s">
        <v>129</v>
      </c>
      <c r="AG109" s="309" t="s">
        <v>130</v>
      </c>
      <c r="AH109" s="309" t="s">
        <v>129</v>
      </c>
      <c r="AI109" s="309" t="s">
        <v>130</v>
      </c>
      <c r="AJ109" s="652"/>
      <c r="AK109" s="652"/>
      <c r="AL109" s="308"/>
      <c r="AM109" s="310" t="s">
        <v>67</v>
      </c>
      <c r="AN109" s="310" t="s">
        <v>68</v>
      </c>
      <c r="AO109" s="308"/>
      <c r="AP109" s="310" t="s">
        <v>67</v>
      </c>
      <c r="AQ109" s="310" t="s">
        <v>68</v>
      </c>
      <c r="AR109" s="308"/>
      <c r="AS109" s="310" t="s">
        <v>67</v>
      </c>
      <c r="AT109" s="310" t="s">
        <v>68</v>
      </c>
      <c r="AU109" s="308"/>
      <c r="AV109" s="310" t="s">
        <v>67</v>
      </c>
      <c r="AW109" s="310" t="s">
        <v>68</v>
      </c>
      <c r="AX109" s="308"/>
      <c r="AY109" s="310" t="s">
        <v>67</v>
      </c>
      <c r="AZ109" s="310" t="s">
        <v>68</v>
      </c>
      <c r="BA109" s="308"/>
      <c r="BB109" s="310" t="s">
        <v>67</v>
      </c>
      <c r="BC109" s="310" t="s">
        <v>68</v>
      </c>
    </row>
    <row r="110" spans="1:55" s="86" customFormat="1" ht="25" customHeight="1" thickTop="1">
      <c r="A110" s="466" t="str">
        <f>IF('TECH DATA ENTRY'!A127="","",'TECH DATA ENTRY'!A127)</f>
        <v>45 Hz</v>
      </c>
      <c r="B110" s="355">
        <f>IF('TECH DATA ENTRY'!B127="","",'TECH DATA ENTRY'!B127)</f>
        <v>1000</v>
      </c>
      <c r="C110" s="355">
        <f>IF(B110="","",IFERROR('TECH DATA ENTRY'!F127,"NA"))</f>
        <v>999.1</v>
      </c>
      <c r="D110" s="355" t="str">
        <f>IF('TECH DATA ENTRY'!L127="","",'TECH DATA ENTRY'!L127)</f>
        <v/>
      </c>
      <c r="E110" s="355" t="str">
        <f t="shared" si="35"/>
        <v/>
      </c>
      <c r="F110" s="355">
        <f>IF(B110="","",IFERROR('TECH DATA ENTRY'!G127,"NA"))</f>
        <v>1000.9</v>
      </c>
      <c r="G110" s="518" t="str">
        <f t="shared" si="36"/>
        <v/>
      </c>
      <c r="H110" s="355" t="str">
        <f>IF(OR(ISTEXT(B110)=TRUE, D110="NA",D110=""),"NA", roundsf(MAX(L110,M110),C110))</f>
        <v>NA</v>
      </c>
      <c r="I110" s="325" t="str">
        <f t="shared" si="37"/>
        <v>NA</v>
      </c>
      <c r="J110" s="299"/>
      <c r="K110" s="245"/>
      <c r="L110" s="506">
        <f>(70/1000000)*ABS(B110)+(3.5/1000)</f>
        <v>7.3499999999999996E-2</v>
      </c>
      <c r="M110" s="244" t="str">
        <f>UNC_CALCULATION!AM99</f>
        <v>NA</v>
      </c>
      <c r="N110" s="85"/>
      <c r="O110" s="58"/>
      <c r="P110" s="69" t="e">
        <f>IF(B110="","",INDEX('AUX TABLES'!$G$4:$K$8,AV110,AW110))</f>
        <v>#VALUE!</v>
      </c>
      <c r="Q110" s="150" t="e">
        <f>IF(AJ$11=FALSE,IF(B110="","",IF(AJ110="NA",P110,INDEX('AUX TABLES'!$G$4:$K$8,AY110,AZ110))),IF(P110="FAIL",P110,INDEX('AUX TABLES'!$G$4:$K$8,AY110,AZ110)))</f>
        <v>#VALUE!</v>
      </c>
      <c r="R110" s="150" t="e">
        <f>IF(AJ$11=FALSE,IF(B110="","",IF(AJ110="NA",P110,INDEX('AUX TABLES'!$G$4:$K$8,BB110,BC110))),IF(P110="FAIL",P110,INDEX('AUX TABLES'!$G$4:$K$8,BB110,BC110)))</f>
        <v>#VALUE!</v>
      </c>
      <c r="S110" s="69" t="e">
        <f>INDEX('AUX TABLES'!$G$4:$K$8,AM110,AN110)</f>
        <v>#VALUE!</v>
      </c>
      <c r="T110" s="69" t="e">
        <f>IF(AJ$11=FALSE,IF(AJ110="NA",S110,INDEX('AUX TABLES'!$G$4:$K$8,AP110,AQ110)),IF(S110="FAIL",S110,INDEX('AUX TABLES'!$G$4:$K$8,AP110,AQ110)))</f>
        <v>#VALUE!</v>
      </c>
      <c r="U110" s="150" t="e">
        <f>IF(AJ$11=FALSE,IF(AJ110="NA",S110,INDEX('AUX TABLES'!$G$4:$K$8,AS110,AT110)),IF(S110="FAIL",S110,INDEX('AUX TABLES'!$G$4:$K$8,AS110,AT110)))</f>
        <v>#VALUE!</v>
      </c>
      <c r="V110" s="150" t="str">
        <f t="shared" si="38"/>
        <v/>
      </c>
      <c r="W110" s="74">
        <f t="shared" si="39"/>
        <v>1000.9</v>
      </c>
      <c r="X110" s="74" t="str">
        <f t="shared" si="40"/>
        <v>NA</v>
      </c>
      <c r="Y110" s="74" t="str">
        <f t="shared" si="41"/>
        <v>NA</v>
      </c>
      <c r="Z110" s="74" t="str">
        <f t="shared" si="42"/>
        <v>NA</v>
      </c>
      <c r="AA110" s="74" t="str">
        <f t="shared" si="43"/>
        <v>NA</v>
      </c>
      <c r="AB110" s="74">
        <f t="shared" si="44"/>
        <v>999.1</v>
      </c>
      <c r="AC110" s="69" t="str">
        <f>IF(ISTEXT('TECH DATA ENTRY'!L127)=TRUE,"NA",'TECH DATA ENTRY'!H127)</f>
        <v>NA</v>
      </c>
      <c r="AD110" s="69" t="str">
        <f t="shared" si="45"/>
        <v>NA</v>
      </c>
      <c r="AE110" s="69" t="str">
        <f t="shared" si="46"/>
        <v>NA</v>
      </c>
      <c r="AF110" s="69" t="e">
        <f t="shared" si="47"/>
        <v>#VALUE!</v>
      </c>
      <c r="AG110" s="69" t="e">
        <f t="shared" si="48"/>
        <v>#VALUE!</v>
      </c>
      <c r="AH110" s="69" t="e">
        <f t="shared" si="49"/>
        <v>#VALUE!</v>
      </c>
      <c r="AI110" s="69" t="e">
        <f t="shared" si="50"/>
        <v>#VALUE!</v>
      </c>
      <c r="AJ110" s="70" t="str">
        <f>IF(OR(ISTEXT('TECH DATA ENTRY'!L127)=TRUE,ISTEXT('TECH DATA ENTRY'!F127)=TRUE,ISTEXT('TECH DATA ENTRY'!G127)=TRUE),"NA",(W110-AB110)/(2*MAX(M110,L110)))</f>
        <v>NA</v>
      </c>
      <c r="AK110" s="69" t="str">
        <f t="shared" si="51"/>
        <v>NA</v>
      </c>
      <c r="AM110" s="73" t="e">
        <f t="shared" si="52"/>
        <v>#VALUE!</v>
      </c>
      <c r="AN110" s="73" t="e">
        <f t="shared" si="53"/>
        <v>#VALUE!</v>
      </c>
      <c r="AO110" s="87"/>
      <c r="AP110" s="73" t="e">
        <f t="shared" si="54"/>
        <v>#VALUE!</v>
      </c>
      <c r="AQ110" s="73" t="e">
        <f t="shared" si="55"/>
        <v>#VALUE!</v>
      </c>
      <c r="AR110" s="87"/>
      <c r="AS110" s="73" t="e">
        <f t="shared" si="56"/>
        <v>#VALUE!</v>
      </c>
      <c r="AT110" s="73" t="e">
        <f t="shared" si="57"/>
        <v>#VALUE!</v>
      </c>
      <c r="AV110" s="73" t="e">
        <f t="shared" si="58"/>
        <v>#VALUE!</v>
      </c>
      <c r="AW110" s="73" t="e">
        <f t="shared" si="59"/>
        <v>#VALUE!</v>
      </c>
      <c r="AX110" s="87"/>
      <c r="AY110" s="73" t="e">
        <f t="shared" si="60"/>
        <v>#VALUE!</v>
      </c>
      <c r="AZ110" s="73" t="e">
        <f t="shared" si="61"/>
        <v>#VALUE!</v>
      </c>
      <c r="BA110" s="87"/>
      <c r="BB110" s="73" t="e">
        <f t="shared" si="62"/>
        <v>#VALUE!</v>
      </c>
      <c r="BC110" s="73" t="e">
        <f t="shared" si="63"/>
        <v>#VALUE!</v>
      </c>
    </row>
    <row r="111" spans="1:55" s="86" customFormat="1" ht="25" customHeight="1">
      <c r="A111" s="466" t="str">
        <f>IF('TECH DATA ENTRY'!A128="","",'TECH DATA ENTRY'!A128)</f>
        <v>1 kHz</v>
      </c>
      <c r="B111" s="355">
        <f>IF('TECH DATA ENTRY'!B128="","",'TECH DATA ENTRY'!B128)</f>
        <v>1000</v>
      </c>
      <c r="C111" s="355">
        <f>IF(B111="","",IFERROR('TECH DATA ENTRY'!F128,"NA"))</f>
        <v>999.1</v>
      </c>
      <c r="D111" s="355" t="str">
        <f>IF('TECH DATA ENTRY'!L128="","",'TECH DATA ENTRY'!L128)</f>
        <v/>
      </c>
      <c r="E111" s="355" t="str">
        <f t="shared" si="35"/>
        <v/>
      </c>
      <c r="F111" s="355">
        <f>IF(B111="","",IFERROR('TECH DATA ENTRY'!G128,"NA"))</f>
        <v>1000.9</v>
      </c>
      <c r="G111" s="518" t="str">
        <f t="shared" si="36"/>
        <v/>
      </c>
      <c r="H111" s="355" t="str">
        <f>IF(OR(ISTEXT(B111)=TRUE, D111="NA",D111=""),"NA", roundsf(MAX(L111,M111),C111))</f>
        <v>NA</v>
      </c>
      <c r="I111" s="325" t="str">
        <f t="shared" si="37"/>
        <v>NA</v>
      </c>
      <c r="J111" s="299"/>
      <c r="K111" s="245"/>
      <c r="L111" s="506">
        <f>(70/1000000)*ABS(B111)+(3.5/1000)</f>
        <v>7.3499999999999996E-2</v>
      </c>
      <c r="M111" s="244" t="str">
        <f>UNC_CALCULATION!AM100</f>
        <v>NA</v>
      </c>
      <c r="N111" s="85"/>
      <c r="O111" s="58"/>
      <c r="P111" s="69" t="e">
        <f>IF(B111="","",INDEX('AUX TABLES'!$G$4:$K$8,AV111,AW111))</f>
        <v>#VALUE!</v>
      </c>
      <c r="Q111" s="150" t="e">
        <f>IF(AJ$11=FALSE,IF(B111="","",IF(AJ111="NA",P111,INDEX('AUX TABLES'!$G$4:$K$8,AY111,AZ111))),IF(P111="FAIL",P111,INDEX('AUX TABLES'!$G$4:$K$8,AY111,AZ111)))</f>
        <v>#VALUE!</v>
      </c>
      <c r="R111" s="150" t="e">
        <f>IF(AJ$11=FALSE,IF(B111="","",IF(AJ111="NA",P111,INDEX('AUX TABLES'!$G$4:$K$8,BB111,BC111))),IF(P111="FAIL",P111,INDEX('AUX TABLES'!$G$4:$K$8,BB111,BC111)))</f>
        <v>#VALUE!</v>
      </c>
      <c r="S111" s="69" t="e">
        <f>INDEX('AUX TABLES'!$G$4:$K$8,AM111,AN111)</f>
        <v>#VALUE!</v>
      </c>
      <c r="T111" s="69" t="e">
        <f>IF(AJ$11=FALSE,IF(AJ111="NA",S111,INDEX('AUX TABLES'!$G$4:$K$8,AP111,AQ111)),IF(S111="FAIL",S111,INDEX('AUX TABLES'!$G$4:$K$8,AP111,AQ111)))</f>
        <v>#VALUE!</v>
      </c>
      <c r="U111" s="150" t="e">
        <f>IF(AJ$11=FALSE,IF(AJ111="NA",S111,INDEX('AUX TABLES'!$G$4:$K$8,AS111,AT111)),IF(S111="FAIL",S111,INDEX('AUX TABLES'!$G$4:$K$8,AS111,AT111)))</f>
        <v>#VALUE!</v>
      </c>
      <c r="V111" s="150" t="str">
        <f t="shared" si="38"/>
        <v/>
      </c>
      <c r="W111" s="74">
        <f t="shared" si="39"/>
        <v>1000.9</v>
      </c>
      <c r="X111" s="74" t="str">
        <f t="shared" si="40"/>
        <v>NA</v>
      </c>
      <c r="Y111" s="74" t="str">
        <f t="shared" si="41"/>
        <v>NA</v>
      </c>
      <c r="Z111" s="74" t="str">
        <f t="shared" si="42"/>
        <v>NA</v>
      </c>
      <c r="AA111" s="74" t="str">
        <f t="shared" si="43"/>
        <v>NA</v>
      </c>
      <c r="AB111" s="74">
        <f t="shared" si="44"/>
        <v>999.1</v>
      </c>
      <c r="AC111" s="69" t="str">
        <f>IF(ISTEXT('TECH DATA ENTRY'!L128)=TRUE,"NA",'TECH DATA ENTRY'!H128)</f>
        <v>NA</v>
      </c>
      <c r="AD111" s="69" t="str">
        <f t="shared" si="45"/>
        <v>NA</v>
      </c>
      <c r="AE111" s="69" t="str">
        <f t="shared" si="46"/>
        <v>NA</v>
      </c>
      <c r="AF111" s="69" t="e">
        <f t="shared" si="47"/>
        <v>#VALUE!</v>
      </c>
      <c r="AG111" s="69" t="e">
        <f t="shared" si="48"/>
        <v>#VALUE!</v>
      </c>
      <c r="AH111" s="69" t="e">
        <f t="shared" si="49"/>
        <v>#VALUE!</v>
      </c>
      <c r="AI111" s="69" t="e">
        <f t="shared" si="50"/>
        <v>#VALUE!</v>
      </c>
      <c r="AJ111" s="70" t="str">
        <f>IF(OR(ISTEXT('TECH DATA ENTRY'!L128)=TRUE,ISTEXT('TECH DATA ENTRY'!F128)=TRUE,ISTEXT('TECH DATA ENTRY'!G128)=TRUE),"NA",(W111-AB111)/(2*MAX(M111,L111)))</f>
        <v>NA</v>
      </c>
      <c r="AK111" s="69" t="str">
        <f t="shared" si="51"/>
        <v>NA</v>
      </c>
      <c r="AM111" s="73" t="e">
        <f t="shared" si="52"/>
        <v>#VALUE!</v>
      </c>
      <c r="AN111" s="73" t="e">
        <f t="shared" si="53"/>
        <v>#VALUE!</v>
      </c>
      <c r="AO111" s="87"/>
      <c r="AP111" s="73" t="e">
        <f t="shared" si="54"/>
        <v>#VALUE!</v>
      </c>
      <c r="AQ111" s="73" t="e">
        <f t="shared" si="55"/>
        <v>#VALUE!</v>
      </c>
      <c r="AR111" s="87"/>
      <c r="AS111" s="73" t="e">
        <f t="shared" si="56"/>
        <v>#VALUE!</v>
      </c>
      <c r="AT111" s="73" t="e">
        <f t="shared" si="57"/>
        <v>#VALUE!</v>
      </c>
      <c r="AV111" s="73" t="e">
        <f t="shared" si="58"/>
        <v>#VALUE!</v>
      </c>
      <c r="AW111" s="73" t="e">
        <f t="shared" si="59"/>
        <v>#VALUE!</v>
      </c>
      <c r="AX111" s="87"/>
      <c r="AY111" s="73" t="e">
        <f t="shared" si="60"/>
        <v>#VALUE!</v>
      </c>
      <c r="AZ111" s="73" t="e">
        <f t="shared" si="61"/>
        <v>#VALUE!</v>
      </c>
      <c r="BA111" s="87"/>
      <c r="BB111" s="73" t="e">
        <f t="shared" si="62"/>
        <v>#VALUE!</v>
      </c>
      <c r="BC111" s="73" t="e">
        <f t="shared" si="63"/>
        <v>#VALUE!</v>
      </c>
    </row>
    <row r="112" spans="1:55" s="86" customFormat="1" ht="25" customHeight="1">
      <c r="A112" s="466" t="str">
        <f>IF('TECH DATA ENTRY'!A129="","",'TECH DATA ENTRY'!A129)</f>
        <v>10 kHz</v>
      </c>
      <c r="B112" s="355">
        <f>IF('TECH DATA ENTRY'!B129="","",'TECH DATA ENTRY'!B129)</f>
        <v>1000</v>
      </c>
      <c r="C112" s="355">
        <f>IF(B112="","",IFERROR('TECH DATA ENTRY'!F129,"NA"))</f>
        <v>999.1</v>
      </c>
      <c r="D112" s="355" t="str">
        <f>IF('TECH DATA ENTRY'!L129="","",'TECH DATA ENTRY'!L129)</f>
        <v/>
      </c>
      <c r="E112" s="355" t="str">
        <f t="shared" si="35"/>
        <v/>
      </c>
      <c r="F112" s="355">
        <f>IF(B112="","",IFERROR('TECH DATA ENTRY'!G129,"NA"))</f>
        <v>1000.9</v>
      </c>
      <c r="G112" s="518" t="str">
        <f t="shared" si="36"/>
        <v/>
      </c>
      <c r="H112" s="355" t="str">
        <f>IF(OR(ISTEXT(B112)=TRUE, D112="NA",D112=""),"NA", roundsf(MAX(L112,M112),C112))</f>
        <v>NA</v>
      </c>
      <c r="I112" s="325" t="str">
        <f t="shared" si="37"/>
        <v>NA</v>
      </c>
      <c r="J112" s="299"/>
      <c r="K112" s="245"/>
      <c r="L112" s="506">
        <f>(150/1000000)*ABS(B112)+(6/1000)</f>
        <v>0.156</v>
      </c>
      <c r="M112" s="244" t="str">
        <f>UNC_CALCULATION!AM101</f>
        <v>NA</v>
      </c>
      <c r="N112" s="85"/>
      <c r="O112" s="58"/>
      <c r="P112" s="69" t="e">
        <f>IF(B112="","",INDEX('AUX TABLES'!$G$4:$K$8,AV112,AW112))</f>
        <v>#VALUE!</v>
      </c>
      <c r="Q112" s="150" t="e">
        <f>IF(AJ$11=FALSE,IF(B112="","",IF(AJ112="NA",P112,INDEX('AUX TABLES'!$G$4:$K$8,AY112,AZ112))),IF(P112="FAIL",P112,INDEX('AUX TABLES'!$G$4:$K$8,AY112,AZ112)))</f>
        <v>#VALUE!</v>
      </c>
      <c r="R112" s="150" t="e">
        <f>IF(AJ$11=FALSE,IF(B112="","",IF(AJ112="NA",P112,INDEX('AUX TABLES'!$G$4:$K$8,BB112,BC112))),IF(P112="FAIL",P112,INDEX('AUX TABLES'!$G$4:$K$8,BB112,BC112)))</f>
        <v>#VALUE!</v>
      </c>
      <c r="S112" s="69" t="e">
        <f>INDEX('AUX TABLES'!$G$4:$K$8,AM112,AN112)</f>
        <v>#VALUE!</v>
      </c>
      <c r="T112" s="69" t="e">
        <f>IF(AJ$11=FALSE,IF(AJ112="NA",S112,INDEX('AUX TABLES'!$G$4:$K$8,AP112,AQ112)),IF(S112="FAIL",S112,INDEX('AUX TABLES'!$G$4:$K$8,AP112,AQ112)))</f>
        <v>#VALUE!</v>
      </c>
      <c r="U112" s="150" t="e">
        <f>IF(AJ$11=FALSE,IF(AJ112="NA",S112,INDEX('AUX TABLES'!$G$4:$K$8,AS112,AT112)),IF(S112="FAIL",S112,INDEX('AUX TABLES'!$G$4:$K$8,AS112,AT112)))</f>
        <v>#VALUE!</v>
      </c>
      <c r="V112" s="150" t="str">
        <f t="shared" si="38"/>
        <v/>
      </c>
      <c r="W112" s="74">
        <f t="shared" si="39"/>
        <v>1000.9</v>
      </c>
      <c r="X112" s="74" t="str">
        <f t="shared" si="40"/>
        <v>NA</v>
      </c>
      <c r="Y112" s="74" t="str">
        <f t="shared" si="41"/>
        <v>NA</v>
      </c>
      <c r="Z112" s="74" t="str">
        <f t="shared" si="42"/>
        <v>NA</v>
      </c>
      <c r="AA112" s="74" t="str">
        <f t="shared" si="43"/>
        <v>NA</v>
      </c>
      <c r="AB112" s="74">
        <f t="shared" si="44"/>
        <v>999.1</v>
      </c>
      <c r="AC112" s="69" t="str">
        <f>IF(ISTEXT('TECH DATA ENTRY'!L129)=TRUE,"NA",'TECH DATA ENTRY'!H129)</f>
        <v>NA</v>
      </c>
      <c r="AD112" s="69" t="str">
        <f t="shared" si="45"/>
        <v>NA</v>
      </c>
      <c r="AE112" s="69" t="str">
        <f t="shared" si="46"/>
        <v>NA</v>
      </c>
      <c r="AF112" s="69" t="e">
        <f t="shared" si="47"/>
        <v>#VALUE!</v>
      </c>
      <c r="AG112" s="69" t="e">
        <f t="shared" si="48"/>
        <v>#VALUE!</v>
      </c>
      <c r="AH112" s="69" t="e">
        <f t="shared" si="49"/>
        <v>#VALUE!</v>
      </c>
      <c r="AI112" s="69" t="e">
        <f t="shared" si="50"/>
        <v>#VALUE!</v>
      </c>
      <c r="AJ112" s="70" t="str">
        <f>IF(OR(ISTEXT('TECH DATA ENTRY'!L129)=TRUE,ISTEXT('TECH DATA ENTRY'!F129)=TRUE,ISTEXT('TECH DATA ENTRY'!G129)=TRUE),"NA",(W112-AB112)/(2*MAX(M112,L112)))</f>
        <v>NA</v>
      </c>
      <c r="AK112" s="69" t="str">
        <f t="shared" si="51"/>
        <v>NA</v>
      </c>
      <c r="AM112" s="73" t="e">
        <f t="shared" si="52"/>
        <v>#VALUE!</v>
      </c>
      <c r="AN112" s="73" t="e">
        <f t="shared" si="53"/>
        <v>#VALUE!</v>
      </c>
      <c r="AO112" s="87"/>
      <c r="AP112" s="73" t="e">
        <f t="shared" si="54"/>
        <v>#VALUE!</v>
      </c>
      <c r="AQ112" s="73" t="e">
        <f t="shared" si="55"/>
        <v>#VALUE!</v>
      </c>
      <c r="AR112" s="87"/>
      <c r="AS112" s="73" t="e">
        <f t="shared" si="56"/>
        <v>#VALUE!</v>
      </c>
      <c r="AT112" s="73" t="e">
        <f t="shared" si="57"/>
        <v>#VALUE!</v>
      </c>
      <c r="AV112" s="73" t="e">
        <f t="shared" si="58"/>
        <v>#VALUE!</v>
      </c>
      <c r="AW112" s="73" t="e">
        <f t="shared" si="59"/>
        <v>#VALUE!</v>
      </c>
      <c r="AX112" s="87"/>
      <c r="AY112" s="73" t="e">
        <f t="shared" si="60"/>
        <v>#VALUE!</v>
      </c>
      <c r="AZ112" s="73" t="e">
        <f t="shared" si="61"/>
        <v>#VALUE!</v>
      </c>
      <c r="BA112" s="87"/>
      <c r="BB112" s="73" t="e">
        <f t="shared" si="62"/>
        <v>#VALUE!</v>
      </c>
      <c r="BC112" s="73" t="e">
        <f t="shared" si="63"/>
        <v>#VALUE!</v>
      </c>
    </row>
    <row r="113" spans="1:55" s="86" customFormat="1" ht="25" customHeight="1">
      <c r="A113" s="466" t="str">
        <f>IF('TECH DATA ENTRY'!A130="","",'TECH DATA ENTRY'!A130)</f>
        <v>20 kHz</v>
      </c>
      <c r="B113" s="355">
        <f>IF('TECH DATA ENTRY'!B130="","",'TECH DATA ENTRY'!B130)</f>
        <v>320</v>
      </c>
      <c r="C113" s="355">
        <f>IF(B113="","",IFERROR('TECH DATA ENTRY'!F130,"NA"))</f>
        <v>319.50799999999998</v>
      </c>
      <c r="D113" s="355" t="str">
        <f>IF('TECH DATA ENTRY'!L130="","",'TECH DATA ENTRY'!L130)</f>
        <v/>
      </c>
      <c r="E113" s="355" t="str">
        <f t="shared" si="35"/>
        <v/>
      </c>
      <c r="F113" s="355">
        <f>IF(B113="","",IFERROR('TECH DATA ENTRY'!G130,"NA"))</f>
        <v>320.49200000000002</v>
      </c>
      <c r="G113" s="518" t="str">
        <f t="shared" si="36"/>
        <v/>
      </c>
      <c r="H113" s="355" t="str">
        <f>IF(OR(ISTEXT(B113)=TRUE, D113="NA",D113=""),"NA", roundsf(MAX(L113,M113),C113))</f>
        <v>NA</v>
      </c>
      <c r="I113" s="325" t="str">
        <f t="shared" si="37"/>
        <v>NA</v>
      </c>
      <c r="J113" s="299"/>
      <c r="K113" s="245"/>
      <c r="L113" s="506">
        <f>(150/1000000)*ABS(B113)+(6/1000)</f>
        <v>5.3999999999999992E-2</v>
      </c>
      <c r="M113" s="244" t="str">
        <f>UNC_CALCULATION!AM102</f>
        <v>NA</v>
      </c>
      <c r="N113" s="85"/>
      <c r="O113" s="58"/>
      <c r="P113" s="69" t="e">
        <f>IF(B113="","",INDEX('AUX TABLES'!$G$4:$K$8,AV113,AW113))</f>
        <v>#VALUE!</v>
      </c>
      <c r="Q113" s="150" t="e">
        <f>IF(AJ$11=FALSE,IF(B113="","",IF(AJ113="NA",P113,INDEX('AUX TABLES'!$G$4:$K$8,AY113,AZ113))),IF(P113="FAIL",P113,INDEX('AUX TABLES'!$G$4:$K$8,AY113,AZ113)))</f>
        <v>#VALUE!</v>
      </c>
      <c r="R113" s="150" t="e">
        <f>IF(AJ$11=FALSE,IF(B113="","",IF(AJ113="NA",P113,INDEX('AUX TABLES'!$G$4:$K$8,BB113,BC113))),IF(P113="FAIL",P113,INDEX('AUX TABLES'!$G$4:$K$8,BB113,BC113)))</f>
        <v>#VALUE!</v>
      </c>
      <c r="S113" s="69" t="e">
        <f>INDEX('AUX TABLES'!$G$4:$K$8,AM113,AN113)</f>
        <v>#VALUE!</v>
      </c>
      <c r="T113" s="69" t="e">
        <f>IF(AJ$11=FALSE,IF(AJ113="NA",S113,INDEX('AUX TABLES'!$G$4:$K$8,AP113,AQ113)),IF(S113="FAIL",S113,INDEX('AUX TABLES'!$G$4:$K$8,AP113,AQ113)))</f>
        <v>#VALUE!</v>
      </c>
      <c r="U113" s="150" t="e">
        <f>IF(AJ$11=FALSE,IF(AJ113="NA",S113,INDEX('AUX TABLES'!$G$4:$K$8,AS113,AT113)),IF(S113="FAIL",S113,INDEX('AUX TABLES'!$G$4:$K$8,AS113,AT113)))</f>
        <v>#VALUE!</v>
      </c>
      <c r="V113" s="150" t="str">
        <f t="shared" si="38"/>
        <v/>
      </c>
      <c r="W113" s="74">
        <f t="shared" si="39"/>
        <v>320.49200000000002</v>
      </c>
      <c r="X113" s="74" t="str">
        <f t="shared" si="40"/>
        <v>NA</v>
      </c>
      <c r="Y113" s="74" t="str">
        <f t="shared" si="41"/>
        <v>NA</v>
      </c>
      <c r="Z113" s="74" t="str">
        <f t="shared" si="42"/>
        <v>NA</v>
      </c>
      <c r="AA113" s="74" t="str">
        <f t="shared" si="43"/>
        <v>NA</v>
      </c>
      <c r="AB113" s="74">
        <f t="shared" si="44"/>
        <v>319.50799999999998</v>
      </c>
      <c r="AC113" s="69" t="str">
        <f>IF(ISTEXT('TECH DATA ENTRY'!L130)=TRUE,"NA",'TECH DATA ENTRY'!H130)</f>
        <v>NA</v>
      </c>
      <c r="AD113" s="69" t="str">
        <f t="shared" si="45"/>
        <v>NA</v>
      </c>
      <c r="AE113" s="69" t="str">
        <f t="shared" si="46"/>
        <v>NA</v>
      </c>
      <c r="AF113" s="69" t="e">
        <f t="shared" si="47"/>
        <v>#VALUE!</v>
      </c>
      <c r="AG113" s="69" t="e">
        <f t="shared" si="48"/>
        <v>#VALUE!</v>
      </c>
      <c r="AH113" s="69" t="e">
        <f t="shared" si="49"/>
        <v>#VALUE!</v>
      </c>
      <c r="AI113" s="69" t="e">
        <f t="shared" si="50"/>
        <v>#VALUE!</v>
      </c>
      <c r="AJ113" s="70" t="str">
        <f>IF(OR(ISTEXT('TECH DATA ENTRY'!L130)=TRUE,ISTEXT('TECH DATA ENTRY'!F130)=TRUE,ISTEXT('TECH DATA ENTRY'!G130)=TRUE),"NA",(W113-AB113)/(2*MAX(M113,L113)))</f>
        <v>NA</v>
      </c>
      <c r="AK113" s="69" t="str">
        <f t="shared" si="51"/>
        <v>NA</v>
      </c>
      <c r="AM113" s="73" t="e">
        <f t="shared" si="52"/>
        <v>#VALUE!</v>
      </c>
      <c r="AN113" s="73" t="e">
        <f t="shared" si="53"/>
        <v>#VALUE!</v>
      </c>
      <c r="AO113" s="87"/>
      <c r="AP113" s="73" t="e">
        <f t="shared" si="54"/>
        <v>#VALUE!</v>
      </c>
      <c r="AQ113" s="73" t="e">
        <f t="shared" si="55"/>
        <v>#VALUE!</v>
      </c>
      <c r="AR113" s="87"/>
      <c r="AS113" s="73" t="e">
        <f t="shared" si="56"/>
        <v>#VALUE!</v>
      </c>
      <c r="AT113" s="73" t="e">
        <f t="shared" si="57"/>
        <v>#VALUE!</v>
      </c>
      <c r="AV113" s="73" t="e">
        <f t="shared" si="58"/>
        <v>#VALUE!</v>
      </c>
      <c r="AW113" s="73" t="e">
        <f t="shared" si="59"/>
        <v>#VALUE!</v>
      </c>
      <c r="AX113" s="87"/>
      <c r="AY113" s="73" t="e">
        <f t="shared" si="60"/>
        <v>#VALUE!</v>
      </c>
      <c r="AZ113" s="73" t="e">
        <f t="shared" si="61"/>
        <v>#VALUE!</v>
      </c>
      <c r="BA113" s="87"/>
      <c r="BB113" s="73" t="e">
        <f t="shared" si="62"/>
        <v>#VALUE!</v>
      </c>
      <c r="BC113" s="73" t="e">
        <f t="shared" si="63"/>
        <v>#VALUE!</v>
      </c>
    </row>
    <row r="114" spans="1:55" s="86" customFormat="1" ht="25" customHeight="1">
      <c r="A114" s="466" t="str">
        <f>IF('TECH DATA ENTRY'!A131="","",'TECH DATA ENTRY'!A131)</f>
        <v>50 kHz</v>
      </c>
      <c r="B114" s="355">
        <f>IF('TECH DATA ENTRY'!B131="","",'TECH DATA ENTRY'!B131)</f>
        <v>320</v>
      </c>
      <c r="C114" s="355">
        <f>IF(B114="","",IFERROR('TECH DATA ENTRY'!F131,"NA"))</f>
        <v>319.11599999999999</v>
      </c>
      <c r="D114" s="355" t="str">
        <f>IF('TECH DATA ENTRY'!L131="","",'TECH DATA ENTRY'!L131)</f>
        <v/>
      </c>
      <c r="E114" s="355" t="str">
        <f t="shared" si="35"/>
        <v/>
      </c>
      <c r="F114" s="355">
        <f>IF(B114="","",IFERROR('TECH DATA ENTRY'!G131,"NA"))</f>
        <v>320.88400000000001</v>
      </c>
      <c r="G114" s="518" t="str">
        <f t="shared" si="36"/>
        <v/>
      </c>
      <c r="H114" s="355" t="str">
        <f>IF(OR(ISTEXT(B114)=TRUE, D114="NA",D114=""),"NA", roundsf(MAX(L114,M114),C114))</f>
        <v>NA</v>
      </c>
      <c r="I114" s="325" t="str">
        <f t="shared" si="37"/>
        <v>NA</v>
      </c>
      <c r="J114" s="299"/>
      <c r="K114" s="245"/>
      <c r="L114" s="506">
        <f>(437/1000000)*ABS(B114)+(11/1000)</f>
        <v>0.15084</v>
      </c>
      <c r="M114" s="244" t="str">
        <f>UNC_CALCULATION!AM103</f>
        <v>NA</v>
      </c>
      <c r="N114" s="85"/>
      <c r="O114" s="58"/>
      <c r="P114" s="69" t="e">
        <f>IF(B114="","",INDEX('AUX TABLES'!$G$4:$K$8,AV114,AW114))</f>
        <v>#VALUE!</v>
      </c>
      <c r="Q114" s="150" t="e">
        <f>IF(AJ$11=FALSE,IF(B114="","",IF(AJ114="NA",P114,INDEX('AUX TABLES'!$G$4:$K$8,AY114,AZ114))),IF(P114="FAIL",P114,INDEX('AUX TABLES'!$G$4:$K$8,AY114,AZ114)))</f>
        <v>#VALUE!</v>
      </c>
      <c r="R114" s="150" t="e">
        <f>IF(AJ$11=FALSE,IF(B114="","",IF(AJ114="NA",P114,INDEX('AUX TABLES'!$G$4:$K$8,BB114,BC114))),IF(P114="FAIL",P114,INDEX('AUX TABLES'!$G$4:$K$8,BB114,BC114)))</f>
        <v>#VALUE!</v>
      </c>
      <c r="S114" s="69" t="e">
        <f>INDEX('AUX TABLES'!$G$4:$K$8,AM114,AN114)</f>
        <v>#VALUE!</v>
      </c>
      <c r="T114" s="69" t="e">
        <f>IF(AJ$11=FALSE,IF(AJ114="NA",S114,INDEX('AUX TABLES'!$G$4:$K$8,AP114,AQ114)),IF(S114="FAIL",S114,INDEX('AUX TABLES'!$G$4:$K$8,AP114,AQ114)))</f>
        <v>#VALUE!</v>
      </c>
      <c r="U114" s="150" t="e">
        <f>IF(AJ$11=FALSE,IF(AJ114="NA",S114,INDEX('AUX TABLES'!$G$4:$K$8,AS114,AT114)),IF(S114="FAIL",S114,INDEX('AUX TABLES'!$G$4:$K$8,AS114,AT114)))</f>
        <v>#VALUE!</v>
      </c>
      <c r="V114" s="150" t="str">
        <f t="shared" si="38"/>
        <v/>
      </c>
      <c r="W114" s="74">
        <f t="shared" si="39"/>
        <v>320.88400000000001</v>
      </c>
      <c r="X114" s="74" t="str">
        <f t="shared" si="40"/>
        <v>NA</v>
      </c>
      <c r="Y114" s="74" t="str">
        <f t="shared" si="41"/>
        <v>NA</v>
      </c>
      <c r="Z114" s="74" t="str">
        <f t="shared" si="42"/>
        <v>NA</v>
      </c>
      <c r="AA114" s="74" t="str">
        <f t="shared" si="43"/>
        <v>NA</v>
      </c>
      <c r="AB114" s="74">
        <f t="shared" si="44"/>
        <v>319.11599999999999</v>
      </c>
      <c r="AC114" s="69" t="str">
        <f>IF(ISTEXT('TECH DATA ENTRY'!L131)=TRUE,"NA",'TECH DATA ENTRY'!H131)</f>
        <v>NA</v>
      </c>
      <c r="AD114" s="69" t="str">
        <f t="shared" si="45"/>
        <v>NA</v>
      </c>
      <c r="AE114" s="69" t="str">
        <f t="shared" si="46"/>
        <v>NA</v>
      </c>
      <c r="AF114" s="69" t="e">
        <f t="shared" si="47"/>
        <v>#VALUE!</v>
      </c>
      <c r="AG114" s="69" t="e">
        <f t="shared" si="48"/>
        <v>#VALUE!</v>
      </c>
      <c r="AH114" s="69" t="e">
        <f t="shared" si="49"/>
        <v>#VALUE!</v>
      </c>
      <c r="AI114" s="69" t="e">
        <f t="shared" si="50"/>
        <v>#VALUE!</v>
      </c>
      <c r="AJ114" s="70" t="str">
        <f>IF(OR(ISTEXT('TECH DATA ENTRY'!L131)=TRUE,ISTEXT('TECH DATA ENTRY'!F131)=TRUE,ISTEXT('TECH DATA ENTRY'!G131)=TRUE),"NA",(W114-AB114)/(2*MAX(M114,L114)))</f>
        <v>NA</v>
      </c>
      <c r="AK114" s="69" t="str">
        <f t="shared" si="51"/>
        <v>NA</v>
      </c>
      <c r="AM114" s="73" t="e">
        <f t="shared" si="52"/>
        <v>#VALUE!</v>
      </c>
      <c r="AN114" s="73" t="e">
        <f t="shared" si="53"/>
        <v>#VALUE!</v>
      </c>
      <c r="AO114" s="87"/>
      <c r="AP114" s="73" t="e">
        <f t="shared" si="54"/>
        <v>#VALUE!</v>
      </c>
      <c r="AQ114" s="73" t="e">
        <f t="shared" si="55"/>
        <v>#VALUE!</v>
      </c>
      <c r="AR114" s="87"/>
      <c r="AS114" s="73" t="e">
        <f t="shared" si="56"/>
        <v>#VALUE!</v>
      </c>
      <c r="AT114" s="73" t="e">
        <f t="shared" si="57"/>
        <v>#VALUE!</v>
      </c>
      <c r="AV114" s="73" t="e">
        <f t="shared" si="58"/>
        <v>#VALUE!</v>
      </c>
      <c r="AW114" s="73" t="e">
        <f t="shared" si="59"/>
        <v>#VALUE!</v>
      </c>
      <c r="AX114" s="87"/>
      <c r="AY114" s="73" t="e">
        <f t="shared" si="60"/>
        <v>#VALUE!</v>
      </c>
      <c r="AZ114" s="73" t="e">
        <f t="shared" si="61"/>
        <v>#VALUE!</v>
      </c>
      <c r="BA114" s="87"/>
      <c r="BB114" s="73" t="e">
        <f t="shared" si="62"/>
        <v>#VALUE!</v>
      </c>
      <c r="BC114" s="73" t="e">
        <f t="shared" si="63"/>
        <v>#VALUE!</v>
      </c>
    </row>
    <row r="115" spans="1:55" s="86" customFormat="1" ht="25" customHeight="1" thickBot="1">
      <c r="A115" s="467" t="str">
        <f>IF('TECH DATA ENTRY'!A132="","",'TECH DATA ENTRY'!A132)</f>
        <v>100 kHz</v>
      </c>
      <c r="B115" s="494">
        <f>IF('TECH DATA ENTRY'!B132="","",'TECH DATA ENTRY'!B132)</f>
        <v>320</v>
      </c>
      <c r="C115" s="494">
        <f>IF(B115="","",IFERROR('TECH DATA ENTRY'!F132,"NA"))</f>
        <v>317.27999999999997</v>
      </c>
      <c r="D115" s="494" t="str">
        <f>IF('TECH DATA ENTRY'!L132="","",'TECH DATA ENTRY'!L132)</f>
        <v/>
      </c>
      <c r="E115" s="494" t="str">
        <f t="shared" si="35"/>
        <v/>
      </c>
      <c r="F115" s="494">
        <f>IF(B115="","",IFERROR('TECH DATA ENTRY'!G132,"NA"))</f>
        <v>322.72000000000003</v>
      </c>
      <c r="G115" s="519" t="str">
        <f t="shared" si="36"/>
        <v/>
      </c>
      <c r="H115" s="494" t="str">
        <f>IF(OR(ISTEXT(B115)=TRUE, D115="NA",D115=""),"NA", roundsf(MAX(L115,M115),C115))</f>
        <v>NA</v>
      </c>
      <c r="I115" s="486" t="str">
        <f t="shared" si="37"/>
        <v>NA</v>
      </c>
      <c r="J115" s="299"/>
      <c r="K115" s="245"/>
      <c r="L115" s="506">
        <f>(1.6/1000)*ABS(B115)+(45/1000)</f>
        <v>0.55700000000000005</v>
      </c>
      <c r="M115" s="244" t="str">
        <f>UNC_CALCULATION!AM104</f>
        <v>NA</v>
      </c>
      <c r="N115" s="85"/>
      <c r="O115" s="58"/>
      <c r="P115" s="69" t="e">
        <f>IF(B115="","",INDEX('AUX TABLES'!$G$4:$K$8,AV115,AW115))</f>
        <v>#VALUE!</v>
      </c>
      <c r="Q115" s="150" t="e">
        <f>IF(AJ$11=FALSE,IF(B115="","",IF(AJ115="NA",P115,INDEX('AUX TABLES'!$G$4:$K$8,AY115,AZ115))),IF(P115="FAIL",P115,INDEX('AUX TABLES'!$G$4:$K$8,AY115,AZ115)))</f>
        <v>#VALUE!</v>
      </c>
      <c r="R115" s="150" t="e">
        <f>IF(AJ$11=FALSE,IF(B115="","",IF(AJ115="NA",P115,INDEX('AUX TABLES'!$G$4:$K$8,BB115,BC115))),IF(P115="FAIL",P115,INDEX('AUX TABLES'!$G$4:$K$8,BB115,BC115)))</f>
        <v>#VALUE!</v>
      </c>
      <c r="S115" s="69" t="e">
        <f>INDEX('AUX TABLES'!$G$4:$K$8,AM115,AN115)</f>
        <v>#VALUE!</v>
      </c>
      <c r="T115" s="69" t="e">
        <f>IF(AJ$11=FALSE,IF(AJ115="NA",S115,INDEX('AUX TABLES'!$G$4:$K$8,AP115,AQ115)),IF(S115="FAIL",S115,INDEX('AUX TABLES'!$G$4:$K$8,AP115,AQ115)))</f>
        <v>#VALUE!</v>
      </c>
      <c r="U115" s="150" t="e">
        <f>IF(AJ$11=FALSE,IF(AJ115="NA",S115,INDEX('AUX TABLES'!$G$4:$K$8,AS115,AT115)),IF(S115="FAIL",S115,INDEX('AUX TABLES'!$G$4:$K$8,AS115,AT115)))</f>
        <v>#VALUE!</v>
      </c>
      <c r="V115" s="150" t="str">
        <f t="shared" si="38"/>
        <v/>
      </c>
      <c r="W115" s="74">
        <f t="shared" si="39"/>
        <v>322.72000000000003</v>
      </c>
      <c r="X115" s="74" t="str">
        <f t="shared" si="40"/>
        <v>NA</v>
      </c>
      <c r="Y115" s="74" t="str">
        <f t="shared" si="41"/>
        <v>NA</v>
      </c>
      <c r="Z115" s="74" t="str">
        <f t="shared" si="42"/>
        <v>NA</v>
      </c>
      <c r="AA115" s="74" t="str">
        <f t="shared" si="43"/>
        <v>NA</v>
      </c>
      <c r="AB115" s="74">
        <f t="shared" si="44"/>
        <v>317.27999999999997</v>
      </c>
      <c r="AC115" s="69" t="str">
        <f>IF(ISTEXT('TECH DATA ENTRY'!L132)=TRUE,"NA",'TECH DATA ENTRY'!H132)</f>
        <v>NA</v>
      </c>
      <c r="AD115" s="69" t="str">
        <f t="shared" si="45"/>
        <v>NA</v>
      </c>
      <c r="AE115" s="69" t="str">
        <f t="shared" si="46"/>
        <v>NA</v>
      </c>
      <c r="AF115" s="69" t="e">
        <f t="shared" si="47"/>
        <v>#VALUE!</v>
      </c>
      <c r="AG115" s="69" t="e">
        <f t="shared" si="48"/>
        <v>#VALUE!</v>
      </c>
      <c r="AH115" s="69" t="e">
        <f t="shared" si="49"/>
        <v>#VALUE!</v>
      </c>
      <c r="AI115" s="69" t="e">
        <f t="shared" si="50"/>
        <v>#VALUE!</v>
      </c>
      <c r="AJ115" s="70" t="str">
        <f>IF(OR(ISTEXT('TECH DATA ENTRY'!L132)=TRUE,ISTEXT('TECH DATA ENTRY'!F132)=TRUE,ISTEXT('TECH DATA ENTRY'!G132)=TRUE),"NA",(W115-AB115)/(2*MAX(M115,L115)))</f>
        <v>NA</v>
      </c>
      <c r="AK115" s="69" t="str">
        <f t="shared" si="51"/>
        <v>NA</v>
      </c>
      <c r="AM115" s="73" t="e">
        <f t="shared" si="52"/>
        <v>#VALUE!</v>
      </c>
      <c r="AN115" s="73" t="e">
        <f t="shared" si="53"/>
        <v>#VALUE!</v>
      </c>
      <c r="AO115" s="87"/>
      <c r="AP115" s="73" t="e">
        <f t="shared" si="54"/>
        <v>#VALUE!</v>
      </c>
      <c r="AQ115" s="73" t="e">
        <f t="shared" si="55"/>
        <v>#VALUE!</v>
      </c>
      <c r="AR115" s="87"/>
      <c r="AS115" s="73" t="e">
        <f t="shared" si="56"/>
        <v>#VALUE!</v>
      </c>
      <c r="AT115" s="73" t="e">
        <f t="shared" si="57"/>
        <v>#VALUE!</v>
      </c>
      <c r="AV115" s="73" t="e">
        <f t="shared" si="58"/>
        <v>#VALUE!</v>
      </c>
      <c r="AW115" s="73" t="e">
        <f t="shared" si="59"/>
        <v>#VALUE!</v>
      </c>
      <c r="AX115" s="87"/>
      <c r="AY115" s="73" t="e">
        <f t="shared" si="60"/>
        <v>#VALUE!</v>
      </c>
      <c r="AZ115" s="73" t="e">
        <f t="shared" si="61"/>
        <v>#VALUE!</v>
      </c>
      <c r="BA115" s="87"/>
      <c r="BB115" s="73" t="e">
        <f t="shared" si="62"/>
        <v>#VALUE!</v>
      </c>
      <c r="BC115" s="73" t="e">
        <f t="shared" si="63"/>
        <v>#VALUE!</v>
      </c>
    </row>
    <row r="116" spans="1:55" s="1" customFormat="1" ht="34.9" customHeight="1">
      <c r="A116" s="64"/>
      <c r="B116" s="554"/>
      <c r="C116" s="554"/>
      <c r="D116" s="554"/>
      <c r="E116" s="554"/>
      <c r="F116" s="554"/>
      <c r="G116" s="554"/>
      <c r="H116" s="554"/>
      <c r="I116" s="555"/>
      <c r="J116" s="56"/>
      <c r="K116" s="56"/>
      <c r="L116" s="58"/>
      <c r="M116" s="58"/>
      <c r="N116" s="31"/>
      <c r="O116" s="77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AP116" s="267"/>
    </row>
    <row r="117" spans="1:55" s="296" customFormat="1" ht="28.15" customHeight="1">
      <c r="A117" s="289" t="str">
        <f>IF('TECH DATA ENTRY'!A134="","",'TECH DATA ENTRY'!A134)</f>
        <v>AC Volts Frequency Accuracy</v>
      </c>
      <c r="B117" s="293"/>
      <c r="C117" s="294"/>
      <c r="D117" s="293"/>
      <c r="E117" s="293"/>
      <c r="F117" s="293"/>
      <c r="G117" s="294"/>
      <c r="H117" s="293"/>
      <c r="I117" s="295"/>
      <c r="J117" s="224"/>
      <c r="K117" s="224"/>
      <c r="L117" s="224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AK117" s="297"/>
    </row>
    <row r="118" spans="1:55" s="31" customFormat="1" ht="4.9000000000000004" customHeight="1">
      <c r="A118" s="76" t="str">
        <f>IF('TECH DATA ENTRY'!A135="","",'TECH DATA ENTRY'!A135)</f>
        <v/>
      </c>
      <c r="H118" s="321"/>
      <c r="O118" s="77"/>
      <c r="AK118" s="1"/>
      <c r="AM118" s="637" t="s">
        <v>116</v>
      </c>
      <c r="AN118" s="637"/>
      <c r="AO118" s="637"/>
      <c r="AP118" s="637"/>
      <c r="AQ118" s="637"/>
      <c r="AR118" s="637"/>
      <c r="AS118" s="637"/>
      <c r="AT118" s="637"/>
      <c r="AV118" s="637" t="s">
        <v>117</v>
      </c>
      <c r="AW118" s="637"/>
      <c r="AX118" s="637"/>
      <c r="AY118" s="637"/>
      <c r="AZ118" s="637"/>
      <c r="BA118" s="637"/>
      <c r="BB118" s="637"/>
      <c r="BC118" s="637"/>
    </row>
    <row r="119" spans="1:55" s="225" customFormat="1" ht="4.9000000000000004" customHeight="1" thickBot="1">
      <c r="A119" s="288" t="str">
        <f>IF('TECH DATA ENTRY'!A136="","",'TECH DATA ENTRY'!A136)</f>
        <v/>
      </c>
      <c r="K119" s="239"/>
      <c r="L119" s="239"/>
      <c r="AK119" s="240"/>
    </row>
    <row r="120" spans="1:55" s="285" customFormat="1" ht="20.149999999999999" customHeight="1">
      <c r="A120" s="644" t="str">
        <f>IF('TECH DATA ENTRY'!A137="","",'TECH DATA ENTRY'!A137)</f>
        <v>Amplitude</v>
      </c>
      <c r="B120" s="646" t="str">
        <f>IF('TECH DATA ENTRY'!B137="","",'TECH DATA ENTRY'!B137)</f>
        <v>Nominal</v>
      </c>
      <c r="C120" s="648" t="s">
        <v>2</v>
      </c>
      <c r="D120" s="648" t="str">
        <f>IF(LEFT(P$11,3)="ROV", "Measured Value", "As Found")</f>
        <v>As Found</v>
      </c>
      <c r="E120" s="648" t="str">
        <f>IF(LEFT(P$11,3)="ROV", "Correction", "As Left")</f>
        <v>As Left</v>
      </c>
      <c r="F120" s="648" t="s">
        <v>3</v>
      </c>
      <c r="G120" s="653" t="s">
        <v>4</v>
      </c>
      <c r="H120" s="659" t="s">
        <v>30</v>
      </c>
      <c r="I120" s="661" t="s">
        <v>28</v>
      </c>
      <c r="J120" s="284"/>
      <c r="L120" s="658" t="s">
        <v>38</v>
      </c>
      <c r="M120" s="616" t="s">
        <v>31</v>
      </c>
      <c r="N120" s="281"/>
      <c r="O120" s="286"/>
      <c r="P120" s="640" t="s">
        <v>136</v>
      </c>
      <c r="Q120" s="641"/>
      <c r="R120" s="642"/>
      <c r="S120" s="638" t="s">
        <v>115</v>
      </c>
      <c r="T120" s="638"/>
      <c r="U120" s="638"/>
      <c r="V120" s="638"/>
      <c r="W120" s="640" t="s">
        <v>64</v>
      </c>
      <c r="X120" s="641"/>
      <c r="Y120" s="641"/>
      <c r="Z120" s="641"/>
      <c r="AA120" s="641"/>
      <c r="AB120" s="642"/>
      <c r="AC120" s="638" t="s">
        <v>97</v>
      </c>
      <c r="AD120" s="638"/>
      <c r="AE120" s="638"/>
      <c r="AF120" s="638" t="s">
        <v>127</v>
      </c>
      <c r="AG120" s="638"/>
      <c r="AH120" s="638" t="s">
        <v>128</v>
      </c>
      <c r="AI120" s="638"/>
      <c r="AJ120" s="638" t="s">
        <v>28</v>
      </c>
      <c r="AK120" s="638" t="s">
        <v>121</v>
      </c>
      <c r="AL120" s="308"/>
      <c r="AM120" s="639" t="s">
        <v>122</v>
      </c>
      <c r="AN120" s="639"/>
      <c r="AO120" s="308"/>
      <c r="AP120" s="639" t="s">
        <v>119</v>
      </c>
      <c r="AQ120" s="639"/>
      <c r="AR120" s="308"/>
      <c r="AS120" s="639" t="s">
        <v>120</v>
      </c>
      <c r="AT120" s="639"/>
      <c r="AU120" s="308"/>
      <c r="AV120" s="639" t="s">
        <v>122</v>
      </c>
      <c r="AW120" s="639"/>
      <c r="AX120" s="308"/>
      <c r="AY120" s="639" t="s">
        <v>119</v>
      </c>
      <c r="AZ120" s="639"/>
      <c r="BA120" s="308"/>
      <c r="BB120" s="639" t="s">
        <v>120</v>
      </c>
      <c r="BC120" s="639"/>
    </row>
    <row r="121" spans="1:55" s="285" customFormat="1" ht="20.149999999999999" customHeight="1" thickBot="1">
      <c r="A121" s="645"/>
      <c r="B121" s="647"/>
      <c r="C121" s="649"/>
      <c r="D121" s="649"/>
      <c r="E121" s="649"/>
      <c r="F121" s="649"/>
      <c r="G121" s="654"/>
      <c r="H121" s="660"/>
      <c r="I121" s="662"/>
      <c r="J121" s="284"/>
      <c r="L121" s="649"/>
      <c r="M121" s="617"/>
      <c r="O121" s="281"/>
      <c r="P121" s="309" t="s">
        <v>122</v>
      </c>
      <c r="Q121" s="309" t="s">
        <v>119</v>
      </c>
      <c r="R121" s="309" t="s">
        <v>120</v>
      </c>
      <c r="S121" s="309" t="s">
        <v>122</v>
      </c>
      <c r="T121" s="309" t="s">
        <v>119</v>
      </c>
      <c r="U121" s="309" t="s">
        <v>120</v>
      </c>
      <c r="V121" s="309" t="s">
        <v>118</v>
      </c>
      <c r="W121" s="309" t="s">
        <v>63</v>
      </c>
      <c r="X121" s="309" t="s">
        <v>69</v>
      </c>
      <c r="Y121" s="309" t="s">
        <v>71</v>
      </c>
      <c r="Z121" s="309" t="s">
        <v>72</v>
      </c>
      <c r="AA121" s="309" t="s">
        <v>70</v>
      </c>
      <c r="AB121" s="309" t="s">
        <v>75</v>
      </c>
      <c r="AC121" s="309" t="s">
        <v>78</v>
      </c>
      <c r="AD121" s="309" t="s">
        <v>119</v>
      </c>
      <c r="AE121" s="309" t="s">
        <v>120</v>
      </c>
      <c r="AF121" s="309" t="s">
        <v>129</v>
      </c>
      <c r="AG121" s="309" t="s">
        <v>130</v>
      </c>
      <c r="AH121" s="309" t="s">
        <v>129</v>
      </c>
      <c r="AI121" s="309" t="s">
        <v>130</v>
      </c>
      <c r="AJ121" s="652"/>
      <c r="AK121" s="652"/>
      <c r="AL121" s="308"/>
      <c r="AM121" s="310" t="s">
        <v>67</v>
      </c>
      <c r="AN121" s="310" t="s">
        <v>68</v>
      </c>
      <c r="AO121" s="308"/>
      <c r="AP121" s="310" t="s">
        <v>67</v>
      </c>
      <c r="AQ121" s="310" t="s">
        <v>68</v>
      </c>
      <c r="AR121" s="308"/>
      <c r="AS121" s="310" t="s">
        <v>67</v>
      </c>
      <c r="AT121" s="310" t="s">
        <v>68</v>
      </c>
      <c r="AU121" s="308"/>
      <c r="AV121" s="310" t="s">
        <v>67</v>
      </c>
      <c r="AW121" s="310" t="s">
        <v>68</v>
      </c>
      <c r="AX121" s="308"/>
      <c r="AY121" s="310" t="s">
        <v>67</v>
      </c>
      <c r="AZ121" s="310" t="s">
        <v>68</v>
      </c>
      <c r="BA121" s="308"/>
      <c r="BB121" s="310" t="s">
        <v>67</v>
      </c>
      <c r="BC121" s="310" t="s">
        <v>68</v>
      </c>
    </row>
    <row r="122" spans="1:55" s="86" customFormat="1" ht="25" customHeight="1" thickTop="1">
      <c r="A122" s="663" t="str">
        <f>IF('TECH DATA ENTRY'!A139="","",'TECH DATA ENTRY'!A139)</f>
        <v>1 V</v>
      </c>
      <c r="B122" s="369">
        <f>IF('TECH DATA ENTRY'!B139="","",'TECH DATA ENTRY'!B139)</f>
        <v>10</v>
      </c>
      <c r="C122" s="369">
        <f>IF(B122="","",IFERROR('TECH DATA ENTRY'!F139,"NA"))</f>
        <v>9.9969999999999999</v>
      </c>
      <c r="D122" s="369" t="str">
        <f>IF('TECH DATA ENTRY'!L139="","",'TECH DATA ENTRY'!L139)</f>
        <v/>
      </c>
      <c r="E122" s="369" t="str">
        <f t="shared" si="35"/>
        <v/>
      </c>
      <c r="F122" s="369">
        <f>IF(B122="","",IFERROR('TECH DATA ENTRY'!G139,"NA"))</f>
        <v>10.003</v>
      </c>
      <c r="G122" s="526" t="str">
        <f t="shared" si="36"/>
        <v/>
      </c>
      <c r="H122" s="369" t="str">
        <f>IF(OR(ISTEXT(B122)=TRUE, D122="NA",D122=""),"NA", roundsf(MAX(L122,M122),C122))</f>
        <v>NA</v>
      </c>
      <c r="I122" s="325" t="str">
        <f t="shared" si="37"/>
        <v>NA</v>
      </c>
      <c r="J122" s="299"/>
      <c r="K122" s="245"/>
      <c r="L122" s="508">
        <f>0.00000011*B122</f>
        <v>1.1000000000000001E-6</v>
      </c>
      <c r="M122" s="244" t="str">
        <f>UNC_CALCULATION!AM111</f>
        <v>NA</v>
      </c>
      <c r="N122" s="85"/>
      <c r="O122" s="58"/>
      <c r="P122" s="69" t="e">
        <f>IF(B122="","",INDEX('AUX TABLES'!$G$4:$K$8,AV122,AW122))</f>
        <v>#VALUE!</v>
      </c>
      <c r="Q122" s="150" t="e">
        <f>IF(AJ$11=FALSE,IF(B122="","",IF(AJ122="NA",P122,INDEX('AUX TABLES'!$G$4:$K$8,AY122,AZ122))),IF(P122="FAIL",P122,INDEX('AUX TABLES'!$G$4:$K$8,AY122,AZ122)))</f>
        <v>#VALUE!</v>
      </c>
      <c r="R122" s="150" t="e">
        <f>IF(AJ$11=FALSE,IF(B122="","",IF(AJ122="NA",P122,INDEX('AUX TABLES'!$G$4:$K$8,BB122,BC122))),IF(P122="FAIL",P122,INDEX('AUX TABLES'!$G$4:$K$8,BB122,BC122)))</f>
        <v>#VALUE!</v>
      </c>
      <c r="S122" s="69" t="e">
        <f>INDEX('AUX TABLES'!$G$4:$K$8,AM122,AN122)</f>
        <v>#VALUE!</v>
      </c>
      <c r="T122" s="69" t="e">
        <f>IF(AJ$11=FALSE,IF(AJ122="NA",S122,INDEX('AUX TABLES'!$G$4:$K$8,AP122,AQ122)),IF(S122="FAIL",S122,INDEX('AUX TABLES'!$G$4:$K$8,AP122,AQ122)))</f>
        <v>#VALUE!</v>
      </c>
      <c r="U122" s="150" t="e">
        <f>IF(AJ$11=FALSE,IF(AJ122="NA",S122,INDEX('AUX TABLES'!$G$4:$K$8,AS122,AT122)),IF(S122="FAIL",S122,INDEX('AUX TABLES'!$G$4:$K$8,AS122,AT122)))</f>
        <v>#VALUE!</v>
      </c>
      <c r="V122" s="150" t="str">
        <f t="shared" si="38"/>
        <v/>
      </c>
      <c r="W122" s="74">
        <f t="shared" si="39"/>
        <v>10.003</v>
      </c>
      <c r="X122" s="74" t="str">
        <f t="shared" si="40"/>
        <v>NA</v>
      </c>
      <c r="Y122" s="74" t="str">
        <f t="shared" si="41"/>
        <v>NA</v>
      </c>
      <c r="Z122" s="74" t="str">
        <f t="shared" si="42"/>
        <v>NA</v>
      </c>
      <c r="AA122" s="74" t="str">
        <f t="shared" si="43"/>
        <v>NA</v>
      </c>
      <c r="AB122" s="74">
        <f t="shared" si="44"/>
        <v>9.9969999999999999</v>
      </c>
      <c r="AC122" s="69" t="str">
        <f>IF(ISTEXT('TECH DATA ENTRY'!L139)=TRUE,"NA",'TECH DATA ENTRY'!H139)</f>
        <v>NA</v>
      </c>
      <c r="AD122" s="69" t="str">
        <f t="shared" si="45"/>
        <v>NA</v>
      </c>
      <c r="AE122" s="69" t="str">
        <f t="shared" si="46"/>
        <v>NA</v>
      </c>
      <c r="AF122" s="69" t="e">
        <f t="shared" si="47"/>
        <v>#VALUE!</v>
      </c>
      <c r="AG122" s="69" t="e">
        <f t="shared" si="48"/>
        <v>#VALUE!</v>
      </c>
      <c r="AH122" s="69" t="e">
        <f t="shared" si="49"/>
        <v>#VALUE!</v>
      </c>
      <c r="AI122" s="69" t="e">
        <f t="shared" si="50"/>
        <v>#VALUE!</v>
      </c>
      <c r="AJ122" s="70" t="str">
        <f>IF(OR(ISTEXT('TECH DATA ENTRY'!L139)=TRUE,ISTEXT('TECH DATA ENTRY'!F139)=TRUE,ISTEXT('TECH DATA ENTRY'!G139)=TRUE),"NA",(W122-AB122)/(2*MAX(M122,L122)))</f>
        <v>NA</v>
      </c>
      <c r="AK122" s="69" t="str">
        <f t="shared" si="51"/>
        <v>NA</v>
      </c>
      <c r="AM122" s="73" t="e">
        <f t="shared" si="52"/>
        <v>#VALUE!</v>
      </c>
      <c r="AN122" s="73" t="e">
        <f t="shared" si="53"/>
        <v>#VALUE!</v>
      </c>
      <c r="AO122" s="87"/>
      <c r="AP122" s="73" t="e">
        <f t="shared" si="54"/>
        <v>#VALUE!</v>
      </c>
      <c r="AQ122" s="73" t="e">
        <f t="shared" si="55"/>
        <v>#VALUE!</v>
      </c>
      <c r="AR122" s="87"/>
      <c r="AS122" s="73" t="e">
        <f t="shared" si="56"/>
        <v>#VALUE!</v>
      </c>
      <c r="AT122" s="73" t="e">
        <f t="shared" si="57"/>
        <v>#VALUE!</v>
      </c>
      <c r="AV122" s="73" t="e">
        <f t="shared" si="58"/>
        <v>#VALUE!</v>
      </c>
      <c r="AW122" s="73" t="e">
        <f t="shared" si="59"/>
        <v>#VALUE!</v>
      </c>
      <c r="AX122" s="87"/>
      <c r="AY122" s="73" t="e">
        <f t="shared" si="60"/>
        <v>#VALUE!</v>
      </c>
      <c r="AZ122" s="73" t="e">
        <f t="shared" si="61"/>
        <v>#VALUE!</v>
      </c>
      <c r="BA122" s="87"/>
      <c r="BB122" s="73" t="e">
        <f t="shared" si="62"/>
        <v>#VALUE!</v>
      </c>
      <c r="BC122" s="73" t="e">
        <f t="shared" si="63"/>
        <v>#VALUE!</v>
      </c>
    </row>
    <row r="123" spans="1:55" s="86" customFormat="1" ht="25" customHeight="1">
      <c r="A123" s="664" t="str">
        <f>IF('TECH DATA ENTRY'!A140="","",'TECH DATA ENTRY'!A140)</f>
        <v/>
      </c>
      <c r="B123" s="369">
        <f>IF('TECH DATA ENTRY'!B140="","",'TECH DATA ENTRY'!B140)</f>
        <v>40</v>
      </c>
      <c r="C123" s="369">
        <f>IF(B123="","",IFERROR('TECH DATA ENTRY'!F140,"NA"))</f>
        <v>39.996000000000002</v>
      </c>
      <c r="D123" s="369" t="str">
        <f>IF('TECH DATA ENTRY'!L140="","",'TECH DATA ENTRY'!L140)</f>
        <v/>
      </c>
      <c r="E123" s="369" t="str">
        <f t="shared" si="35"/>
        <v/>
      </c>
      <c r="F123" s="369">
        <f>IF(B123="","",IFERROR('TECH DATA ENTRY'!G140,"NA"))</f>
        <v>40.003999999999998</v>
      </c>
      <c r="G123" s="526" t="str">
        <f t="shared" si="36"/>
        <v/>
      </c>
      <c r="H123" s="369" t="str">
        <f>IF(OR(ISTEXT(B123)=TRUE, D123="NA",D123=""),"NA", roundsf(MAX(L123,M123),C123))</f>
        <v>NA</v>
      </c>
      <c r="I123" s="325" t="str">
        <f t="shared" si="37"/>
        <v>NA</v>
      </c>
      <c r="J123" s="299"/>
      <c r="K123" s="245"/>
      <c r="L123" s="508">
        <f>0.00000011*B123</f>
        <v>4.4000000000000002E-6</v>
      </c>
      <c r="M123" s="244" t="str">
        <f>UNC_CALCULATION!AM112</f>
        <v>NA</v>
      </c>
      <c r="N123" s="85"/>
      <c r="O123" s="58"/>
      <c r="P123" s="69" t="e">
        <f>IF(B123="","",INDEX('AUX TABLES'!$G$4:$K$8,AV123,AW123))</f>
        <v>#VALUE!</v>
      </c>
      <c r="Q123" s="150" t="e">
        <f>IF(AJ$11=FALSE,IF(B123="","",IF(AJ123="NA",P123,INDEX('AUX TABLES'!$G$4:$K$8,AY123,AZ123))),IF(P123="FAIL",P123,INDEX('AUX TABLES'!$G$4:$K$8,AY123,AZ123)))</f>
        <v>#VALUE!</v>
      </c>
      <c r="R123" s="150" t="e">
        <f>IF(AJ$11=FALSE,IF(B123="","",IF(AJ123="NA",P123,INDEX('AUX TABLES'!$G$4:$K$8,BB123,BC123))),IF(P123="FAIL",P123,INDEX('AUX TABLES'!$G$4:$K$8,BB123,BC123)))</f>
        <v>#VALUE!</v>
      </c>
      <c r="S123" s="69" t="e">
        <f>INDEX('AUX TABLES'!$G$4:$K$8,AM123,AN123)</f>
        <v>#VALUE!</v>
      </c>
      <c r="T123" s="69" t="e">
        <f>IF(AJ$11=FALSE,IF(AJ123="NA",S123,INDEX('AUX TABLES'!$G$4:$K$8,AP123,AQ123)),IF(S123="FAIL",S123,INDEX('AUX TABLES'!$G$4:$K$8,AP123,AQ123)))</f>
        <v>#VALUE!</v>
      </c>
      <c r="U123" s="150" t="e">
        <f>IF(AJ$11=FALSE,IF(AJ123="NA",S123,INDEX('AUX TABLES'!$G$4:$K$8,AS123,AT123)),IF(S123="FAIL",S123,INDEX('AUX TABLES'!$G$4:$K$8,AS123,AT123)))</f>
        <v>#VALUE!</v>
      </c>
      <c r="V123" s="150" t="str">
        <f t="shared" si="38"/>
        <v/>
      </c>
      <c r="W123" s="74">
        <f t="shared" si="39"/>
        <v>40.003999999999998</v>
      </c>
      <c r="X123" s="74" t="str">
        <f t="shared" si="40"/>
        <v>NA</v>
      </c>
      <c r="Y123" s="74" t="str">
        <f t="shared" si="41"/>
        <v>NA</v>
      </c>
      <c r="Z123" s="74" t="str">
        <f t="shared" si="42"/>
        <v>NA</v>
      </c>
      <c r="AA123" s="74" t="str">
        <f t="shared" si="43"/>
        <v>NA</v>
      </c>
      <c r="AB123" s="74">
        <f t="shared" si="44"/>
        <v>39.996000000000002</v>
      </c>
      <c r="AC123" s="69" t="str">
        <f>IF(ISTEXT('TECH DATA ENTRY'!L140)=TRUE,"NA",'TECH DATA ENTRY'!H140)</f>
        <v>NA</v>
      </c>
      <c r="AD123" s="69" t="str">
        <f t="shared" si="45"/>
        <v>NA</v>
      </c>
      <c r="AE123" s="69" t="str">
        <f t="shared" si="46"/>
        <v>NA</v>
      </c>
      <c r="AF123" s="69" t="e">
        <f t="shared" si="47"/>
        <v>#VALUE!</v>
      </c>
      <c r="AG123" s="69" t="e">
        <f t="shared" si="48"/>
        <v>#VALUE!</v>
      </c>
      <c r="AH123" s="69" t="e">
        <f t="shared" si="49"/>
        <v>#VALUE!</v>
      </c>
      <c r="AI123" s="69" t="e">
        <f t="shared" si="50"/>
        <v>#VALUE!</v>
      </c>
      <c r="AJ123" s="70" t="str">
        <f>IF(OR(ISTEXT('TECH DATA ENTRY'!L140)=TRUE,ISTEXT('TECH DATA ENTRY'!F140)=TRUE,ISTEXT('TECH DATA ENTRY'!G140)=TRUE),"NA",(W123-AB123)/(2*MAX(M123,L123)))</f>
        <v>NA</v>
      </c>
      <c r="AK123" s="69" t="str">
        <f t="shared" si="51"/>
        <v>NA</v>
      </c>
      <c r="AM123" s="73" t="e">
        <f t="shared" si="52"/>
        <v>#VALUE!</v>
      </c>
      <c r="AN123" s="73" t="e">
        <f t="shared" si="53"/>
        <v>#VALUE!</v>
      </c>
      <c r="AO123" s="87"/>
      <c r="AP123" s="73" t="e">
        <f t="shared" si="54"/>
        <v>#VALUE!</v>
      </c>
      <c r="AQ123" s="73" t="e">
        <f t="shared" si="55"/>
        <v>#VALUE!</v>
      </c>
      <c r="AR123" s="87"/>
      <c r="AS123" s="73" t="e">
        <f t="shared" si="56"/>
        <v>#VALUE!</v>
      </c>
      <c r="AT123" s="73" t="e">
        <f t="shared" si="57"/>
        <v>#VALUE!</v>
      </c>
      <c r="AV123" s="73" t="e">
        <f t="shared" si="58"/>
        <v>#VALUE!</v>
      </c>
      <c r="AW123" s="73" t="e">
        <f t="shared" si="59"/>
        <v>#VALUE!</v>
      </c>
      <c r="AX123" s="87"/>
      <c r="AY123" s="73" t="e">
        <f t="shared" si="60"/>
        <v>#VALUE!</v>
      </c>
      <c r="AZ123" s="73" t="e">
        <f t="shared" si="61"/>
        <v>#VALUE!</v>
      </c>
      <c r="BA123" s="87"/>
      <c r="BB123" s="73" t="e">
        <f t="shared" si="62"/>
        <v>#VALUE!</v>
      </c>
      <c r="BC123" s="73" t="e">
        <f t="shared" si="63"/>
        <v>#VALUE!</v>
      </c>
    </row>
    <row r="124" spans="1:55" s="86" customFormat="1" ht="25" customHeight="1">
      <c r="A124" s="665" t="str">
        <f>IF('TECH DATA ENTRY'!A141="","",'TECH DATA ENTRY'!A141)</f>
        <v>100 mV</v>
      </c>
      <c r="B124" s="372">
        <f>IF('TECH DATA ENTRY'!B141="","",'TECH DATA ENTRY'!B141)</f>
        <v>300</v>
      </c>
      <c r="C124" s="372">
        <f>IF(B124="","",IFERROR('TECH DATA ENTRY'!F141,"NA"))</f>
        <v>299.97000000000003</v>
      </c>
      <c r="D124" s="372" t="str">
        <f>IF('TECH DATA ENTRY'!L141="","",'TECH DATA ENTRY'!L141)</f>
        <v/>
      </c>
      <c r="E124" s="372" t="str">
        <f t="shared" si="35"/>
        <v/>
      </c>
      <c r="F124" s="372">
        <f>IF(B124="","",IFERROR('TECH DATA ENTRY'!G141,"NA"))</f>
        <v>300.02999999999997</v>
      </c>
      <c r="G124" s="527" t="str">
        <f t="shared" si="36"/>
        <v/>
      </c>
      <c r="H124" s="372" t="str">
        <f>IF(OR(ISTEXT(B124)=TRUE, D124="NA",D124=""),"NA", roundsf(MAX(L124,M124),C124))</f>
        <v>NA</v>
      </c>
      <c r="I124" s="325" t="str">
        <f t="shared" si="37"/>
        <v>NA</v>
      </c>
      <c r="J124" s="299"/>
      <c r="K124" s="245"/>
      <c r="L124" s="508">
        <f t="shared" ref="L124:L125" si="64">0.00000011*B124</f>
        <v>3.3000000000000003E-5</v>
      </c>
      <c r="M124" s="244" t="str">
        <f>UNC_CALCULATION!AM113</f>
        <v>NA</v>
      </c>
      <c r="N124" s="85"/>
      <c r="O124" s="58"/>
      <c r="P124" s="69" t="e">
        <f>IF(B124="","",INDEX('AUX TABLES'!$G$4:$K$8,AV124,AW124))</f>
        <v>#VALUE!</v>
      </c>
      <c r="Q124" s="150" t="e">
        <f>IF(AJ$11=FALSE,IF(B124="","",IF(AJ124="NA",P124,INDEX('AUX TABLES'!$G$4:$K$8,AY124,AZ124))),IF(P124="FAIL",P124,INDEX('AUX TABLES'!$G$4:$K$8,AY124,AZ124)))</f>
        <v>#VALUE!</v>
      </c>
      <c r="R124" s="150" t="e">
        <f>IF(AJ$11=FALSE,IF(B124="","",IF(AJ124="NA",P124,INDEX('AUX TABLES'!$G$4:$K$8,BB124,BC124))),IF(P124="FAIL",P124,INDEX('AUX TABLES'!$G$4:$K$8,BB124,BC124)))</f>
        <v>#VALUE!</v>
      </c>
      <c r="S124" s="69" t="e">
        <f>INDEX('AUX TABLES'!$G$4:$K$8,AM124,AN124)</f>
        <v>#VALUE!</v>
      </c>
      <c r="T124" s="69" t="e">
        <f>IF(AJ$11=FALSE,IF(AJ124="NA",S124,INDEX('AUX TABLES'!$G$4:$K$8,AP124,AQ124)),IF(S124="FAIL",S124,INDEX('AUX TABLES'!$G$4:$K$8,AP124,AQ124)))</f>
        <v>#VALUE!</v>
      </c>
      <c r="U124" s="150" t="e">
        <f>IF(AJ$11=FALSE,IF(AJ124="NA",S124,INDEX('AUX TABLES'!$G$4:$K$8,AS124,AT124)),IF(S124="FAIL",S124,INDEX('AUX TABLES'!$G$4:$K$8,AS124,AT124)))</f>
        <v>#VALUE!</v>
      </c>
      <c r="V124" s="150" t="str">
        <f t="shared" si="38"/>
        <v/>
      </c>
      <c r="W124" s="74">
        <f t="shared" si="39"/>
        <v>300.02999999999997</v>
      </c>
      <c r="X124" s="74" t="str">
        <f t="shared" si="40"/>
        <v>NA</v>
      </c>
      <c r="Y124" s="74" t="str">
        <f t="shared" si="41"/>
        <v>NA</v>
      </c>
      <c r="Z124" s="74" t="str">
        <f t="shared" si="42"/>
        <v>NA</v>
      </c>
      <c r="AA124" s="74" t="str">
        <f t="shared" si="43"/>
        <v>NA</v>
      </c>
      <c r="AB124" s="74">
        <f t="shared" si="44"/>
        <v>299.97000000000003</v>
      </c>
      <c r="AC124" s="69" t="str">
        <f>IF(ISTEXT('TECH DATA ENTRY'!L141)=TRUE,"NA",'TECH DATA ENTRY'!H141)</f>
        <v>NA</v>
      </c>
      <c r="AD124" s="69" t="str">
        <f t="shared" si="45"/>
        <v>NA</v>
      </c>
      <c r="AE124" s="69" t="str">
        <f t="shared" si="46"/>
        <v>NA</v>
      </c>
      <c r="AF124" s="69" t="e">
        <f t="shared" si="47"/>
        <v>#VALUE!</v>
      </c>
      <c r="AG124" s="69" t="e">
        <f t="shared" si="48"/>
        <v>#VALUE!</v>
      </c>
      <c r="AH124" s="69" t="e">
        <f t="shared" si="49"/>
        <v>#VALUE!</v>
      </c>
      <c r="AI124" s="69" t="e">
        <f t="shared" si="50"/>
        <v>#VALUE!</v>
      </c>
      <c r="AJ124" s="70" t="str">
        <f>IF(OR(ISTEXT('TECH DATA ENTRY'!L141)=TRUE,ISTEXT('TECH DATA ENTRY'!F141)=TRUE,ISTEXT('TECH DATA ENTRY'!G141)=TRUE),"NA",(W124-AB124)/(2*MAX(M124,L124)))</f>
        <v>NA</v>
      </c>
      <c r="AK124" s="69" t="str">
        <f t="shared" si="51"/>
        <v>NA</v>
      </c>
      <c r="AM124" s="73" t="e">
        <f t="shared" si="52"/>
        <v>#VALUE!</v>
      </c>
      <c r="AN124" s="73" t="e">
        <f t="shared" si="53"/>
        <v>#VALUE!</v>
      </c>
      <c r="AO124" s="87"/>
      <c r="AP124" s="73" t="e">
        <f t="shared" si="54"/>
        <v>#VALUE!</v>
      </c>
      <c r="AQ124" s="73" t="e">
        <f t="shared" si="55"/>
        <v>#VALUE!</v>
      </c>
      <c r="AR124" s="87"/>
      <c r="AS124" s="73" t="e">
        <f t="shared" si="56"/>
        <v>#VALUE!</v>
      </c>
      <c r="AT124" s="73" t="e">
        <f t="shared" si="57"/>
        <v>#VALUE!</v>
      </c>
      <c r="AV124" s="73" t="e">
        <f t="shared" si="58"/>
        <v>#VALUE!</v>
      </c>
      <c r="AW124" s="73" t="e">
        <f t="shared" si="59"/>
        <v>#VALUE!</v>
      </c>
      <c r="AX124" s="87"/>
      <c r="AY124" s="73" t="e">
        <f t="shared" si="60"/>
        <v>#VALUE!</v>
      </c>
      <c r="AZ124" s="73" t="e">
        <f t="shared" si="61"/>
        <v>#VALUE!</v>
      </c>
      <c r="BA124" s="87"/>
      <c r="BB124" s="73" t="e">
        <f t="shared" si="62"/>
        <v>#VALUE!</v>
      </c>
      <c r="BC124" s="73" t="e">
        <f t="shared" si="63"/>
        <v>#VALUE!</v>
      </c>
    </row>
    <row r="125" spans="1:55" s="86" customFormat="1" ht="25" customHeight="1" thickBot="1">
      <c r="A125" s="666" t="str">
        <f>IF('TECH DATA ENTRY'!A142="","",'TECH DATA ENTRY'!A142)</f>
        <v/>
      </c>
      <c r="B125" s="489">
        <f>IF('TECH DATA ENTRY'!B142="","",'TECH DATA ENTRY'!B142)</f>
        <v>1</v>
      </c>
      <c r="C125" s="489">
        <f>IF(B125="","",IFERROR('TECH DATA ENTRY'!F142,"NA"))</f>
        <v>0.99990000000000001</v>
      </c>
      <c r="D125" s="489" t="str">
        <f>IF('TECH DATA ENTRY'!L142="","",'TECH DATA ENTRY'!L142)</f>
        <v/>
      </c>
      <c r="E125" s="489" t="str">
        <f t="shared" si="35"/>
        <v/>
      </c>
      <c r="F125" s="489">
        <f>IF(B125="","",IFERROR('TECH DATA ENTRY'!G142,"NA"))</f>
        <v>1.0001</v>
      </c>
      <c r="G125" s="528" t="str">
        <f t="shared" si="36"/>
        <v/>
      </c>
      <c r="H125" s="489" t="str">
        <f>IF(OR(ISTEXT(B125)=TRUE, D125="NA",D125=""),"NA", roundsf(MAX(L125,M125),C125))</f>
        <v>NA</v>
      </c>
      <c r="I125" s="486" t="str">
        <f t="shared" si="37"/>
        <v>NA</v>
      </c>
      <c r="J125" s="299"/>
      <c r="K125" s="245"/>
      <c r="L125" s="508">
        <f t="shared" si="64"/>
        <v>1.1000000000000001E-7</v>
      </c>
      <c r="M125" s="244" t="str">
        <f>UNC_CALCULATION!AM114</f>
        <v>NA</v>
      </c>
      <c r="N125" s="85"/>
      <c r="O125" s="58"/>
      <c r="P125" s="69" t="e">
        <f>IF(B125="","",INDEX('AUX TABLES'!$G$4:$K$8,AV125,AW125))</f>
        <v>#VALUE!</v>
      </c>
      <c r="Q125" s="150" t="e">
        <f>IF(AJ$11=FALSE,IF(B125="","",IF(AJ125="NA",P125,INDEX('AUX TABLES'!$G$4:$K$8,AY125,AZ125))),IF(P125="FAIL",P125,INDEX('AUX TABLES'!$G$4:$K$8,AY125,AZ125)))</f>
        <v>#VALUE!</v>
      </c>
      <c r="R125" s="150" t="e">
        <f>IF(AJ$11=FALSE,IF(B125="","",IF(AJ125="NA",P125,INDEX('AUX TABLES'!$G$4:$K$8,BB125,BC125))),IF(P125="FAIL",P125,INDEX('AUX TABLES'!$G$4:$K$8,BB125,BC125)))</f>
        <v>#VALUE!</v>
      </c>
      <c r="S125" s="69" t="e">
        <f>INDEX('AUX TABLES'!$G$4:$K$8,AM125,AN125)</f>
        <v>#VALUE!</v>
      </c>
      <c r="T125" s="69" t="e">
        <f>IF(AJ$11=FALSE,IF(AJ125="NA",S125,INDEX('AUX TABLES'!$G$4:$K$8,AP125,AQ125)),IF(S125="FAIL",S125,INDEX('AUX TABLES'!$G$4:$K$8,AP125,AQ125)))</f>
        <v>#VALUE!</v>
      </c>
      <c r="U125" s="150" t="e">
        <f>IF(AJ$11=FALSE,IF(AJ125="NA",S125,INDEX('AUX TABLES'!$G$4:$K$8,AS125,AT125)),IF(S125="FAIL",S125,INDEX('AUX TABLES'!$G$4:$K$8,AS125,AT125)))</f>
        <v>#VALUE!</v>
      </c>
      <c r="V125" s="150" t="str">
        <f t="shared" si="38"/>
        <v/>
      </c>
      <c r="W125" s="74">
        <f t="shared" si="39"/>
        <v>1.0001</v>
      </c>
      <c r="X125" s="74" t="str">
        <f t="shared" si="40"/>
        <v>NA</v>
      </c>
      <c r="Y125" s="74" t="str">
        <f t="shared" si="41"/>
        <v>NA</v>
      </c>
      <c r="Z125" s="74" t="str">
        <f t="shared" si="42"/>
        <v>NA</v>
      </c>
      <c r="AA125" s="74" t="str">
        <f t="shared" si="43"/>
        <v>NA</v>
      </c>
      <c r="AB125" s="74">
        <f t="shared" si="44"/>
        <v>0.99990000000000001</v>
      </c>
      <c r="AC125" s="69" t="str">
        <f>IF(ISTEXT('TECH DATA ENTRY'!L142)=TRUE,"NA",'TECH DATA ENTRY'!H142)</f>
        <v>NA</v>
      </c>
      <c r="AD125" s="69" t="str">
        <f t="shared" si="45"/>
        <v>NA</v>
      </c>
      <c r="AE125" s="69" t="str">
        <f t="shared" si="46"/>
        <v>NA</v>
      </c>
      <c r="AF125" s="69" t="e">
        <f t="shared" si="47"/>
        <v>#VALUE!</v>
      </c>
      <c r="AG125" s="69" t="e">
        <f t="shared" si="48"/>
        <v>#VALUE!</v>
      </c>
      <c r="AH125" s="69" t="e">
        <f t="shared" si="49"/>
        <v>#VALUE!</v>
      </c>
      <c r="AI125" s="69" t="e">
        <f t="shared" si="50"/>
        <v>#VALUE!</v>
      </c>
      <c r="AJ125" s="70" t="str">
        <f>IF(OR(ISTEXT('TECH DATA ENTRY'!L142)=TRUE,ISTEXT('TECH DATA ENTRY'!F142)=TRUE,ISTEXT('TECH DATA ENTRY'!G142)=TRUE),"NA",(W125-AB125)/(2*MAX(M125,L125)))</f>
        <v>NA</v>
      </c>
      <c r="AK125" s="69" t="str">
        <f t="shared" si="51"/>
        <v>NA</v>
      </c>
      <c r="AM125" s="73" t="e">
        <f t="shared" si="52"/>
        <v>#VALUE!</v>
      </c>
      <c r="AN125" s="73" t="e">
        <f t="shared" si="53"/>
        <v>#VALUE!</v>
      </c>
      <c r="AO125" s="87"/>
      <c r="AP125" s="73" t="e">
        <f t="shared" si="54"/>
        <v>#VALUE!</v>
      </c>
      <c r="AQ125" s="73" t="e">
        <f t="shared" si="55"/>
        <v>#VALUE!</v>
      </c>
      <c r="AR125" s="87"/>
      <c r="AS125" s="73" t="e">
        <f t="shared" si="56"/>
        <v>#VALUE!</v>
      </c>
      <c r="AT125" s="73" t="e">
        <f t="shared" si="57"/>
        <v>#VALUE!</v>
      </c>
      <c r="AV125" s="73" t="e">
        <f t="shared" si="58"/>
        <v>#VALUE!</v>
      </c>
      <c r="AW125" s="73" t="e">
        <f t="shared" si="59"/>
        <v>#VALUE!</v>
      </c>
      <c r="AX125" s="87"/>
      <c r="AY125" s="73" t="e">
        <f t="shared" si="60"/>
        <v>#VALUE!</v>
      </c>
      <c r="AZ125" s="73" t="e">
        <f t="shared" si="61"/>
        <v>#VALUE!</v>
      </c>
      <c r="BA125" s="87"/>
      <c r="BB125" s="73" t="e">
        <f t="shared" si="62"/>
        <v>#VALUE!</v>
      </c>
      <c r="BC125" s="73" t="e">
        <f t="shared" si="63"/>
        <v>#VALUE!</v>
      </c>
    </row>
    <row r="126" spans="1:55" s="1" customFormat="1" ht="34.9" customHeight="1">
      <c r="A126" s="64"/>
      <c r="B126" s="554"/>
      <c r="C126" s="554"/>
      <c r="D126" s="554"/>
      <c r="E126" s="554"/>
      <c r="F126" s="554"/>
      <c r="G126" s="554"/>
      <c r="H126" s="554"/>
      <c r="I126" s="555"/>
      <c r="J126" s="56"/>
      <c r="K126" s="56"/>
      <c r="L126" s="58"/>
      <c r="M126" s="58"/>
      <c r="N126" s="31"/>
      <c r="O126" s="77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AP126" s="267"/>
    </row>
    <row r="127" spans="1:55" s="296" customFormat="1" ht="28.15" customHeight="1">
      <c r="A127" s="289" t="str">
        <f>IF('TECH DATA ENTRY'!A144="","",'TECH DATA ENTRY'!A144)</f>
        <v>Resistance Accuracy</v>
      </c>
      <c r="B127" s="293"/>
      <c r="C127" s="294"/>
      <c r="D127" s="293"/>
      <c r="E127" s="293"/>
      <c r="F127" s="293"/>
      <c r="G127" s="294"/>
      <c r="H127" s="293"/>
      <c r="I127" s="295"/>
      <c r="J127" s="224"/>
      <c r="K127" s="224"/>
      <c r="L127" s="224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AK127" s="297"/>
    </row>
    <row r="128" spans="1:55" s="31" customFormat="1" ht="22.15" customHeight="1">
      <c r="A128" s="76" t="str">
        <f>IF('TECH DATA ENTRY'!A145="","",'TECH DATA ENTRY'!A145)</f>
        <v>Four-wire</v>
      </c>
      <c r="H128" s="321"/>
      <c r="O128" s="77"/>
      <c r="AK128" s="1"/>
      <c r="AM128" s="637" t="s">
        <v>116</v>
      </c>
      <c r="AN128" s="637"/>
      <c r="AO128" s="637"/>
      <c r="AP128" s="637"/>
      <c r="AQ128" s="637"/>
      <c r="AR128" s="637"/>
      <c r="AS128" s="637"/>
      <c r="AT128" s="637"/>
      <c r="AV128" s="637" t="s">
        <v>117</v>
      </c>
      <c r="AW128" s="637"/>
      <c r="AX128" s="637"/>
      <c r="AY128" s="637"/>
      <c r="AZ128" s="637"/>
      <c r="BA128" s="637"/>
      <c r="BB128" s="637"/>
      <c r="BC128" s="637"/>
    </row>
    <row r="129" spans="1:55" s="225" customFormat="1" ht="4.9000000000000004" customHeight="1" thickBot="1">
      <c r="A129" s="288" t="str">
        <f>IF('TECH DATA ENTRY'!A146="","",'TECH DATA ENTRY'!A146)</f>
        <v/>
      </c>
      <c r="K129" s="239"/>
      <c r="L129" s="239"/>
      <c r="AK129" s="240"/>
    </row>
    <row r="130" spans="1:55" s="285" customFormat="1" ht="20.149999999999999" customHeight="1">
      <c r="A130" s="644" t="str">
        <f>IF('TECH DATA ENTRY'!A147="","",'TECH DATA ENTRY'!A147)</f>
        <v>Range</v>
      </c>
      <c r="B130" s="646" t="str">
        <f>IF('TECH DATA ENTRY'!B147="","",'TECH DATA ENTRY'!B147)</f>
        <v>Nominal</v>
      </c>
      <c r="C130" s="648" t="s">
        <v>2</v>
      </c>
      <c r="D130" s="648" t="str">
        <f>IF(LEFT(P$11,3)="ROV", "Measured Value", "As Found")</f>
        <v>As Found</v>
      </c>
      <c r="E130" s="648" t="str">
        <f>IF(LEFT(P$11,3)="ROV", "Correction", "As Left")</f>
        <v>As Left</v>
      </c>
      <c r="F130" s="648" t="s">
        <v>3</v>
      </c>
      <c r="G130" s="653" t="s">
        <v>4</v>
      </c>
      <c r="H130" s="659" t="s">
        <v>30</v>
      </c>
      <c r="I130" s="661" t="s">
        <v>28</v>
      </c>
      <c r="J130" s="284"/>
      <c r="L130" s="658" t="s">
        <v>38</v>
      </c>
      <c r="M130" s="616" t="s">
        <v>31</v>
      </c>
      <c r="N130" s="281"/>
      <c r="O130" s="286"/>
      <c r="P130" s="640" t="s">
        <v>136</v>
      </c>
      <c r="Q130" s="641"/>
      <c r="R130" s="642"/>
      <c r="S130" s="638" t="s">
        <v>115</v>
      </c>
      <c r="T130" s="638"/>
      <c r="U130" s="638"/>
      <c r="V130" s="638"/>
      <c r="W130" s="640" t="s">
        <v>64</v>
      </c>
      <c r="X130" s="641"/>
      <c r="Y130" s="641"/>
      <c r="Z130" s="641"/>
      <c r="AA130" s="641"/>
      <c r="AB130" s="642"/>
      <c r="AC130" s="638" t="s">
        <v>97</v>
      </c>
      <c r="AD130" s="638"/>
      <c r="AE130" s="638"/>
      <c r="AF130" s="638" t="s">
        <v>127</v>
      </c>
      <c r="AG130" s="638"/>
      <c r="AH130" s="638" t="s">
        <v>128</v>
      </c>
      <c r="AI130" s="638"/>
      <c r="AJ130" s="638" t="s">
        <v>28</v>
      </c>
      <c r="AK130" s="638" t="s">
        <v>121</v>
      </c>
      <c r="AL130" s="308"/>
      <c r="AM130" s="639" t="s">
        <v>122</v>
      </c>
      <c r="AN130" s="639"/>
      <c r="AO130" s="308"/>
      <c r="AP130" s="639" t="s">
        <v>119</v>
      </c>
      <c r="AQ130" s="639"/>
      <c r="AR130" s="308"/>
      <c r="AS130" s="639" t="s">
        <v>120</v>
      </c>
      <c r="AT130" s="639"/>
      <c r="AU130" s="308"/>
      <c r="AV130" s="639" t="s">
        <v>122</v>
      </c>
      <c r="AW130" s="639"/>
      <c r="AX130" s="308"/>
      <c r="AY130" s="639" t="s">
        <v>119</v>
      </c>
      <c r="AZ130" s="639"/>
      <c r="BA130" s="308"/>
      <c r="BB130" s="639" t="s">
        <v>120</v>
      </c>
      <c r="BC130" s="639"/>
    </row>
    <row r="131" spans="1:55" s="285" customFormat="1" ht="20.149999999999999" customHeight="1" thickBot="1">
      <c r="A131" s="645"/>
      <c r="B131" s="647"/>
      <c r="C131" s="649"/>
      <c r="D131" s="649"/>
      <c r="E131" s="649"/>
      <c r="F131" s="649"/>
      <c r="G131" s="654"/>
      <c r="H131" s="660"/>
      <c r="I131" s="662"/>
      <c r="J131" s="284"/>
      <c r="L131" s="649"/>
      <c r="M131" s="617"/>
      <c r="O131" s="281"/>
      <c r="P131" s="309" t="s">
        <v>122</v>
      </c>
      <c r="Q131" s="309" t="s">
        <v>119</v>
      </c>
      <c r="R131" s="309" t="s">
        <v>120</v>
      </c>
      <c r="S131" s="309" t="s">
        <v>122</v>
      </c>
      <c r="T131" s="309" t="s">
        <v>119</v>
      </c>
      <c r="U131" s="309" t="s">
        <v>120</v>
      </c>
      <c r="V131" s="309" t="s">
        <v>118</v>
      </c>
      <c r="W131" s="309" t="s">
        <v>63</v>
      </c>
      <c r="X131" s="309" t="s">
        <v>69</v>
      </c>
      <c r="Y131" s="309" t="s">
        <v>71</v>
      </c>
      <c r="Z131" s="309" t="s">
        <v>72</v>
      </c>
      <c r="AA131" s="309" t="s">
        <v>70</v>
      </c>
      <c r="AB131" s="309" t="s">
        <v>75</v>
      </c>
      <c r="AC131" s="309" t="s">
        <v>78</v>
      </c>
      <c r="AD131" s="309" t="s">
        <v>119</v>
      </c>
      <c r="AE131" s="309" t="s">
        <v>120</v>
      </c>
      <c r="AF131" s="309" t="s">
        <v>129</v>
      </c>
      <c r="AG131" s="309" t="s">
        <v>130</v>
      </c>
      <c r="AH131" s="309" t="s">
        <v>129</v>
      </c>
      <c r="AI131" s="309" t="s">
        <v>130</v>
      </c>
      <c r="AJ131" s="652"/>
      <c r="AK131" s="652"/>
      <c r="AL131" s="308"/>
      <c r="AM131" s="310" t="s">
        <v>67</v>
      </c>
      <c r="AN131" s="310" t="s">
        <v>68</v>
      </c>
      <c r="AO131" s="308"/>
      <c r="AP131" s="310" t="s">
        <v>67</v>
      </c>
      <c r="AQ131" s="310" t="s">
        <v>68</v>
      </c>
      <c r="AR131" s="308"/>
      <c r="AS131" s="310" t="s">
        <v>67</v>
      </c>
      <c r="AT131" s="310" t="s">
        <v>68</v>
      </c>
      <c r="AU131" s="308"/>
      <c r="AV131" s="310" t="s">
        <v>67</v>
      </c>
      <c r="AW131" s="310" t="s">
        <v>68</v>
      </c>
      <c r="AX131" s="308"/>
      <c r="AY131" s="310" t="s">
        <v>67</v>
      </c>
      <c r="AZ131" s="310" t="s">
        <v>68</v>
      </c>
      <c r="BA131" s="308"/>
      <c r="BB131" s="310" t="s">
        <v>67</v>
      </c>
      <c r="BC131" s="310" t="s">
        <v>68</v>
      </c>
    </row>
    <row r="132" spans="1:55" s="86" customFormat="1" ht="25" customHeight="1" thickTop="1">
      <c r="A132" s="670" t="str">
        <f>IF('TECH DATA ENTRY'!A149="","",'TECH DATA ENTRY'!A149)</f>
        <v>10 Ω</v>
      </c>
      <c r="B132" s="378">
        <f>IF('TECH DATA ENTRY'!B149="","",'TECH DATA ENTRY'!B149)</f>
        <v>0</v>
      </c>
      <c r="C132" s="378">
        <f>IF(B132="","",IFERROR('TECH DATA ENTRY'!F149,"NA"))</f>
        <v>0</v>
      </c>
      <c r="D132" s="378" t="str">
        <f>IF('TECH DATA ENTRY'!L149="","",'TECH DATA ENTRY'!L149)</f>
        <v/>
      </c>
      <c r="E132" s="378" t="str">
        <f t="shared" si="35"/>
        <v/>
      </c>
      <c r="F132" s="378">
        <f>IF(B132="","",IFERROR('TECH DATA ENTRY'!G149,"NA"))</f>
        <v>3.0000000000000001E-3</v>
      </c>
      <c r="G132" s="529" t="str">
        <f t="shared" si="36"/>
        <v/>
      </c>
      <c r="H132" s="378" t="str">
        <f>IF(OR(ISTEXT(B132)=TRUE, D132="NA",D132=""),"NA", roundsf(MAX(L132,M132),C132))</f>
        <v>NA</v>
      </c>
      <c r="I132" s="325" t="str">
        <f t="shared" si="37"/>
        <v>NA</v>
      </c>
      <c r="J132" s="299"/>
      <c r="K132" s="245"/>
      <c r="L132" s="506">
        <f>(51/1000000)*B132+(1/1000)</f>
        <v>1E-3</v>
      </c>
      <c r="M132" s="244" t="str">
        <f>UNC_CALCULATION!AM121</f>
        <v>NA</v>
      </c>
      <c r="N132" s="85"/>
      <c r="O132" s="58"/>
      <c r="P132" s="69" t="e">
        <f>IF(B132="","",INDEX('AUX TABLES'!$G$4:$K$8,AV132,AW132))</f>
        <v>#VALUE!</v>
      </c>
      <c r="Q132" s="150" t="e">
        <f>IF(AJ$11=FALSE,IF(B132="","",IF(AJ132="NA",P132,INDEX('AUX TABLES'!$G$4:$K$8,AY132,AZ132))),IF(P132="FAIL",P132,INDEX('AUX TABLES'!$G$4:$K$8,AY132,AZ132)))</f>
        <v>#VALUE!</v>
      </c>
      <c r="R132" s="150" t="e">
        <f>IF(AJ$11=FALSE,IF(B132="","",IF(AJ132="NA",P132,INDEX('AUX TABLES'!$G$4:$K$8,BB132,BC132))),IF(P132="FAIL",P132,INDEX('AUX TABLES'!$G$4:$K$8,BB132,BC132)))</f>
        <v>#VALUE!</v>
      </c>
      <c r="S132" s="69" t="e">
        <f>INDEX('AUX TABLES'!$G$4:$K$8,AM132,AN132)</f>
        <v>#VALUE!</v>
      </c>
      <c r="T132" s="69" t="e">
        <f>IF(AJ$11=FALSE,IF(AJ132="NA",S132,INDEX('AUX TABLES'!$G$4:$K$8,AP132,AQ132)),IF(S132="FAIL",S132,INDEX('AUX TABLES'!$G$4:$K$8,AP132,AQ132)))</f>
        <v>#VALUE!</v>
      </c>
      <c r="U132" s="150" t="e">
        <f>IF(AJ$11=FALSE,IF(AJ132="NA",S132,INDEX('AUX TABLES'!$G$4:$K$8,AS132,AT132)),IF(S132="FAIL",S132,INDEX('AUX TABLES'!$G$4:$K$8,AS132,AT132)))</f>
        <v>#VALUE!</v>
      </c>
      <c r="V132" s="150" t="str">
        <f t="shared" si="38"/>
        <v/>
      </c>
      <c r="W132" s="74">
        <f t="shared" si="39"/>
        <v>3.0000000000000001E-3</v>
      </c>
      <c r="X132" s="74" t="str">
        <f t="shared" si="40"/>
        <v>NA</v>
      </c>
      <c r="Y132" s="74" t="str">
        <f t="shared" si="41"/>
        <v>NA</v>
      </c>
      <c r="Z132" s="74" t="str">
        <f t="shared" si="42"/>
        <v>NA</v>
      </c>
      <c r="AA132" s="74" t="str">
        <f t="shared" si="43"/>
        <v>NA</v>
      </c>
      <c r="AB132" s="74">
        <f t="shared" si="44"/>
        <v>0</v>
      </c>
      <c r="AC132" s="69" t="str">
        <f>IF(ISTEXT('TECH DATA ENTRY'!L149)=TRUE,"NA",'TECH DATA ENTRY'!H149)</f>
        <v>NA</v>
      </c>
      <c r="AD132" s="69" t="str">
        <f t="shared" si="45"/>
        <v>NA</v>
      </c>
      <c r="AE132" s="69" t="str">
        <f t="shared" si="46"/>
        <v>NA</v>
      </c>
      <c r="AF132" s="69" t="e">
        <f t="shared" si="47"/>
        <v>#VALUE!</v>
      </c>
      <c r="AG132" s="69" t="e">
        <f t="shared" si="48"/>
        <v>#VALUE!</v>
      </c>
      <c r="AH132" s="69" t="e">
        <f t="shared" si="49"/>
        <v>#VALUE!</v>
      </c>
      <c r="AI132" s="69" t="e">
        <f t="shared" si="50"/>
        <v>#VALUE!</v>
      </c>
      <c r="AJ132" s="70" t="str">
        <f>IF(OR(ISTEXT('TECH DATA ENTRY'!L149)=TRUE,ISTEXT('TECH DATA ENTRY'!F149)=TRUE,ISTEXT('TECH DATA ENTRY'!G149)=TRUE),"NA",(W132-AB132)/(2*MAX(M132,L132)))</f>
        <v>NA</v>
      </c>
      <c r="AK132" s="69" t="str">
        <f t="shared" si="51"/>
        <v>NA</v>
      </c>
      <c r="AM132" s="73" t="e">
        <f t="shared" si="52"/>
        <v>#VALUE!</v>
      </c>
      <c r="AN132" s="73" t="e">
        <f t="shared" si="53"/>
        <v>#VALUE!</v>
      </c>
      <c r="AO132" s="87"/>
      <c r="AP132" s="73" t="e">
        <f t="shared" si="54"/>
        <v>#VALUE!</v>
      </c>
      <c r="AQ132" s="73" t="e">
        <f t="shared" si="55"/>
        <v>#VALUE!</v>
      </c>
      <c r="AR132" s="87"/>
      <c r="AS132" s="73" t="e">
        <f t="shared" si="56"/>
        <v>#VALUE!</v>
      </c>
      <c r="AT132" s="73" t="e">
        <f t="shared" si="57"/>
        <v>#VALUE!</v>
      </c>
      <c r="AV132" s="73" t="e">
        <f t="shared" si="58"/>
        <v>#VALUE!</v>
      </c>
      <c r="AW132" s="73" t="e">
        <f t="shared" si="59"/>
        <v>#VALUE!</v>
      </c>
      <c r="AX132" s="87"/>
      <c r="AY132" s="73" t="e">
        <f t="shared" si="60"/>
        <v>#VALUE!</v>
      </c>
      <c r="AZ132" s="73" t="e">
        <f t="shared" si="61"/>
        <v>#VALUE!</v>
      </c>
      <c r="BA132" s="87"/>
      <c r="BB132" s="73" t="e">
        <f t="shared" si="62"/>
        <v>#VALUE!</v>
      </c>
      <c r="BC132" s="73" t="e">
        <f t="shared" si="63"/>
        <v>#VALUE!</v>
      </c>
    </row>
    <row r="133" spans="1:55" s="86" customFormat="1" ht="25" customHeight="1">
      <c r="A133" s="669" t="str">
        <f>IF('TECH DATA ENTRY'!A150="","",'TECH DATA ENTRY'!A150)</f>
        <v/>
      </c>
      <c r="B133" s="378">
        <f>IF('TECH DATA ENTRY'!B150="","",'TECH DATA ENTRY'!B150)</f>
        <v>10</v>
      </c>
      <c r="C133" s="378">
        <f>IF(B133="","",IFERROR('TECH DATA ENTRY'!F150,"NA"))</f>
        <v>9.9960000000000004</v>
      </c>
      <c r="D133" s="378" t="str">
        <f>IF('TECH DATA ENTRY'!L150="","",'TECH DATA ENTRY'!L150)</f>
        <v/>
      </c>
      <c r="E133" s="378" t="str">
        <f t="shared" si="35"/>
        <v/>
      </c>
      <c r="F133" s="378">
        <f>IF(B133="","",IFERROR('TECH DATA ENTRY'!G150,"NA"))</f>
        <v>10.004</v>
      </c>
      <c r="G133" s="529" t="str">
        <f t="shared" si="36"/>
        <v/>
      </c>
      <c r="H133" s="378" t="str">
        <f>IF(OR(ISTEXT(B133)=TRUE, D133="NA",D133=""),"NA", roundsf(MAX(L133,M133),C133))</f>
        <v>NA</v>
      </c>
      <c r="I133" s="325" t="str">
        <f t="shared" si="37"/>
        <v>NA</v>
      </c>
      <c r="J133" s="299"/>
      <c r="K133" s="245"/>
      <c r="L133" s="506">
        <f>(51/1000000)*B133+(1/1000)</f>
        <v>1.5100000000000001E-3</v>
      </c>
      <c r="M133" s="244" t="str">
        <f>UNC_CALCULATION!AM122</f>
        <v>NA</v>
      </c>
      <c r="N133" s="85"/>
      <c r="O133" s="58"/>
      <c r="P133" s="69" t="e">
        <f>IF(B133="","",INDEX('AUX TABLES'!$G$4:$K$8,AV133,AW133))</f>
        <v>#VALUE!</v>
      </c>
      <c r="Q133" s="150" t="e">
        <f>IF(AJ$11=FALSE,IF(B133="","",IF(AJ133="NA",P133,INDEX('AUX TABLES'!$G$4:$K$8,AY133,AZ133))),IF(P133="FAIL",P133,INDEX('AUX TABLES'!$G$4:$K$8,AY133,AZ133)))</f>
        <v>#VALUE!</v>
      </c>
      <c r="R133" s="150" t="e">
        <f>IF(AJ$11=FALSE,IF(B133="","",IF(AJ133="NA",P133,INDEX('AUX TABLES'!$G$4:$K$8,BB133,BC133))),IF(P133="FAIL",P133,INDEX('AUX TABLES'!$G$4:$K$8,BB133,BC133)))</f>
        <v>#VALUE!</v>
      </c>
      <c r="S133" s="69" t="e">
        <f>INDEX('AUX TABLES'!$G$4:$K$8,AM133,AN133)</f>
        <v>#VALUE!</v>
      </c>
      <c r="T133" s="69" t="e">
        <f>IF(AJ$11=FALSE,IF(AJ133="NA",S133,INDEX('AUX TABLES'!$G$4:$K$8,AP133,AQ133)),IF(S133="FAIL",S133,INDEX('AUX TABLES'!$G$4:$K$8,AP133,AQ133)))</f>
        <v>#VALUE!</v>
      </c>
      <c r="U133" s="150" t="e">
        <f>IF(AJ$11=FALSE,IF(AJ133="NA",S133,INDEX('AUX TABLES'!$G$4:$K$8,AS133,AT133)),IF(S133="FAIL",S133,INDEX('AUX TABLES'!$G$4:$K$8,AS133,AT133)))</f>
        <v>#VALUE!</v>
      </c>
      <c r="V133" s="150" t="str">
        <f t="shared" si="38"/>
        <v/>
      </c>
      <c r="W133" s="74">
        <f t="shared" si="39"/>
        <v>10.004</v>
      </c>
      <c r="X133" s="74" t="str">
        <f t="shared" si="40"/>
        <v>NA</v>
      </c>
      <c r="Y133" s="74" t="str">
        <f t="shared" si="41"/>
        <v>NA</v>
      </c>
      <c r="Z133" s="74" t="str">
        <f t="shared" si="42"/>
        <v>NA</v>
      </c>
      <c r="AA133" s="74" t="str">
        <f t="shared" si="43"/>
        <v>NA</v>
      </c>
      <c r="AB133" s="74">
        <f t="shared" si="44"/>
        <v>9.9960000000000004</v>
      </c>
      <c r="AC133" s="69" t="str">
        <f>IF(ISTEXT('TECH DATA ENTRY'!L150)=TRUE,"NA",'TECH DATA ENTRY'!H150)</f>
        <v>NA</v>
      </c>
      <c r="AD133" s="69" t="str">
        <f t="shared" si="45"/>
        <v>NA</v>
      </c>
      <c r="AE133" s="69" t="str">
        <f t="shared" si="46"/>
        <v>NA</v>
      </c>
      <c r="AF133" s="69" t="e">
        <f t="shared" si="47"/>
        <v>#VALUE!</v>
      </c>
      <c r="AG133" s="69" t="e">
        <f t="shared" si="48"/>
        <v>#VALUE!</v>
      </c>
      <c r="AH133" s="69" t="e">
        <f t="shared" si="49"/>
        <v>#VALUE!</v>
      </c>
      <c r="AI133" s="69" t="e">
        <f t="shared" si="50"/>
        <v>#VALUE!</v>
      </c>
      <c r="AJ133" s="70" t="str">
        <f>IF(OR(ISTEXT('TECH DATA ENTRY'!L150)=TRUE,ISTEXT('TECH DATA ENTRY'!F150)=TRUE,ISTEXT('TECH DATA ENTRY'!G150)=TRUE),"NA",(W133-AB133)/(2*MAX(M133,L133)))</f>
        <v>NA</v>
      </c>
      <c r="AK133" s="69" t="str">
        <f t="shared" si="51"/>
        <v>NA</v>
      </c>
      <c r="AM133" s="73" t="e">
        <f t="shared" si="52"/>
        <v>#VALUE!</v>
      </c>
      <c r="AN133" s="73" t="e">
        <f t="shared" si="53"/>
        <v>#VALUE!</v>
      </c>
      <c r="AO133" s="87"/>
      <c r="AP133" s="73" t="e">
        <f t="shared" si="54"/>
        <v>#VALUE!</v>
      </c>
      <c r="AQ133" s="73" t="e">
        <f t="shared" si="55"/>
        <v>#VALUE!</v>
      </c>
      <c r="AR133" s="87"/>
      <c r="AS133" s="73" t="e">
        <f t="shared" si="56"/>
        <v>#VALUE!</v>
      </c>
      <c r="AT133" s="73" t="e">
        <f t="shared" si="57"/>
        <v>#VALUE!</v>
      </c>
      <c r="AV133" s="73" t="e">
        <f t="shared" si="58"/>
        <v>#VALUE!</v>
      </c>
      <c r="AW133" s="73" t="e">
        <f t="shared" si="59"/>
        <v>#VALUE!</v>
      </c>
      <c r="AX133" s="87"/>
      <c r="AY133" s="73" t="e">
        <f t="shared" si="60"/>
        <v>#VALUE!</v>
      </c>
      <c r="AZ133" s="73" t="e">
        <f t="shared" si="61"/>
        <v>#VALUE!</v>
      </c>
      <c r="BA133" s="87"/>
      <c r="BB133" s="73" t="e">
        <f t="shared" si="62"/>
        <v>#VALUE!</v>
      </c>
      <c r="BC133" s="73" t="e">
        <f t="shared" si="63"/>
        <v>#VALUE!</v>
      </c>
    </row>
    <row r="134" spans="1:55" s="86" customFormat="1" ht="25" customHeight="1">
      <c r="A134" s="665" t="str">
        <f>IF('TECH DATA ENTRY'!A151="","",'TECH DATA ENTRY'!A151)</f>
        <v>100 Ω</v>
      </c>
      <c r="B134" s="381">
        <f>IF('TECH DATA ENTRY'!B151="","",'TECH DATA ENTRY'!B151)</f>
        <v>0</v>
      </c>
      <c r="C134" s="381">
        <f>IF(B134="","",IFERROR('TECH DATA ENTRY'!F151,"NA"))</f>
        <v>0</v>
      </c>
      <c r="D134" s="381" t="str">
        <f>IF('TECH DATA ENTRY'!L151="","",'TECH DATA ENTRY'!L151)</f>
        <v/>
      </c>
      <c r="E134" s="381" t="str">
        <f t="shared" si="35"/>
        <v/>
      </c>
      <c r="F134" s="381">
        <f>IF(B134="","",IFERROR('TECH DATA ENTRY'!G151,"NA"))</f>
        <v>4.0000000000000001E-3</v>
      </c>
      <c r="G134" s="530" t="str">
        <f t="shared" si="36"/>
        <v/>
      </c>
      <c r="H134" s="381" t="str">
        <f>IF(OR(ISTEXT(B134)=TRUE, D134="NA",D134=""),"NA", roundsf(MAX(L134,M134),C134))</f>
        <v>NA</v>
      </c>
      <c r="I134" s="325" t="str">
        <f t="shared" si="37"/>
        <v>NA</v>
      </c>
      <c r="J134" s="299"/>
      <c r="K134" s="245"/>
      <c r="L134" s="506">
        <f>(32/1000000)*B134+(1.4/1000)</f>
        <v>1.4E-3</v>
      </c>
      <c r="M134" s="244" t="str">
        <f>UNC_CALCULATION!AM123</f>
        <v>NA</v>
      </c>
      <c r="N134" s="85"/>
      <c r="O134" s="58"/>
      <c r="P134" s="69" t="e">
        <f>IF(B134="","",INDEX('AUX TABLES'!$G$4:$K$8,AV134,AW134))</f>
        <v>#VALUE!</v>
      </c>
      <c r="Q134" s="150" t="e">
        <f>IF(AJ$11=FALSE,IF(B134="","",IF(AJ134="NA",P134,INDEX('AUX TABLES'!$G$4:$K$8,AY134,AZ134))),IF(P134="FAIL",P134,INDEX('AUX TABLES'!$G$4:$K$8,AY134,AZ134)))</f>
        <v>#VALUE!</v>
      </c>
      <c r="R134" s="150" t="e">
        <f>IF(AJ$11=FALSE,IF(B134="","",IF(AJ134="NA",P134,INDEX('AUX TABLES'!$G$4:$K$8,BB134,BC134))),IF(P134="FAIL",P134,INDEX('AUX TABLES'!$G$4:$K$8,BB134,BC134)))</f>
        <v>#VALUE!</v>
      </c>
      <c r="S134" s="69" t="e">
        <f>INDEX('AUX TABLES'!$G$4:$K$8,AM134,AN134)</f>
        <v>#VALUE!</v>
      </c>
      <c r="T134" s="69" t="e">
        <f>IF(AJ$11=FALSE,IF(AJ134="NA",S134,INDEX('AUX TABLES'!$G$4:$K$8,AP134,AQ134)),IF(S134="FAIL",S134,INDEX('AUX TABLES'!$G$4:$K$8,AP134,AQ134)))</f>
        <v>#VALUE!</v>
      </c>
      <c r="U134" s="150" t="e">
        <f>IF(AJ$11=FALSE,IF(AJ134="NA",S134,INDEX('AUX TABLES'!$G$4:$K$8,AS134,AT134)),IF(S134="FAIL",S134,INDEX('AUX TABLES'!$G$4:$K$8,AS134,AT134)))</f>
        <v>#VALUE!</v>
      </c>
      <c r="V134" s="150" t="str">
        <f t="shared" si="38"/>
        <v/>
      </c>
      <c r="W134" s="74">
        <f t="shared" si="39"/>
        <v>4.0000000000000001E-3</v>
      </c>
      <c r="X134" s="74" t="str">
        <f t="shared" si="40"/>
        <v>NA</v>
      </c>
      <c r="Y134" s="74" t="str">
        <f t="shared" si="41"/>
        <v>NA</v>
      </c>
      <c r="Z134" s="74" t="str">
        <f t="shared" si="42"/>
        <v>NA</v>
      </c>
      <c r="AA134" s="74" t="str">
        <f t="shared" si="43"/>
        <v>NA</v>
      </c>
      <c r="AB134" s="74">
        <f t="shared" si="44"/>
        <v>0</v>
      </c>
      <c r="AC134" s="69" t="str">
        <f>IF(ISTEXT('TECH DATA ENTRY'!L151)=TRUE,"NA",'TECH DATA ENTRY'!H151)</f>
        <v>NA</v>
      </c>
      <c r="AD134" s="69" t="str">
        <f t="shared" si="45"/>
        <v>NA</v>
      </c>
      <c r="AE134" s="69" t="str">
        <f t="shared" si="46"/>
        <v>NA</v>
      </c>
      <c r="AF134" s="69" t="e">
        <f t="shared" si="47"/>
        <v>#VALUE!</v>
      </c>
      <c r="AG134" s="69" t="e">
        <f t="shared" si="48"/>
        <v>#VALUE!</v>
      </c>
      <c r="AH134" s="69" t="e">
        <f t="shared" si="49"/>
        <v>#VALUE!</v>
      </c>
      <c r="AI134" s="69" t="e">
        <f t="shared" si="50"/>
        <v>#VALUE!</v>
      </c>
      <c r="AJ134" s="70" t="str">
        <f>IF(OR(ISTEXT('TECH DATA ENTRY'!L151)=TRUE,ISTEXT('TECH DATA ENTRY'!F151)=TRUE,ISTEXT('TECH DATA ENTRY'!G151)=TRUE),"NA",(W134-AB134)/(2*MAX(M134,L134)))</f>
        <v>NA</v>
      </c>
      <c r="AK134" s="69" t="str">
        <f t="shared" si="51"/>
        <v>NA</v>
      </c>
      <c r="AM134" s="73" t="e">
        <f t="shared" si="52"/>
        <v>#VALUE!</v>
      </c>
      <c r="AN134" s="73" t="e">
        <f t="shared" si="53"/>
        <v>#VALUE!</v>
      </c>
      <c r="AO134" s="87"/>
      <c r="AP134" s="73" t="e">
        <f t="shared" si="54"/>
        <v>#VALUE!</v>
      </c>
      <c r="AQ134" s="73" t="e">
        <f t="shared" si="55"/>
        <v>#VALUE!</v>
      </c>
      <c r="AR134" s="87"/>
      <c r="AS134" s="73" t="e">
        <f t="shared" si="56"/>
        <v>#VALUE!</v>
      </c>
      <c r="AT134" s="73" t="e">
        <f t="shared" si="57"/>
        <v>#VALUE!</v>
      </c>
      <c r="AV134" s="73" t="e">
        <f t="shared" si="58"/>
        <v>#VALUE!</v>
      </c>
      <c r="AW134" s="73" t="e">
        <f t="shared" si="59"/>
        <v>#VALUE!</v>
      </c>
      <c r="AX134" s="87"/>
      <c r="AY134" s="73" t="e">
        <f t="shared" si="60"/>
        <v>#VALUE!</v>
      </c>
      <c r="AZ134" s="73" t="e">
        <f t="shared" si="61"/>
        <v>#VALUE!</v>
      </c>
      <c r="BA134" s="87"/>
      <c r="BB134" s="73" t="e">
        <f t="shared" si="62"/>
        <v>#VALUE!</v>
      </c>
      <c r="BC134" s="73" t="e">
        <f t="shared" si="63"/>
        <v>#VALUE!</v>
      </c>
    </row>
    <row r="135" spans="1:55" s="86" customFormat="1" ht="25" customHeight="1">
      <c r="A135" s="669" t="str">
        <f>IF('TECH DATA ENTRY'!A152="","",'TECH DATA ENTRY'!A152)</f>
        <v/>
      </c>
      <c r="B135" s="381">
        <f>IF('TECH DATA ENTRY'!B152="","",'TECH DATA ENTRY'!B152)</f>
        <v>100</v>
      </c>
      <c r="C135" s="381">
        <f>IF(B135="","",IFERROR('TECH DATA ENTRY'!F152,"NA"))</f>
        <v>99.986000000000004</v>
      </c>
      <c r="D135" s="381" t="str">
        <f>IF('TECH DATA ENTRY'!L152="","",'TECH DATA ENTRY'!L152)</f>
        <v/>
      </c>
      <c r="E135" s="381" t="str">
        <f t="shared" si="35"/>
        <v/>
      </c>
      <c r="F135" s="381">
        <f>IF(B135="","",IFERROR('TECH DATA ENTRY'!G152,"NA"))</f>
        <v>100.014</v>
      </c>
      <c r="G135" s="530" t="str">
        <f t="shared" si="36"/>
        <v/>
      </c>
      <c r="H135" s="381" t="str">
        <f>IF(OR(ISTEXT(B135)=TRUE, D135="NA",D135=""),"NA", roundsf(MAX(L135,M135),C135))</f>
        <v>NA</v>
      </c>
      <c r="I135" s="325" t="str">
        <f t="shared" si="37"/>
        <v>NA</v>
      </c>
      <c r="J135" s="299"/>
      <c r="K135" s="245"/>
      <c r="L135" s="506">
        <f>(32/1000000)*B135+(1.4/1000)</f>
        <v>4.5999999999999999E-3</v>
      </c>
      <c r="M135" s="244" t="str">
        <f>UNC_CALCULATION!AM124</f>
        <v>NA</v>
      </c>
      <c r="N135" s="85"/>
      <c r="O135" s="58"/>
      <c r="P135" s="69" t="e">
        <f>IF(B135="","",INDEX('AUX TABLES'!$G$4:$K$8,AV135,AW135))</f>
        <v>#VALUE!</v>
      </c>
      <c r="Q135" s="150" t="e">
        <f>IF(AJ$11=FALSE,IF(B135="","",IF(AJ135="NA",P135,INDEX('AUX TABLES'!$G$4:$K$8,AY135,AZ135))),IF(P135="FAIL",P135,INDEX('AUX TABLES'!$G$4:$K$8,AY135,AZ135)))</f>
        <v>#VALUE!</v>
      </c>
      <c r="R135" s="150" t="e">
        <f>IF(AJ$11=FALSE,IF(B135="","",IF(AJ135="NA",P135,INDEX('AUX TABLES'!$G$4:$K$8,BB135,BC135))),IF(P135="FAIL",P135,INDEX('AUX TABLES'!$G$4:$K$8,BB135,BC135)))</f>
        <v>#VALUE!</v>
      </c>
      <c r="S135" s="69" t="e">
        <f>INDEX('AUX TABLES'!$G$4:$K$8,AM135,AN135)</f>
        <v>#VALUE!</v>
      </c>
      <c r="T135" s="69" t="e">
        <f>IF(AJ$11=FALSE,IF(AJ135="NA",S135,INDEX('AUX TABLES'!$G$4:$K$8,AP135,AQ135)),IF(S135="FAIL",S135,INDEX('AUX TABLES'!$G$4:$K$8,AP135,AQ135)))</f>
        <v>#VALUE!</v>
      </c>
      <c r="U135" s="150" t="e">
        <f>IF(AJ$11=FALSE,IF(AJ135="NA",S135,INDEX('AUX TABLES'!$G$4:$K$8,AS135,AT135)),IF(S135="FAIL",S135,INDEX('AUX TABLES'!$G$4:$K$8,AS135,AT135)))</f>
        <v>#VALUE!</v>
      </c>
      <c r="V135" s="150" t="str">
        <f t="shared" si="38"/>
        <v/>
      </c>
      <c r="W135" s="74">
        <f t="shared" si="39"/>
        <v>100.014</v>
      </c>
      <c r="X135" s="74" t="str">
        <f t="shared" si="40"/>
        <v>NA</v>
      </c>
      <c r="Y135" s="74" t="str">
        <f t="shared" si="41"/>
        <v>NA</v>
      </c>
      <c r="Z135" s="74" t="str">
        <f t="shared" si="42"/>
        <v>NA</v>
      </c>
      <c r="AA135" s="74" t="str">
        <f t="shared" si="43"/>
        <v>NA</v>
      </c>
      <c r="AB135" s="74">
        <f t="shared" si="44"/>
        <v>99.986000000000004</v>
      </c>
      <c r="AC135" s="69" t="str">
        <f>IF(ISTEXT('TECH DATA ENTRY'!L152)=TRUE,"NA",'TECH DATA ENTRY'!H152)</f>
        <v>NA</v>
      </c>
      <c r="AD135" s="69" t="str">
        <f t="shared" si="45"/>
        <v>NA</v>
      </c>
      <c r="AE135" s="69" t="str">
        <f t="shared" si="46"/>
        <v>NA</v>
      </c>
      <c r="AF135" s="69" t="e">
        <f t="shared" si="47"/>
        <v>#VALUE!</v>
      </c>
      <c r="AG135" s="69" t="e">
        <f t="shared" si="48"/>
        <v>#VALUE!</v>
      </c>
      <c r="AH135" s="69" t="e">
        <f t="shared" si="49"/>
        <v>#VALUE!</v>
      </c>
      <c r="AI135" s="69" t="e">
        <f t="shared" si="50"/>
        <v>#VALUE!</v>
      </c>
      <c r="AJ135" s="70" t="str">
        <f>IF(OR(ISTEXT('TECH DATA ENTRY'!L152)=TRUE,ISTEXT('TECH DATA ENTRY'!F152)=TRUE,ISTEXT('TECH DATA ENTRY'!G152)=TRUE),"NA",(W135-AB135)/(2*MAX(M135,L135)))</f>
        <v>NA</v>
      </c>
      <c r="AK135" s="69" t="str">
        <f t="shared" si="51"/>
        <v>NA</v>
      </c>
      <c r="AM135" s="73" t="e">
        <f t="shared" si="52"/>
        <v>#VALUE!</v>
      </c>
      <c r="AN135" s="73" t="e">
        <f t="shared" si="53"/>
        <v>#VALUE!</v>
      </c>
      <c r="AO135" s="87"/>
      <c r="AP135" s="73" t="e">
        <f t="shared" si="54"/>
        <v>#VALUE!</v>
      </c>
      <c r="AQ135" s="73" t="e">
        <f t="shared" si="55"/>
        <v>#VALUE!</v>
      </c>
      <c r="AR135" s="87"/>
      <c r="AS135" s="73" t="e">
        <f t="shared" si="56"/>
        <v>#VALUE!</v>
      </c>
      <c r="AT135" s="73" t="e">
        <f t="shared" si="57"/>
        <v>#VALUE!</v>
      </c>
      <c r="AV135" s="73" t="e">
        <f t="shared" si="58"/>
        <v>#VALUE!</v>
      </c>
      <c r="AW135" s="73" t="e">
        <f t="shared" si="59"/>
        <v>#VALUE!</v>
      </c>
      <c r="AX135" s="87"/>
      <c r="AY135" s="73" t="e">
        <f t="shared" si="60"/>
        <v>#VALUE!</v>
      </c>
      <c r="AZ135" s="73" t="e">
        <f t="shared" si="61"/>
        <v>#VALUE!</v>
      </c>
      <c r="BA135" s="87"/>
      <c r="BB135" s="73" t="e">
        <f t="shared" si="62"/>
        <v>#VALUE!</v>
      </c>
      <c r="BC135" s="73" t="e">
        <f t="shared" si="63"/>
        <v>#VALUE!</v>
      </c>
    </row>
    <row r="136" spans="1:55" s="86" customFormat="1" ht="25" customHeight="1">
      <c r="A136" s="665" t="str">
        <f>IF('TECH DATA ENTRY'!A153="","",'TECH DATA ENTRY'!A153)</f>
        <v>1 kΩ</v>
      </c>
      <c r="B136" s="384">
        <f>IF('TECH DATA ENTRY'!B153="","",'TECH DATA ENTRY'!B153)</f>
        <v>0</v>
      </c>
      <c r="C136" s="384">
        <f>IF(B136="","",IFERROR('TECH DATA ENTRY'!F153,"NA"))</f>
        <v>0</v>
      </c>
      <c r="D136" s="384" t="str">
        <f>IF('TECH DATA ENTRY'!L153="","",'TECH DATA ENTRY'!L153)</f>
        <v/>
      </c>
      <c r="E136" s="384" t="str">
        <f t="shared" si="35"/>
        <v/>
      </c>
      <c r="F136" s="384">
        <f>IF(B136="","",IFERROR('TECH DATA ENTRY'!G153,"NA"))</f>
        <v>1.0000000000000001E-5</v>
      </c>
      <c r="G136" s="531" t="str">
        <f t="shared" si="36"/>
        <v/>
      </c>
      <c r="H136" s="384" t="str">
        <f>IF(OR(ISTEXT(B136)=TRUE, D136="NA",D136=""),"NA", roundsf(MAX(L136,M136),C136))</f>
        <v>NA</v>
      </c>
      <c r="I136" s="325" t="str">
        <f t="shared" si="37"/>
        <v>NA</v>
      </c>
      <c r="J136" s="299"/>
      <c r="K136" s="245"/>
      <c r="L136" s="506">
        <f>(31/1000000)*B136+(2/1000000)</f>
        <v>1.9999999999999999E-6</v>
      </c>
      <c r="M136" s="244" t="str">
        <f>UNC_CALCULATION!AM125</f>
        <v>NA</v>
      </c>
      <c r="N136" s="85"/>
      <c r="O136" s="58"/>
      <c r="P136" s="69" t="e">
        <f>IF(B136="","",INDEX('AUX TABLES'!$G$4:$K$8,AV136,AW136))</f>
        <v>#VALUE!</v>
      </c>
      <c r="Q136" s="150" t="e">
        <f>IF(AJ$11=FALSE,IF(B136="","",IF(AJ136="NA",P136,INDEX('AUX TABLES'!$G$4:$K$8,AY136,AZ136))),IF(P136="FAIL",P136,INDEX('AUX TABLES'!$G$4:$K$8,AY136,AZ136)))</f>
        <v>#VALUE!</v>
      </c>
      <c r="R136" s="150" t="e">
        <f>IF(AJ$11=FALSE,IF(B136="","",IF(AJ136="NA",P136,INDEX('AUX TABLES'!$G$4:$K$8,BB136,BC136))),IF(P136="FAIL",P136,INDEX('AUX TABLES'!$G$4:$K$8,BB136,BC136)))</f>
        <v>#VALUE!</v>
      </c>
      <c r="S136" s="69" t="e">
        <f>INDEX('AUX TABLES'!$G$4:$K$8,AM136,AN136)</f>
        <v>#VALUE!</v>
      </c>
      <c r="T136" s="69" t="e">
        <f>IF(AJ$11=FALSE,IF(AJ136="NA",S136,INDEX('AUX TABLES'!$G$4:$K$8,AP136,AQ136)),IF(S136="FAIL",S136,INDEX('AUX TABLES'!$G$4:$K$8,AP136,AQ136)))</f>
        <v>#VALUE!</v>
      </c>
      <c r="U136" s="150" t="e">
        <f>IF(AJ$11=FALSE,IF(AJ136="NA",S136,INDEX('AUX TABLES'!$G$4:$K$8,AS136,AT136)),IF(S136="FAIL",S136,INDEX('AUX TABLES'!$G$4:$K$8,AS136,AT136)))</f>
        <v>#VALUE!</v>
      </c>
      <c r="V136" s="150" t="str">
        <f t="shared" si="38"/>
        <v/>
      </c>
      <c r="W136" s="74">
        <f t="shared" si="39"/>
        <v>1.0000000000000001E-5</v>
      </c>
      <c r="X136" s="74" t="str">
        <f t="shared" si="40"/>
        <v>NA</v>
      </c>
      <c r="Y136" s="74" t="str">
        <f t="shared" si="41"/>
        <v>NA</v>
      </c>
      <c r="Z136" s="74" t="str">
        <f t="shared" si="42"/>
        <v>NA</v>
      </c>
      <c r="AA136" s="74" t="str">
        <f t="shared" si="43"/>
        <v>NA</v>
      </c>
      <c r="AB136" s="74">
        <f t="shared" si="44"/>
        <v>0</v>
      </c>
      <c r="AC136" s="69" t="str">
        <f>IF(ISTEXT('TECH DATA ENTRY'!L153)=TRUE,"NA",'TECH DATA ENTRY'!H153)</f>
        <v>NA</v>
      </c>
      <c r="AD136" s="69" t="str">
        <f t="shared" si="45"/>
        <v>NA</v>
      </c>
      <c r="AE136" s="69" t="str">
        <f t="shared" si="46"/>
        <v>NA</v>
      </c>
      <c r="AF136" s="69" t="e">
        <f t="shared" si="47"/>
        <v>#VALUE!</v>
      </c>
      <c r="AG136" s="69" t="e">
        <f t="shared" si="48"/>
        <v>#VALUE!</v>
      </c>
      <c r="AH136" s="69" t="e">
        <f t="shared" si="49"/>
        <v>#VALUE!</v>
      </c>
      <c r="AI136" s="69" t="e">
        <f t="shared" si="50"/>
        <v>#VALUE!</v>
      </c>
      <c r="AJ136" s="70" t="str">
        <f>IF(OR(ISTEXT('TECH DATA ENTRY'!L153)=TRUE,ISTEXT('TECH DATA ENTRY'!F153)=TRUE,ISTEXT('TECH DATA ENTRY'!G153)=TRUE),"NA",(W136-AB136)/(2*MAX(M136,L136)))</f>
        <v>NA</v>
      </c>
      <c r="AK136" s="69" t="str">
        <f t="shared" si="51"/>
        <v>NA</v>
      </c>
      <c r="AM136" s="73" t="e">
        <f t="shared" si="52"/>
        <v>#VALUE!</v>
      </c>
      <c r="AN136" s="73" t="e">
        <f t="shared" si="53"/>
        <v>#VALUE!</v>
      </c>
      <c r="AO136" s="87"/>
      <c r="AP136" s="73" t="e">
        <f t="shared" si="54"/>
        <v>#VALUE!</v>
      </c>
      <c r="AQ136" s="73" t="e">
        <f t="shared" si="55"/>
        <v>#VALUE!</v>
      </c>
      <c r="AR136" s="87"/>
      <c r="AS136" s="73" t="e">
        <f t="shared" si="56"/>
        <v>#VALUE!</v>
      </c>
      <c r="AT136" s="73" t="e">
        <f t="shared" si="57"/>
        <v>#VALUE!</v>
      </c>
      <c r="AV136" s="73" t="e">
        <f t="shared" si="58"/>
        <v>#VALUE!</v>
      </c>
      <c r="AW136" s="73" t="e">
        <f t="shared" si="59"/>
        <v>#VALUE!</v>
      </c>
      <c r="AX136" s="87"/>
      <c r="AY136" s="73" t="e">
        <f t="shared" si="60"/>
        <v>#VALUE!</v>
      </c>
      <c r="AZ136" s="73" t="e">
        <f t="shared" si="61"/>
        <v>#VALUE!</v>
      </c>
      <c r="BA136" s="87"/>
      <c r="BB136" s="73" t="e">
        <f t="shared" si="62"/>
        <v>#VALUE!</v>
      </c>
      <c r="BC136" s="73" t="e">
        <f t="shared" si="63"/>
        <v>#VALUE!</v>
      </c>
    </row>
    <row r="137" spans="1:55" s="86" customFormat="1" ht="25" customHeight="1">
      <c r="A137" s="669" t="str">
        <f>IF('TECH DATA ENTRY'!A154="","",'TECH DATA ENTRY'!A154)</f>
        <v/>
      </c>
      <c r="B137" s="384">
        <f>IF('TECH DATA ENTRY'!B154="","",'TECH DATA ENTRY'!B154)</f>
        <v>1</v>
      </c>
      <c r="C137" s="384">
        <f>IF(B137="","",IFERROR('TECH DATA ENTRY'!F154,"NA"))</f>
        <v>0.99988999999999995</v>
      </c>
      <c r="D137" s="384" t="str">
        <f>IF('TECH DATA ENTRY'!L154="","",'TECH DATA ENTRY'!L154)</f>
        <v/>
      </c>
      <c r="E137" s="384" t="str">
        <f t="shared" si="35"/>
        <v/>
      </c>
      <c r="F137" s="384">
        <f>IF(B137="","",IFERROR('TECH DATA ENTRY'!G154,"NA"))</f>
        <v>1.0001100000000001</v>
      </c>
      <c r="G137" s="531" t="str">
        <f t="shared" si="36"/>
        <v/>
      </c>
      <c r="H137" s="384" t="str">
        <f>IF(OR(ISTEXT(B137)=TRUE, D137="NA",D137=""),"NA", roundsf(MAX(L137,M137),C137))</f>
        <v>NA</v>
      </c>
      <c r="I137" s="325" t="str">
        <f t="shared" si="37"/>
        <v>NA</v>
      </c>
      <c r="J137" s="299"/>
      <c r="K137" s="245"/>
      <c r="L137" s="506">
        <f>(31/1000000)*B137+(2/1000000)</f>
        <v>3.3000000000000003E-5</v>
      </c>
      <c r="M137" s="244" t="str">
        <f>UNC_CALCULATION!AM126</f>
        <v>NA</v>
      </c>
      <c r="N137" s="85"/>
      <c r="O137" s="58"/>
      <c r="P137" s="69" t="e">
        <f>IF(B137="","",INDEX('AUX TABLES'!$G$4:$K$8,AV137,AW137))</f>
        <v>#VALUE!</v>
      </c>
      <c r="Q137" s="150" t="e">
        <f>IF(AJ$11=FALSE,IF(B137="","",IF(AJ137="NA",P137,INDEX('AUX TABLES'!$G$4:$K$8,AY137,AZ137))),IF(P137="FAIL",P137,INDEX('AUX TABLES'!$G$4:$K$8,AY137,AZ137)))</f>
        <v>#VALUE!</v>
      </c>
      <c r="R137" s="150" t="e">
        <f>IF(AJ$11=FALSE,IF(B137="","",IF(AJ137="NA",P137,INDEX('AUX TABLES'!$G$4:$K$8,BB137,BC137))),IF(P137="FAIL",P137,INDEX('AUX TABLES'!$G$4:$K$8,BB137,BC137)))</f>
        <v>#VALUE!</v>
      </c>
      <c r="S137" s="69" t="e">
        <f>INDEX('AUX TABLES'!$G$4:$K$8,AM137,AN137)</f>
        <v>#VALUE!</v>
      </c>
      <c r="T137" s="69" t="e">
        <f>IF(AJ$11=FALSE,IF(AJ137="NA",S137,INDEX('AUX TABLES'!$G$4:$K$8,AP137,AQ137)),IF(S137="FAIL",S137,INDEX('AUX TABLES'!$G$4:$K$8,AP137,AQ137)))</f>
        <v>#VALUE!</v>
      </c>
      <c r="U137" s="150" t="e">
        <f>IF(AJ$11=FALSE,IF(AJ137="NA",S137,INDEX('AUX TABLES'!$G$4:$K$8,AS137,AT137)),IF(S137="FAIL",S137,INDEX('AUX TABLES'!$G$4:$K$8,AS137,AT137)))</f>
        <v>#VALUE!</v>
      </c>
      <c r="V137" s="150" t="str">
        <f t="shared" si="38"/>
        <v/>
      </c>
      <c r="W137" s="74">
        <f t="shared" si="39"/>
        <v>1.0001100000000001</v>
      </c>
      <c r="X137" s="74" t="str">
        <f t="shared" si="40"/>
        <v>NA</v>
      </c>
      <c r="Y137" s="74" t="str">
        <f t="shared" si="41"/>
        <v>NA</v>
      </c>
      <c r="Z137" s="74" t="str">
        <f t="shared" si="42"/>
        <v>NA</v>
      </c>
      <c r="AA137" s="74" t="str">
        <f t="shared" si="43"/>
        <v>NA</v>
      </c>
      <c r="AB137" s="74">
        <f t="shared" si="44"/>
        <v>0.99988999999999995</v>
      </c>
      <c r="AC137" s="69" t="str">
        <f>IF(ISTEXT('TECH DATA ENTRY'!L154)=TRUE,"NA",'TECH DATA ENTRY'!H154)</f>
        <v>NA</v>
      </c>
      <c r="AD137" s="69" t="str">
        <f t="shared" si="45"/>
        <v>NA</v>
      </c>
      <c r="AE137" s="69" t="str">
        <f t="shared" si="46"/>
        <v>NA</v>
      </c>
      <c r="AF137" s="69" t="e">
        <f t="shared" si="47"/>
        <v>#VALUE!</v>
      </c>
      <c r="AG137" s="69" t="e">
        <f t="shared" si="48"/>
        <v>#VALUE!</v>
      </c>
      <c r="AH137" s="69" t="e">
        <f t="shared" si="49"/>
        <v>#VALUE!</v>
      </c>
      <c r="AI137" s="69" t="e">
        <f t="shared" si="50"/>
        <v>#VALUE!</v>
      </c>
      <c r="AJ137" s="70" t="str">
        <f>IF(OR(ISTEXT('TECH DATA ENTRY'!L154)=TRUE,ISTEXT('TECH DATA ENTRY'!F154)=TRUE,ISTEXT('TECH DATA ENTRY'!G154)=TRUE),"NA",(W137-AB137)/(2*MAX(M137,L137)))</f>
        <v>NA</v>
      </c>
      <c r="AK137" s="69" t="str">
        <f t="shared" si="51"/>
        <v>NA</v>
      </c>
      <c r="AM137" s="73" t="e">
        <f t="shared" si="52"/>
        <v>#VALUE!</v>
      </c>
      <c r="AN137" s="73" t="e">
        <f t="shared" si="53"/>
        <v>#VALUE!</v>
      </c>
      <c r="AO137" s="87"/>
      <c r="AP137" s="73" t="e">
        <f t="shared" si="54"/>
        <v>#VALUE!</v>
      </c>
      <c r="AQ137" s="73" t="e">
        <f t="shared" si="55"/>
        <v>#VALUE!</v>
      </c>
      <c r="AR137" s="87"/>
      <c r="AS137" s="73" t="e">
        <f t="shared" si="56"/>
        <v>#VALUE!</v>
      </c>
      <c r="AT137" s="73" t="e">
        <f t="shared" si="57"/>
        <v>#VALUE!</v>
      </c>
      <c r="AV137" s="73" t="e">
        <f t="shared" si="58"/>
        <v>#VALUE!</v>
      </c>
      <c r="AW137" s="73" t="e">
        <f t="shared" si="59"/>
        <v>#VALUE!</v>
      </c>
      <c r="AX137" s="87"/>
      <c r="AY137" s="73" t="e">
        <f t="shared" si="60"/>
        <v>#VALUE!</v>
      </c>
      <c r="AZ137" s="73" t="e">
        <f t="shared" si="61"/>
        <v>#VALUE!</v>
      </c>
      <c r="BA137" s="87"/>
      <c r="BB137" s="73" t="e">
        <f t="shared" si="62"/>
        <v>#VALUE!</v>
      </c>
      <c r="BC137" s="73" t="e">
        <f t="shared" si="63"/>
        <v>#VALUE!</v>
      </c>
    </row>
    <row r="138" spans="1:55" s="86" customFormat="1" ht="25" customHeight="1">
      <c r="A138" s="665" t="str">
        <f>IF('TECH DATA ENTRY'!A155="","",'TECH DATA ENTRY'!A155)</f>
        <v>10 kΩ</v>
      </c>
      <c r="B138" s="387">
        <f>IF('TECH DATA ENTRY'!B155="","",'TECH DATA ENTRY'!B155)</f>
        <v>0</v>
      </c>
      <c r="C138" s="387">
        <f>IF(B138="","",IFERROR('TECH DATA ENTRY'!F155,"NA"))</f>
        <v>0</v>
      </c>
      <c r="D138" s="387" t="str">
        <f>IF('TECH DATA ENTRY'!L155="","",'TECH DATA ENTRY'!L155)</f>
        <v/>
      </c>
      <c r="E138" s="387" t="str">
        <f t="shared" si="35"/>
        <v/>
      </c>
      <c r="F138" s="387">
        <f>IF(B138="","",IFERROR('TECH DATA ENTRY'!G155,"NA"))</f>
        <v>1E-4</v>
      </c>
      <c r="G138" s="532" t="str">
        <f t="shared" si="36"/>
        <v/>
      </c>
      <c r="H138" s="387" t="str">
        <f>IF(OR(ISTEXT(B138)=TRUE, D138="NA",D138=""),"NA", roundsf(MAX(L138,M138),C138))</f>
        <v>NA</v>
      </c>
      <c r="I138" s="325" t="str">
        <f t="shared" si="37"/>
        <v>NA</v>
      </c>
      <c r="J138" s="299"/>
      <c r="K138" s="245"/>
      <c r="L138" s="506">
        <f>(25/1000000)*B138+(20/1000000)</f>
        <v>2.0000000000000002E-5</v>
      </c>
      <c r="M138" s="244" t="str">
        <f>UNC_CALCULATION!AM127</f>
        <v>NA</v>
      </c>
      <c r="N138" s="85"/>
      <c r="O138" s="58"/>
      <c r="P138" s="69" t="e">
        <f>IF(B138="","",INDEX('AUX TABLES'!$G$4:$K$8,AV138,AW138))</f>
        <v>#VALUE!</v>
      </c>
      <c r="Q138" s="150" t="e">
        <f>IF(AJ$11=FALSE,IF(B138="","",IF(AJ138="NA",P138,INDEX('AUX TABLES'!$G$4:$K$8,AY138,AZ138))),IF(P138="FAIL",P138,INDEX('AUX TABLES'!$G$4:$K$8,AY138,AZ138)))</f>
        <v>#VALUE!</v>
      </c>
      <c r="R138" s="150" t="e">
        <f>IF(AJ$11=FALSE,IF(B138="","",IF(AJ138="NA",P138,INDEX('AUX TABLES'!$G$4:$K$8,BB138,BC138))),IF(P138="FAIL",P138,INDEX('AUX TABLES'!$G$4:$K$8,BB138,BC138)))</f>
        <v>#VALUE!</v>
      </c>
      <c r="S138" s="69" t="e">
        <f>INDEX('AUX TABLES'!$G$4:$K$8,AM138,AN138)</f>
        <v>#VALUE!</v>
      </c>
      <c r="T138" s="69" t="e">
        <f>IF(AJ$11=FALSE,IF(AJ138="NA",S138,INDEX('AUX TABLES'!$G$4:$K$8,AP138,AQ138)),IF(S138="FAIL",S138,INDEX('AUX TABLES'!$G$4:$K$8,AP138,AQ138)))</f>
        <v>#VALUE!</v>
      </c>
      <c r="U138" s="150" t="e">
        <f>IF(AJ$11=FALSE,IF(AJ138="NA",S138,INDEX('AUX TABLES'!$G$4:$K$8,AS138,AT138)),IF(S138="FAIL",S138,INDEX('AUX TABLES'!$G$4:$K$8,AS138,AT138)))</f>
        <v>#VALUE!</v>
      </c>
      <c r="V138" s="150" t="str">
        <f t="shared" si="38"/>
        <v/>
      </c>
      <c r="W138" s="74">
        <f t="shared" si="39"/>
        <v>1E-4</v>
      </c>
      <c r="X138" s="74" t="str">
        <f t="shared" si="40"/>
        <v>NA</v>
      </c>
      <c r="Y138" s="74" t="str">
        <f t="shared" si="41"/>
        <v>NA</v>
      </c>
      <c r="Z138" s="74" t="str">
        <f t="shared" si="42"/>
        <v>NA</v>
      </c>
      <c r="AA138" s="74" t="str">
        <f t="shared" si="43"/>
        <v>NA</v>
      </c>
      <c r="AB138" s="74">
        <f t="shared" si="44"/>
        <v>0</v>
      </c>
      <c r="AC138" s="69" t="str">
        <f>IF(ISTEXT('TECH DATA ENTRY'!L155)=TRUE,"NA",'TECH DATA ENTRY'!H155)</f>
        <v>NA</v>
      </c>
      <c r="AD138" s="69" t="str">
        <f t="shared" si="45"/>
        <v>NA</v>
      </c>
      <c r="AE138" s="69" t="str">
        <f t="shared" si="46"/>
        <v>NA</v>
      </c>
      <c r="AF138" s="69" t="e">
        <f t="shared" si="47"/>
        <v>#VALUE!</v>
      </c>
      <c r="AG138" s="69" t="e">
        <f t="shared" si="48"/>
        <v>#VALUE!</v>
      </c>
      <c r="AH138" s="69" t="e">
        <f t="shared" si="49"/>
        <v>#VALUE!</v>
      </c>
      <c r="AI138" s="69" t="e">
        <f t="shared" si="50"/>
        <v>#VALUE!</v>
      </c>
      <c r="AJ138" s="70" t="str">
        <f>IF(OR(ISTEXT('TECH DATA ENTRY'!L155)=TRUE,ISTEXT('TECH DATA ENTRY'!F155)=TRUE,ISTEXT('TECH DATA ENTRY'!G155)=TRUE),"NA",(W138-AB138)/(2*MAX(M138,L138)))</f>
        <v>NA</v>
      </c>
      <c r="AK138" s="69" t="str">
        <f t="shared" si="51"/>
        <v>NA</v>
      </c>
      <c r="AM138" s="73" t="e">
        <f t="shared" si="52"/>
        <v>#VALUE!</v>
      </c>
      <c r="AN138" s="73" t="e">
        <f t="shared" si="53"/>
        <v>#VALUE!</v>
      </c>
      <c r="AO138" s="87"/>
      <c r="AP138" s="73" t="e">
        <f t="shared" si="54"/>
        <v>#VALUE!</v>
      </c>
      <c r="AQ138" s="73" t="e">
        <f t="shared" si="55"/>
        <v>#VALUE!</v>
      </c>
      <c r="AR138" s="87"/>
      <c r="AS138" s="73" t="e">
        <f t="shared" si="56"/>
        <v>#VALUE!</v>
      </c>
      <c r="AT138" s="73" t="e">
        <f t="shared" si="57"/>
        <v>#VALUE!</v>
      </c>
      <c r="AV138" s="73" t="e">
        <f t="shared" si="58"/>
        <v>#VALUE!</v>
      </c>
      <c r="AW138" s="73" t="e">
        <f t="shared" si="59"/>
        <v>#VALUE!</v>
      </c>
      <c r="AX138" s="87"/>
      <c r="AY138" s="73" t="e">
        <f t="shared" si="60"/>
        <v>#VALUE!</v>
      </c>
      <c r="AZ138" s="73" t="e">
        <f t="shared" si="61"/>
        <v>#VALUE!</v>
      </c>
      <c r="BA138" s="87"/>
      <c r="BB138" s="73" t="e">
        <f t="shared" si="62"/>
        <v>#VALUE!</v>
      </c>
      <c r="BC138" s="73" t="e">
        <f t="shared" si="63"/>
        <v>#VALUE!</v>
      </c>
    </row>
    <row r="139" spans="1:55" s="86" customFormat="1" ht="25" customHeight="1">
      <c r="A139" s="669" t="str">
        <f>IF('TECH DATA ENTRY'!A156="","",'TECH DATA ENTRY'!A156)</f>
        <v/>
      </c>
      <c r="B139" s="387">
        <f>IF('TECH DATA ENTRY'!B156="","",'TECH DATA ENTRY'!B156)</f>
        <v>10</v>
      </c>
      <c r="C139" s="387">
        <f>IF(B139="","",IFERROR('TECH DATA ENTRY'!F156,"NA"))</f>
        <v>9.9998900000000006</v>
      </c>
      <c r="D139" s="387" t="str">
        <f>IF('TECH DATA ENTRY'!L156="","",'TECH DATA ENTRY'!L156)</f>
        <v/>
      </c>
      <c r="E139" s="387" t="str">
        <f t="shared" si="35"/>
        <v/>
      </c>
      <c r="F139" s="387">
        <f>IF(B139="","",IFERROR('TECH DATA ENTRY'!G156,"NA"))</f>
        <v>10.000109999999999</v>
      </c>
      <c r="G139" s="532" t="str">
        <f t="shared" si="36"/>
        <v/>
      </c>
      <c r="H139" s="387" t="str">
        <f>IF(OR(ISTEXT(B139)=TRUE, D139="NA",D139=""),"NA", roundsf(MAX(L139,M139),C139))</f>
        <v>NA</v>
      </c>
      <c r="I139" s="325" t="str">
        <f t="shared" si="37"/>
        <v>NA</v>
      </c>
      <c r="J139" s="299"/>
      <c r="K139" s="245"/>
      <c r="L139" s="506">
        <f>(25/1000000)*B139+(20/1000000)</f>
        <v>2.7E-4</v>
      </c>
      <c r="M139" s="244" t="str">
        <f>UNC_CALCULATION!AM128</f>
        <v>NA</v>
      </c>
      <c r="N139" s="85"/>
      <c r="O139" s="58"/>
      <c r="P139" s="69" t="e">
        <f>IF(B139="","",INDEX('AUX TABLES'!$G$4:$K$8,AV139,AW139))</f>
        <v>#VALUE!</v>
      </c>
      <c r="Q139" s="150" t="e">
        <f>IF(AJ$11=FALSE,IF(B139="","",IF(AJ139="NA",P139,INDEX('AUX TABLES'!$G$4:$K$8,AY139,AZ139))),IF(P139="FAIL",P139,INDEX('AUX TABLES'!$G$4:$K$8,AY139,AZ139)))</f>
        <v>#VALUE!</v>
      </c>
      <c r="R139" s="150" t="e">
        <f>IF(AJ$11=FALSE,IF(B139="","",IF(AJ139="NA",P139,INDEX('AUX TABLES'!$G$4:$K$8,BB139,BC139))),IF(P139="FAIL",P139,INDEX('AUX TABLES'!$G$4:$K$8,BB139,BC139)))</f>
        <v>#VALUE!</v>
      </c>
      <c r="S139" s="69" t="e">
        <f>INDEX('AUX TABLES'!$G$4:$K$8,AM139,AN139)</f>
        <v>#VALUE!</v>
      </c>
      <c r="T139" s="69" t="e">
        <f>IF(AJ$11=FALSE,IF(AJ139="NA",S139,INDEX('AUX TABLES'!$G$4:$K$8,AP139,AQ139)),IF(S139="FAIL",S139,INDEX('AUX TABLES'!$G$4:$K$8,AP139,AQ139)))</f>
        <v>#VALUE!</v>
      </c>
      <c r="U139" s="150" t="e">
        <f>IF(AJ$11=FALSE,IF(AJ139="NA",S139,INDEX('AUX TABLES'!$G$4:$K$8,AS139,AT139)),IF(S139="FAIL",S139,INDEX('AUX TABLES'!$G$4:$K$8,AS139,AT139)))</f>
        <v>#VALUE!</v>
      </c>
      <c r="V139" s="150" t="str">
        <f t="shared" si="38"/>
        <v/>
      </c>
      <c r="W139" s="74">
        <f t="shared" si="39"/>
        <v>10.000109999999999</v>
      </c>
      <c r="X139" s="74" t="str">
        <f t="shared" si="40"/>
        <v>NA</v>
      </c>
      <c r="Y139" s="74" t="str">
        <f t="shared" si="41"/>
        <v>NA</v>
      </c>
      <c r="Z139" s="74" t="str">
        <f t="shared" si="42"/>
        <v>NA</v>
      </c>
      <c r="AA139" s="74" t="str">
        <f t="shared" si="43"/>
        <v>NA</v>
      </c>
      <c r="AB139" s="74">
        <f t="shared" si="44"/>
        <v>9.9998900000000006</v>
      </c>
      <c r="AC139" s="69" t="str">
        <f>IF(ISTEXT('TECH DATA ENTRY'!L156)=TRUE,"NA",'TECH DATA ENTRY'!H156)</f>
        <v>NA</v>
      </c>
      <c r="AD139" s="69" t="str">
        <f t="shared" si="45"/>
        <v>NA</v>
      </c>
      <c r="AE139" s="69" t="str">
        <f t="shared" si="46"/>
        <v>NA</v>
      </c>
      <c r="AF139" s="69" t="e">
        <f t="shared" si="47"/>
        <v>#VALUE!</v>
      </c>
      <c r="AG139" s="69" t="e">
        <f t="shared" si="48"/>
        <v>#VALUE!</v>
      </c>
      <c r="AH139" s="69" t="e">
        <f t="shared" si="49"/>
        <v>#VALUE!</v>
      </c>
      <c r="AI139" s="69" t="e">
        <f t="shared" si="50"/>
        <v>#VALUE!</v>
      </c>
      <c r="AJ139" s="70" t="str">
        <f>IF(OR(ISTEXT('TECH DATA ENTRY'!L156)=TRUE,ISTEXT('TECH DATA ENTRY'!F156)=TRUE,ISTEXT('TECH DATA ENTRY'!G156)=TRUE),"NA",(W139-AB139)/(2*MAX(M139,L139)))</f>
        <v>NA</v>
      </c>
      <c r="AK139" s="69" t="str">
        <f t="shared" si="51"/>
        <v>NA</v>
      </c>
      <c r="AM139" s="73" t="e">
        <f t="shared" si="52"/>
        <v>#VALUE!</v>
      </c>
      <c r="AN139" s="73" t="e">
        <f t="shared" si="53"/>
        <v>#VALUE!</v>
      </c>
      <c r="AO139" s="87"/>
      <c r="AP139" s="73" t="e">
        <f t="shared" si="54"/>
        <v>#VALUE!</v>
      </c>
      <c r="AQ139" s="73" t="e">
        <f t="shared" si="55"/>
        <v>#VALUE!</v>
      </c>
      <c r="AR139" s="87"/>
      <c r="AS139" s="73" t="e">
        <f t="shared" si="56"/>
        <v>#VALUE!</v>
      </c>
      <c r="AT139" s="73" t="e">
        <f t="shared" si="57"/>
        <v>#VALUE!</v>
      </c>
      <c r="AV139" s="73" t="e">
        <f t="shared" si="58"/>
        <v>#VALUE!</v>
      </c>
      <c r="AW139" s="73" t="e">
        <f t="shared" si="59"/>
        <v>#VALUE!</v>
      </c>
      <c r="AX139" s="87"/>
      <c r="AY139" s="73" t="e">
        <f t="shared" si="60"/>
        <v>#VALUE!</v>
      </c>
      <c r="AZ139" s="73" t="e">
        <f t="shared" si="61"/>
        <v>#VALUE!</v>
      </c>
      <c r="BA139" s="87"/>
      <c r="BB139" s="73" t="e">
        <f t="shared" si="62"/>
        <v>#VALUE!</v>
      </c>
      <c r="BC139" s="73" t="e">
        <f t="shared" si="63"/>
        <v>#VALUE!</v>
      </c>
    </row>
    <row r="140" spans="1:55" s="86" customFormat="1" ht="25" customHeight="1">
      <c r="A140" s="665" t="str">
        <f>IF('TECH DATA ENTRY'!A157="","",'TECH DATA ENTRY'!A157)</f>
        <v>100 kΩ</v>
      </c>
      <c r="B140" s="390">
        <f>IF('TECH DATA ENTRY'!B157="","",'TECH DATA ENTRY'!B157)</f>
        <v>0</v>
      </c>
      <c r="C140" s="390">
        <f>IF(B140="","",IFERROR('TECH DATA ENTRY'!F157,"NA"))</f>
        <v>0</v>
      </c>
      <c r="D140" s="390" t="str">
        <f>IF('TECH DATA ENTRY'!L157="","",'TECH DATA ENTRY'!L157)</f>
        <v/>
      </c>
      <c r="E140" s="390" t="str">
        <f t="shared" si="35"/>
        <v/>
      </c>
      <c r="F140" s="390">
        <f>IF(B140="","",IFERROR('TECH DATA ENTRY'!G157,"NA"))</f>
        <v>1E-3</v>
      </c>
      <c r="G140" s="533" t="str">
        <f t="shared" si="36"/>
        <v/>
      </c>
      <c r="H140" s="390" t="str">
        <f>IF(OR(ISTEXT(B140)=TRUE, D140="NA",D140=""),"NA", roundsf(MAX(L140,M140),C140))</f>
        <v>NA</v>
      </c>
      <c r="I140" s="325" t="str">
        <f t="shared" si="37"/>
        <v>NA</v>
      </c>
      <c r="J140" s="299"/>
      <c r="K140" s="245"/>
      <c r="L140" s="506">
        <f>(33/1000000)*B140+(0.2/1000)</f>
        <v>2.0000000000000001E-4</v>
      </c>
      <c r="M140" s="244" t="str">
        <f>UNC_CALCULATION!AM129</f>
        <v>NA</v>
      </c>
      <c r="N140" s="85"/>
      <c r="O140" s="58"/>
      <c r="P140" s="69" t="e">
        <f>IF(B140="","",INDEX('AUX TABLES'!$G$4:$K$8,AV140,AW140))</f>
        <v>#VALUE!</v>
      </c>
      <c r="Q140" s="150" t="e">
        <f>IF(AJ$11=FALSE,IF(B140="","",IF(AJ140="NA",P140,INDEX('AUX TABLES'!$G$4:$K$8,AY140,AZ140))),IF(P140="FAIL",P140,INDEX('AUX TABLES'!$G$4:$K$8,AY140,AZ140)))</f>
        <v>#VALUE!</v>
      </c>
      <c r="R140" s="150" t="e">
        <f>IF(AJ$11=FALSE,IF(B140="","",IF(AJ140="NA",P140,INDEX('AUX TABLES'!$G$4:$K$8,BB140,BC140))),IF(P140="FAIL",P140,INDEX('AUX TABLES'!$G$4:$K$8,BB140,BC140)))</f>
        <v>#VALUE!</v>
      </c>
      <c r="S140" s="69" t="e">
        <f>INDEX('AUX TABLES'!$G$4:$K$8,AM140,AN140)</f>
        <v>#VALUE!</v>
      </c>
      <c r="T140" s="69" t="e">
        <f>IF(AJ$11=FALSE,IF(AJ140="NA",S140,INDEX('AUX TABLES'!$G$4:$K$8,AP140,AQ140)),IF(S140="FAIL",S140,INDEX('AUX TABLES'!$G$4:$K$8,AP140,AQ140)))</f>
        <v>#VALUE!</v>
      </c>
      <c r="U140" s="150" t="e">
        <f>IF(AJ$11=FALSE,IF(AJ140="NA",S140,INDEX('AUX TABLES'!$G$4:$K$8,AS140,AT140)),IF(S140="FAIL",S140,INDEX('AUX TABLES'!$G$4:$K$8,AS140,AT140)))</f>
        <v>#VALUE!</v>
      </c>
      <c r="V140" s="150" t="str">
        <f t="shared" si="38"/>
        <v/>
      </c>
      <c r="W140" s="74">
        <f t="shared" si="39"/>
        <v>1E-3</v>
      </c>
      <c r="X140" s="74" t="str">
        <f t="shared" si="40"/>
        <v>NA</v>
      </c>
      <c r="Y140" s="74" t="str">
        <f t="shared" si="41"/>
        <v>NA</v>
      </c>
      <c r="Z140" s="74" t="str">
        <f t="shared" si="42"/>
        <v>NA</v>
      </c>
      <c r="AA140" s="74" t="str">
        <f t="shared" si="43"/>
        <v>NA</v>
      </c>
      <c r="AB140" s="74">
        <f t="shared" si="44"/>
        <v>0</v>
      </c>
      <c r="AC140" s="69" t="str">
        <f>IF(ISTEXT('TECH DATA ENTRY'!L157)=TRUE,"NA",'TECH DATA ENTRY'!H157)</f>
        <v>NA</v>
      </c>
      <c r="AD140" s="69" t="str">
        <f t="shared" si="45"/>
        <v>NA</v>
      </c>
      <c r="AE140" s="69" t="str">
        <f t="shared" si="46"/>
        <v>NA</v>
      </c>
      <c r="AF140" s="69" t="e">
        <f t="shared" si="47"/>
        <v>#VALUE!</v>
      </c>
      <c r="AG140" s="69" t="e">
        <f t="shared" si="48"/>
        <v>#VALUE!</v>
      </c>
      <c r="AH140" s="69" t="e">
        <f t="shared" si="49"/>
        <v>#VALUE!</v>
      </c>
      <c r="AI140" s="69" t="e">
        <f t="shared" si="50"/>
        <v>#VALUE!</v>
      </c>
      <c r="AJ140" s="70" t="str">
        <f>IF(OR(ISTEXT('TECH DATA ENTRY'!L157)=TRUE,ISTEXT('TECH DATA ENTRY'!F157)=TRUE,ISTEXT('TECH DATA ENTRY'!G157)=TRUE),"NA",(W140-AB140)/(2*MAX(M140,L140)))</f>
        <v>NA</v>
      </c>
      <c r="AK140" s="69" t="str">
        <f t="shared" si="51"/>
        <v>NA</v>
      </c>
      <c r="AM140" s="73" t="e">
        <f t="shared" si="52"/>
        <v>#VALUE!</v>
      </c>
      <c r="AN140" s="73" t="e">
        <f t="shared" si="53"/>
        <v>#VALUE!</v>
      </c>
      <c r="AO140" s="87"/>
      <c r="AP140" s="73" t="e">
        <f t="shared" si="54"/>
        <v>#VALUE!</v>
      </c>
      <c r="AQ140" s="73" t="e">
        <f t="shared" si="55"/>
        <v>#VALUE!</v>
      </c>
      <c r="AR140" s="87"/>
      <c r="AS140" s="73" t="e">
        <f t="shared" si="56"/>
        <v>#VALUE!</v>
      </c>
      <c r="AT140" s="73" t="e">
        <f t="shared" si="57"/>
        <v>#VALUE!</v>
      </c>
      <c r="AV140" s="73" t="e">
        <f t="shared" si="58"/>
        <v>#VALUE!</v>
      </c>
      <c r="AW140" s="73" t="e">
        <f t="shared" si="59"/>
        <v>#VALUE!</v>
      </c>
      <c r="AX140" s="87"/>
      <c r="AY140" s="73" t="e">
        <f t="shared" si="60"/>
        <v>#VALUE!</v>
      </c>
      <c r="AZ140" s="73" t="e">
        <f t="shared" si="61"/>
        <v>#VALUE!</v>
      </c>
      <c r="BA140" s="87"/>
      <c r="BB140" s="73" t="e">
        <f t="shared" si="62"/>
        <v>#VALUE!</v>
      </c>
      <c r="BC140" s="73" t="e">
        <f t="shared" si="63"/>
        <v>#VALUE!</v>
      </c>
    </row>
    <row r="141" spans="1:55" s="86" customFormat="1" ht="25" customHeight="1" thickBot="1">
      <c r="A141" s="666" t="str">
        <f>IF('TECH DATA ENTRY'!A158="","",'TECH DATA ENTRY'!A158)</f>
        <v/>
      </c>
      <c r="B141" s="488">
        <f>IF('TECH DATA ENTRY'!B158="","",'TECH DATA ENTRY'!B158)</f>
        <v>100</v>
      </c>
      <c r="C141" s="488">
        <f>IF(B141="","",IFERROR('TECH DATA ENTRY'!F158,"NA"))</f>
        <v>99.989000000000004</v>
      </c>
      <c r="D141" s="488" t="str">
        <f>IF('TECH DATA ENTRY'!L158="","",'TECH DATA ENTRY'!L158)</f>
        <v/>
      </c>
      <c r="E141" s="488" t="str">
        <f t="shared" si="35"/>
        <v/>
      </c>
      <c r="F141" s="488">
        <f>IF(B141="","",IFERROR('TECH DATA ENTRY'!G158,"NA"))</f>
        <v>100.011</v>
      </c>
      <c r="G141" s="534" t="str">
        <f t="shared" si="36"/>
        <v/>
      </c>
      <c r="H141" s="488" t="str">
        <f>IF(OR(ISTEXT(B141)=TRUE, D141="NA",D141=""),"NA", roundsf(MAX(L141,M141),C141))</f>
        <v>NA</v>
      </c>
      <c r="I141" s="486" t="str">
        <f t="shared" si="37"/>
        <v>NA</v>
      </c>
      <c r="J141" s="299"/>
      <c r="K141" s="245"/>
      <c r="L141" s="506">
        <f>(33/1000000)*B141+(0.2/1000)</f>
        <v>3.5000000000000005E-3</v>
      </c>
      <c r="M141" s="244" t="str">
        <f>UNC_CALCULATION!AM130</f>
        <v>NA</v>
      </c>
      <c r="N141" s="85"/>
      <c r="O141" s="58"/>
      <c r="P141" s="69" t="e">
        <f>IF(B141="","",INDEX('AUX TABLES'!$G$4:$K$8,AV141,AW141))</f>
        <v>#VALUE!</v>
      </c>
      <c r="Q141" s="150" t="e">
        <f>IF(AJ$11=FALSE,IF(B141="","",IF(AJ141="NA",P141,INDEX('AUX TABLES'!$G$4:$K$8,AY141,AZ141))),IF(P141="FAIL",P141,INDEX('AUX TABLES'!$G$4:$K$8,AY141,AZ141)))</f>
        <v>#VALUE!</v>
      </c>
      <c r="R141" s="150" t="e">
        <f>IF(AJ$11=FALSE,IF(B141="","",IF(AJ141="NA",P141,INDEX('AUX TABLES'!$G$4:$K$8,BB141,BC141))),IF(P141="FAIL",P141,INDEX('AUX TABLES'!$G$4:$K$8,BB141,BC141)))</f>
        <v>#VALUE!</v>
      </c>
      <c r="S141" s="69" t="e">
        <f>INDEX('AUX TABLES'!$G$4:$K$8,AM141,AN141)</f>
        <v>#VALUE!</v>
      </c>
      <c r="T141" s="69" t="e">
        <f>IF(AJ$11=FALSE,IF(AJ141="NA",S141,INDEX('AUX TABLES'!$G$4:$K$8,AP141,AQ141)),IF(S141="FAIL",S141,INDEX('AUX TABLES'!$G$4:$K$8,AP141,AQ141)))</f>
        <v>#VALUE!</v>
      </c>
      <c r="U141" s="150" t="e">
        <f>IF(AJ$11=FALSE,IF(AJ141="NA",S141,INDEX('AUX TABLES'!$G$4:$K$8,AS141,AT141)),IF(S141="FAIL",S141,INDEX('AUX TABLES'!$G$4:$K$8,AS141,AT141)))</f>
        <v>#VALUE!</v>
      </c>
      <c r="V141" s="150" t="str">
        <f t="shared" si="38"/>
        <v/>
      </c>
      <c r="W141" s="74">
        <f t="shared" si="39"/>
        <v>100.011</v>
      </c>
      <c r="X141" s="74" t="str">
        <f t="shared" si="40"/>
        <v>NA</v>
      </c>
      <c r="Y141" s="74" t="str">
        <f t="shared" si="41"/>
        <v>NA</v>
      </c>
      <c r="Z141" s="74" t="str">
        <f t="shared" si="42"/>
        <v>NA</v>
      </c>
      <c r="AA141" s="74" t="str">
        <f t="shared" si="43"/>
        <v>NA</v>
      </c>
      <c r="AB141" s="74">
        <f t="shared" si="44"/>
        <v>99.989000000000004</v>
      </c>
      <c r="AC141" s="69" t="str">
        <f>IF(ISTEXT('TECH DATA ENTRY'!L158)=TRUE,"NA",'TECH DATA ENTRY'!H158)</f>
        <v>NA</v>
      </c>
      <c r="AD141" s="69" t="str">
        <f t="shared" si="45"/>
        <v>NA</v>
      </c>
      <c r="AE141" s="69" t="str">
        <f t="shared" si="46"/>
        <v>NA</v>
      </c>
      <c r="AF141" s="69" t="e">
        <f t="shared" si="47"/>
        <v>#VALUE!</v>
      </c>
      <c r="AG141" s="69" t="e">
        <f t="shared" si="48"/>
        <v>#VALUE!</v>
      </c>
      <c r="AH141" s="69" t="e">
        <f t="shared" si="49"/>
        <v>#VALUE!</v>
      </c>
      <c r="AI141" s="69" t="e">
        <f t="shared" si="50"/>
        <v>#VALUE!</v>
      </c>
      <c r="AJ141" s="70" t="str">
        <f>IF(OR(ISTEXT('TECH DATA ENTRY'!L158)=TRUE,ISTEXT('TECH DATA ENTRY'!F158)=TRUE,ISTEXT('TECH DATA ENTRY'!G158)=TRUE),"NA",(W141-AB141)/(2*MAX(M141,L141)))</f>
        <v>NA</v>
      </c>
      <c r="AK141" s="69" t="str">
        <f t="shared" si="51"/>
        <v>NA</v>
      </c>
      <c r="AM141" s="73" t="e">
        <f t="shared" si="52"/>
        <v>#VALUE!</v>
      </c>
      <c r="AN141" s="73" t="e">
        <f t="shared" si="53"/>
        <v>#VALUE!</v>
      </c>
      <c r="AO141" s="87"/>
      <c r="AP141" s="73" t="e">
        <f t="shared" si="54"/>
        <v>#VALUE!</v>
      </c>
      <c r="AQ141" s="73" t="e">
        <f t="shared" si="55"/>
        <v>#VALUE!</v>
      </c>
      <c r="AR141" s="87"/>
      <c r="AS141" s="73" t="e">
        <f t="shared" si="56"/>
        <v>#VALUE!</v>
      </c>
      <c r="AT141" s="73" t="e">
        <f t="shared" si="57"/>
        <v>#VALUE!</v>
      </c>
      <c r="AV141" s="73" t="e">
        <f t="shared" si="58"/>
        <v>#VALUE!</v>
      </c>
      <c r="AW141" s="73" t="e">
        <f t="shared" si="59"/>
        <v>#VALUE!</v>
      </c>
      <c r="AX141" s="87"/>
      <c r="AY141" s="73" t="e">
        <f t="shared" si="60"/>
        <v>#VALUE!</v>
      </c>
      <c r="AZ141" s="73" t="e">
        <f t="shared" si="61"/>
        <v>#VALUE!</v>
      </c>
      <c r="BA141" s="87"/>
      <c r="BB141" s="73" t="e">
        <f t="shared" si="62"/>
        <v>#VALUE!</v>
      </c>
      <c r="BC141" s="73" t="e">
        <f t="shared" si="63"/>
        <v>#VALUE!</v>
      </c>
    </row>
    <row r="142" spans="1:55" s="296" customFormat="1" ht="28.15" customHeight="1">
      <c r="A142" s="550" t="str">
        <f>IF('TECH DATA ENTRY'!A159="","",'TECH DATA ENTRY'!A159)</f>
        <v/>
      </c>
      <c r="B142" s="551"/>
      <c r="C142" s="552"/>
      <c r="D142" s="551"/>
      <c r="E142" s="551"/>
      <c r="F142" s="551"/>
      <c r="G142" s="552"/>
      <c r="H142" s="551"/>
      <c r="I142" s="553"/>
      <c r="J142" s="224"/>
      <c r="K142" s="224"/>
      <c r="L142" s="224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AK142" s="297"/>
    </row>
    <row r="143" spans="1:55" s="31" customFormat="1" ht="22.15" customHeight="1">
      <c r="A143" s="76" t="str">
        <f>IF('TECH DATA ENTRY'!A160="","",'TECH DATA ENTRY'!A160)</f>
        <v>Two-wire</v>
      </c>
      <c r="H143" s="321"/>
      <c r="O143" s="77"/>
      <c r="AK143" s="1"/>
      <c r="AM143" s="637" t="s">
        <v>116</v>
      </c>
      <c r="AN143" s="637"/>
      <c r="AO143" s="637"/>
      <c r="AP143" s="637"/>
      <c r="AQ143" s="637"/>
      <c r="AR143" s="637"/>
      <c r="AS143" s="637"/>
      <c r="AT143" s="637"/>
      <c r="AV143" s="637" t="s">
        <v>117</v>
      </c>
      <c r="AW143" s="637"/>
      <c r="AX143" s="637"/>
      <c r="AY143" s="637"/>
      <c r="AZ143" s="637"/>
      <c r="BA143" s="637"/>
      <c r="BB143" s="637"/>
      <c r="BC143" s="637"/>
    </row>
    <row r="144" spans="1:55" s="225" customFormat="1" ht="4.9000000000000004" customHeight="1" thickBot="1">
      <c r="A144" s="288" t="str">
        <f>IF('TECH DATA ENTRY'!A161="","",'TECH DATA ENTRY'!A161)</f>
        <v/>
      </c>
      <c r="K144" s="239"/>
      <c r="L144" s="239"/>
      <c r="AK144" s="240"/>
    </row>
    <row r="145" spans="1:55" s="285" customFormat="1" ht="20.149999999999999" customHeight="1">
      <c r="A145" s="644" t="str">
        <f>IF('TECH DATA ENTRY'!A162="","",'TECH DATA ENTRY'!A162)</f>
        <v>Range</v>
      </c>
      <c r="B145" s="646" t="str">
        <f>IF('TECH DATA ENTRY'!B162="","",'TECH DATA ENTRY'!B162)</f>
        <v>Nominal</v>
      </c>
      <c r="C145" s="648" t="s">
        <v>2</v>
      </c>
      <c r="D145" s="648" t="str">
        <f>IF(LEFT(P$11,3)="ROV", "Measured Value", "As Found")</f>
        <v>As Found</v>
      </c>
      <c r="E145" s="648" t="str">
        <f>IF(LEFT(P$11,3)="ROV", "Correction", "As Left")</f>
        <v>As Left</v>
      </c>
      <c r="F145" s="648" t="s">
        <v>3</v>
      </c>
      <c r="G145" s="653" t="s">
        <v>4</v>
      </c>
      <c r="H145" s="659" t="s">
        <v>30</v>
      </c>
      <c r="I145" s="661" t="s">
        <v>28</v>
      </c>
      <c r="J145" s="284"/>
      <c r="L145" s="658" t="s">
        <v>38</v>
      </c>
      <c r="M145" s="616" t="s">
        <v>31</v>
      </c>
      <c r="N145" s="281"/>
      <c r="O145" s="286"/>
      <c r="P145" s="640" t="s">
        <v>136</v>
      </c>
      <c r="Q145" s="641"/>
      <c r="R145" s="642"/>
      <c r="S145" s="638" t="s">
        <v>115</v>
      </c>
      <c r="T145" s="638"/>
      <c r="U145" s="638"/>
      <c r="V145" s="638"/>
      <c r="W145" s="640" t="s">
        <v>64</v>
      </c>
      <c r="X145" s="641"/>
      <c r="Y145" s="641"/>
      <c r="Z145" s="641"/>
      <c r="AA145" s="641"/>
      <c r="AB145" s="642"/>
      <c r="AC145" s="638" t="s">
        <v>97</v>
      </c>
      <c r="AD145" s="638"/>
      <c r="AE145" s="638"/>
      <c r="AF145" s="638" t="s">
        <v>127</v>
      </c>
      <c r="AG145" s="638"/>
      <c r="AH145" s="638" t="s">
        <v>128</v>
      </c>
      <c r="AI145" s="638"/>
      <c r="AJ145" s="638" t="s">
        <v>28</v>
      </c>
      <c r="AK145" s="638" t="s">
        <v>121</v>
      </c>
      <c r="AL145" s="308"/>
      <c r="AM145" s="639" t="s">
        <v>122</v>
      </c>
      <c r="AN145" s="639"/>
      <c r="AO145" s="308"/>
      <c r="AP145" s="639" t="s">
        <v>119</v>
      </c>
      <c r="AQ145" s="639"/>
      <c r="AR145" s="308"/>
      <c r="AS145" s="639" t="s">
        <v>120</v>
      </c>
      <c r="AT145" s="639"/>
      <c r="AU145" s="308"/>
      <c r="AV145" s="639" t="s">
        <v>122</v>
      </c>
      <c r="AW145" s="639"/>
      <c r="AX145" s="308"/>
      <c r="AY145" s="639" t="s">
        <v>119</v>
      </c>
      <c r="AZ145" s="639"/>
      <c r="BA145" s="308"/>
      <c r="BB145" s="639" t="s">
        <v>120</v>
      </c>
      <c r="BC145" s="639"/>
    </row>
    <row r="146" spans="1:55" s="285" customFormat="1" ht="20.149999999999999" customHeight="1" thickBot="1">
      <c r="A146" s="645"/>
      <c r="B146" s="647"/>
      <c r="C146" s="649"/>
      <c r="D146" s="649"/>
      <c r="E146" s="649"/>
      <c r="F146" s="649"/>
      <c r="G146" s="654"/>
      <c r="H146" s="660"/>
      <c r="I146" s="662"/>
      <c r="J146" s="284"/>
      <c r="L146" s="649"/>
      <c r="M146" s="617"/>
      <c r="O146" s="281"/>
      <c r="P146" s="309" t="s">
        <v>122</v>
      </c>
      <c r="Q146" s="309" t="s">
        <v>119</v>
      </c>
      <c r="R146" s="309" t="s">
        <v>120</v>
      </c>
      <c r="S146" s="309" t="s">
        <v>122</v>
      </c>
      <c r="T146" s="309" t="s">
        <v>119</v>
      </c>
      <c r="U146" s="309" t="s">
        <v>120</v>
      </c>
      <c r="V146" s="309" t="s">
        <v>118</v>
      </c>
      <c r="W146" s="309" t="s">
        <v>63</v>
      </c>
      <c r="X146" s="309" t="s">
        <v>69</v>
      </c>
      <c r="Y146" s="309" t="s">
        <v>71</v>
      </c>
      <c r="Z146" s="309" t="s">
        <v>72</v>
      </c>
      <c r="AA146" s="309" t="s">
        <v>70</v>
      </c>
      <c r="AB146" s="309" t="s">
        <v>75</v>
      </c>
      <c r="AC146" s="309" t="s">
        <v>78</v>
      </c>
      <c r="AD146" s="309" t="s">
        <v>119</v>
      </c>
      <c r="AE146" s="309" t="s">
        <v>120</v>
      </c>
      <c r="AF146" s="309" t="s">
        <v>129</v>
      </c>
      <c r="AG146" s="309" t="s">
        <v>130</v>
      </c>
      <c r="AH146" s="309" t="s">
        <v>129</v>
      </c>
      <c r="AI146" s="309" t="s">
        <v>130</v>
      </c>
      <c r="AJ146" s="652"/>
      <c r="AK146" s="652"/>
      <c r="AL146" s="308"/>
      <c r="AM146" s="310" t="s">
        <v>67</v>
      </c>
      <c r="AN146" s="310" t="s">
        <v>68</v>
      </c>
      <c r="AO146" s="308"/>
      <c r="AP146" s="310" t="s">
        <v>67</v>
      </c>
      <c r="AQ146" s="310" t="s">
        <v>68</v>
      </c>
      <c r="AR146" s="308"/>
      <c r="AS146" s="310" t="s">
        <v>67</v>
      </c>
      <c r="AT146" s="310" t="s">
        <v>68</v>
      </c>
      <c r="AU146" s="308"/>
      <c r="AV146" s="310" t="s">
        <v>67</v>
      </c>
      <c r="AW146" s="310" t="s">
        <v>68</v>
      </c>
      <c r="AX146" s="308"/>
      <c r="AY146" s="310" t="s">
        <v>67</v>
      </c>
      <c r="AZ146" s="310" t="s">
        <v>68</v>
      </c>
      <c r="BA146" s="308"/>
      <c r="BB146" s="310" t="s">
        <v>67</v>
      </c>
      <c r="BC146" s="310" t="s">
        <v>68</v>
      </c>
    </row>
    <row r="147" spans="1:55" s="86" customFormat="1" ht="25" customHeight="1" thickTop="1">
      <c r="A147" s="667" t="str">
        <f>IF('TECH DATA ENTRY'!A164="","",'TECH DATA ENTRY'!A164)</f>
        <v>100 Ω</v>
      </c>
      <c r="B147" s="381">
        <f>IF('TECH DATA ENTRY'!B164="","",'TECH DATA ENTRY'!B164)</f>
        <v>0</v>
      </c>
      <c r="C147" s="381">
        <f>IF(B147="","",IFERROR('TECH DATA ENTRY'!F164,"NA"))</f>
        <v>0</v>
      </c>
      <c r="D147" s="381" t="str">
        <f>IF('TECH DATA ENTRY'!L164="","",'TECH DATA ENTRY'!L164)</f>
        <v/>
      </c>
      <c r="E147" s="381" t="str">
        <f t="shared" si="35"/>
        <v/>
      </c>
      <c r="F147" s="381">
        <f>IF(B147="","",IFERROR('TECH DATA ENTRY'!G164,"NA"))</f>
        <v>4.0000000000000001E-3</v>
      </c>
      <c r="G147" s="530" t="str">
        <f t="shared" si="36"/>
        <v/>
      </c>
      <c r="H147" s="381" t="str">
        <f>IF(OR(ISTEXT(B147)=TRUE, D147="NA",D147=""),"NA", roundsf(MAX(L147,M147),C147))</f>
        <v>NA</v>
      </c>
      <c r="I147" s="325" t="str">
        <f t="shared" si="37"/>
        <v>NA</v>
      </c>
      <c r="J147" s="299"/>
      <c r="K147" s="245"/>
      <c r="L147" s="506">
        <f>(32/1000000)*B147+(1.4/1000)</f>
        <v>1.4E-3</v>
      </c>
      <c r="M147" s="244" t="str">
        <f>UNC_CALCULATION!AM136</f>
        <v>NA</v>
      </c>
      <c r="N147" s="85"/>
      <c r="O147" s="58"/>
      <c r="P147" s="69" t="e">
        <f>IF(B147="","",INDEX('AUX TABLES'!$G$4:$K$8,AV147,AW147))</f>
        <v>#VALUE!</v>
      </c>
      <c r="Q147" s="150" t="e">
        <f>IF(AJ$11=FALSE,IF(B147="","",IF(AJ147="NA",P147,INDEX('AUX TABLES'!$G$4:$K$8,AY147,AZ147))),IF(P147="FAIL",P147,INDEX('AUX TABLES'!$G$4:$K$8,AY147,AZ147)))</f>
        <v>#VALUE!</v>
      </c>
      <c r="R147" s="150" t="e">
        <f>IF(AJ$11=FALSE,IF(B147="","",IF(AJ147="NA",P147,INDEX('AUX TABLES'!$G$4:$K$8,BB147,BC147))),IF(P147="FAIL",P147,INDEX('AUX TABLES'!$G$4:$K$8,BB147,BC147)))</f>
        <v>#VALUE!</v>
      </c>
      <c r="S147" s="69" t="e">
        <f>INDEX('AUX TABLES'!$G$4:$K$8,AM147,AN147)</f>
        <v>#VALUE!</v>
      </c>
      <c r="T147" s="69" t="e">
        <f>IF(AJ$11=FALSE,IF(AJ147="NA",S147,INDEX('AUX TABLES'!$G$4:$K$8,AP147,AQ147)),IF(S147="FAIL",S147,INDEX('AUX TABLES'!$G$4:$K$8,AP147,AQ147)))</f>
        <v>#VALUE!</v>
      </c>
      <c r="U147" s="150" t="e">
        <f>IF(AJ$11=FALSE,IF(AJ147="NA",S147,INDEX('AUX TABLES'!$G$4:$K$8,AS147,AT147)),IF(S147="FAIL",S147,INDEX('AUX TABLES'!$G$4:$K$8,AS147,AT147)))</f>
        <v>#VALUE!</v>
      </c>
      <c r="V147" s="150" t="str">
        <f t="shared" si="38"/>
        <v/>
      </c>
      <c r="W147" s="74">
        <f t="shared" si="39"/>
        <v>4.0000000000000001E-3</v>
      </c>
      <c r="X147" s="74" t="str">
        <f t="shared" si="40"/>
        <v>NA</v>
      </c>
      <c r="Y147" s="74" t="str">
        <f t="shared" si="41"/>
        <v>NA</v>
      </c>
      <c r="Z147" s="74" t="str">
        <f t="shared" si="42"/>
        <v>NA</v>
      </c>
      <c r="AA147" s="74" t="str">
        <f t="shared" si="43"/>
        <v>NA</v>
      </c>
      <c r="AB147" s="74">
        <f t="shared" si="44"/>
        <v>0</v>
      </c>
      <c r="AC147" s="69" t="str">
        <f>IF(ISTEXT('TECH DATA ENTRY'!L164)=TRUE,"NA",'TECH DATA ENTRY'!H164)</f>
        <v>NA</v>
      </c>
      <c r="AD147" s="69" t="str">
        <f t="shared" si="45"/>
        <v>NA</v>
      </c>
      <c r="AE147" s="69" t="str">
        <f t="shared" si="46"/>
        <v>NA</v>
      </c>
      <c r="AF147" s="69" t="e">
        <f t="shared" si="47"/>
        <v>#VALUE!</v>
      </c>
      <c r="AG147" s="69" t="e">
        <f t="shared" si="48"/>
        <v>#VALUE!</v>
      </c>
      <c r="AH147" s="69" t="e">
        <f t="shared" si="49"/>
        <v>#VALUE!</v>
      </c>
      <c r="AI147" s="69" t="e">
        <f t="shared" si="50"/>
        <v>#VALUE!</v>
      </c>
      <c r="AJ147" s="70" t="str">
        <f>IF(OR(ISTEXT('TECH DATA ENTRY'!L164)=TRUE,ISTEXT('TECH DATA ENTRY'!F164)=TRUE,ISTEXT('TECH DATA ENTRY'!G164)=TRUE),"NA",(W147-AB147)/(2*MAX(M147,L147)))</f>
        <v>NA</v>
      </c>
      <c r="AK147" s="69" t="str">
        <f t="shared" si="51"/>
        <v>NA</v>
      </c>
      <c r="AM147" s="73" t="e">
        <f t="shared" si="52"/>
        <v>#VALUE!</v>
      </c>
      <c r="AN147" s="73" t="e">
        <f t="shared" si="53"/>
        <v>#VALUE!</v>
      </c>
      <c r="AO147" s="87"/>
      <c r="AP147" s="73" t="e">
        <f t="shared" si="54"/>
        <v>#VALUE!</v>
      </c>
      <c r="AQ147" s="73" t="e">
        <f t="shared" si="55"/>
        <v>#VALUE!</v>
      </c>
      <c r="AR147" s="87"/>
      <c r="AS147" s="73" t="e">
        <f t="shared" si="56"/>
        <v>#VALUE!</v>
      </c>
      <c r="AT147" s="73" t="e">
        <f t="shared" si="57"/>
        <v>#VALUE!</v>
      </c>
      <c r="AV147" s="73" t="e">
        <f t="shared" si="58"/>
        <v>#VALUE!</v>
      </c>
      <c r="AW147" s="73" t="e">
        <f t="shared" si="59"/>
        <v>#VALUE!</v>
      </c>
      <c r="AX147" s="87"/>
      <c r="AY147" s="73" t="e">
        <f t="shared" si="60"/>
        <v>#VALUE!</v>
      </c>
      <c r="AZ147" s="73" t="e">
        <f t="shared" si="61"/>
        <v>#VALUE!</v>
      </c>
      <c r="BA147" s="87"/>
      <c r="BB147" s="73" t="e">
        <f t="shared" si="62"/>
        <v>#VALUE!</v>
      </c>
      <c r="BC147" s="73" t="e">
        <f t="shared" si="63"/>
        <v>#VALUE!</v>
      </c>
    </row>
    <row r="148" spans="1:55" s="86" customFormat="1" ht="25" customHeight="1">
      <c r="A148" s="668" t="str">
        <f>IF('TECH DATA ENTRY'!A165="","",'TECH DATA ENTRY'!A165)</f>
        <v/>
      </c>
      <c r="B148" s="381">
        <f>IF('TECH DATA ENTRY'!B165="","",'TECH DATA ENTRY'!B165)</f>
        <v>100</v>
      </c>
      <c r="C148" s="381">
        <f>IF(B148="","",IFERROR('TECH DATA ENTRY'!F165,"NA"))</f>
        <v>99.986000000000004</v>
      </c>
      <c r="D148" s="381" t="str">
        <f>IF('TECH DATA ENTRY'!L165="","",'TECH DATA ENTRY'!L165)</f>
        <v/>
      </c>
      <c r="E148" s="381" t="str">
        <f t="shared" ref="E148:E211" si="65">IF(LEFT(P$11,3)="ROV",AK148,D148)</f>
        <v/>
      </c>
      <c r="F148" s="381">
        <f>IF(B148="","",IFERROR('TECH DATA ENTRY'!G165,"NA"))</f>
        <v>100.014</v>
      </c>
      <c r="G148" s="530" t="str">
        <f t="shared" ref="G148:G211" si="66">IF(D148="","",IF(OR($P$11="ACC CAL WITHOUT GB",$P$11="DATA NO UNC"),P148,IF($P$11="ACC CAL WITH GB - Method 5",R148,Q148)))</f>
        <v/>
      </c>
      <c r="H148" s="381" t="str">
        <f>IF(OR(ISTEXT(B148)=TRUE, D148="NA",D148=""),"NA", roundsf(MAX(L148,M148),C148))</f>
        <v>NA</v>
      </c>
      <c r="I148" s="325" t="str">
        <f t="shared" ref="I148:I211" si="67">IF(AJ148="NA","NA",(IF(AJ148&gt;=4,"≥ 4.0 : 1",TEXT(AJ148,"0.0")&amp;" : 1")))</f>
        <v>NA</v>
      </c>
      <c r="J148" s="299"/>
      <c r="K148" s="245"/>
      <c r="L148" s="506">
        <f>(32/1000000)*B148+(1.4/1000)</f>
        <v>4.5999999999999999E-3</v>
      </c>
      <c r="M148" s="244" t="str">
        <f>UNC_CALCULATION!AM137</f>
        <v>NA</v>
      </c>
      <c r="N148" s="85"/>
      <c r="O148" s="58"/>
      <c r="P148" s="69" t="e">
        <f>IF(B148="","",INDEX('AUX TABLES'!$G$4:$K$8,AV148,AW148))</f>
        <v>#VALUE!</v>
      </c>
      <c r="Q148" s="150" t="e">
        <f>IF(AJ$11=FALSE,IF(B148="","",IF(AJ148="NA",P148,INDEX('AUX TABLES'!$G$4:$K$8,AY148,AZ148))),IF(P148="FAIL",P148,INDEX('AUX TABLES'!$G$4:$K$8,AY148,AZ148)))</f>
        <v>#VALUE!</v>
      </c>
      <c r="R148" s="150" t="e">
        <f>IF(AJ$11=FALSE,IF(B148="","",IF(AJ148="NA",P148,INDEX('AUX TABLES'!$G$4:$K$8,BB148,BC148))),IF(P148="FAIL",P148,INDEX('AUX TABLES'!$G$4:$K$8,BB148,BC148)))</f>
        <v>#VALUE!</v>
      </c>
      <c r="S148" s="69" t="e">
        <f>INDEX('AUX TABLES'!$G$4:$K$8,AM148,AN148)</f>
        <v>#VALUE!</v>
      </c>
      <c r="T148" s="69" t="e">
        <f>IF(AJ$11=FALSE,IF(AJ148="NA",S148,INDEX('AUX TABLES'!$G$4:$K$8,AP148,AQ148)),IF(S148="FAIL",S148,INDEX('AUX TABLES'!$G$4:$K$8,AP148,AQ148)))</f>
        <v>#VALUE!</v>
      </c>
      <c r="U148" s="150" t="e">
        <f>IF(AJ$11=FALSE,IF(AJ148="NA",S148,INDEX('AUX TABLES'!$G$4:$K$8,AS148,AT148)),IF(S148="FAIL",S148,INDEX('AUX TABLES'!$G$4:$K$8,AS148,AT148)))</f>
        <v>#VALUE!</v>
      </c>
      <c r="V148" s="150" t="str">
        <f t="shared" ref="V148:V211" si="68">IF(D148="","",IF(OR($P$11="ACC CAL WITHOUT GB",$P$11="DATA NO UNC"),S148,IF($P$11="ACC CAL WITH GB - Method 5",U148,T148)))</f>
        <v/>
      </c>
      <c r="W148" s="74">
        <f t="shared" ref="W148:W211" si="69">F148</f>
        <v>100.014</v>
      </c>
      <c r="X148" s="74" t="str">
        <f t="shared" ref="X148:X211" si="70">IFERROR(W148-AD148,"NA")</f>
        <v>NA</v>
      </c>
      <c r="Y148" s="74" t="str">
        <f t="shared" ref="Y148:Y211" si="71">IFERROR(W148-AE148,"NA")</f>
        <v>NA</v>
      </c>
      <c r="Z148" s="74" t="str">
        <f t="shared" ref="Z148:Z211" si="72">IFERROR(AB148+AE148,"NA")</f>
        <v>NA</v>
      </c>
      <c r="AA148" s="74" t="str">
        <f t="shared" ref="AA148:AA211" si="73">IFERROR(AB148+AD148,"NA")</f>
        <v>NA</v>
      </c>
      <c r="AB148" s="74">
        <f t="shared" ref="AB148:AB211" si="74">C148</f>
        <v>99.986000000000004</v>
      </c>
      <c r="AC148" s="69" t="str">
        <f>IF(ISTEXT('TECH DATA ENTRY'!L165)=TRUE,"NA",'TECH DATA ENTRY'!H165)</f>
        <v>NA</v>
      </c>
      <c r="AD148" s="69" t="str">
        <f t="shared" ref="AD148:AD211" si="75">IF(AJ148="NA","NA",IF(AJ148&lt;0,0,ABS(MAX(M148,L148)*(1.04-EXP(0.38*LN((W148-AB148)/(2*MAX(M148,L148)))-0.54)))))</f>
        <v>NA</v>
      </c>
      <c r="AE148" s="69" t="str">
        <f t="shared" ref="AE148:AE211" si="76">IF(ISTEXT(D148)=TRUE,"NA",MAX(L148,M148))</f>
        <v>NA</v>
      </c>
      <c r="AF148" s="69" t="e">
        <f t="shared" ref="AF148:AF211" si="77">D148-MAX(L148:M148)</f>
        <v>#VALUE!</v>
      </c>
      <c r="AG148" s="69" t="e">
        <f t="shared" ref="AG148:AG211" si="78">D148+MAX(L148:M148)</f>
        <v>#VALUE!</v>
      </c>
      <c r="AH148" s="69" t="e">
        <f t="shared" ref="AH148:AH211" si="79">E148-MAX(L148:M148)</f>
        <v>#VALUE!</v>
      </c>
      <c r="AI148" s="69" t="e">
        <f t="shared" ref="AI148:AI211" si="80">E148+MAX(L148:M148)</f>
        <v>#VALUE!</v>
      </c>
      <c r="AJ148" s="70" t="str">
        <f>IF(OR(ISTEXT('TECH DATA ENTRY'!L165)=TRUE,ISTEXT('TECH DATA ENTRY'!F165)=TRUE,ISTEXT('TECH DATA ENTRY'!G165)=TRUE),"NA",(W148-AB148)/(2*MAX(M148,L148)))</f>
        <v>NA</v>
      </c>
      <c r="AK148" s="69" t="str">
        <f t="shared" ref="AK148:AK211" si="81">IF(ISTEXT(D148)=TRUE,"NA",B148-D148)</f>
        <v>NA</v>
      </c>
      <c r="AM148" s="73" t="e">
        <f t="shared" ref="AM148:AM211" si="82">IF(LEFT(P$11,3)="ROV",1,IF(D148="NA",5,IF(ISTEXT(B148)=TRUE,IF(D148=B148,1,4),IF(ISTEXT(F148)=TRUE,5,IF(D148+MAX(L148:M148)*AK$9&lt;=W148,1,IF(AND(OR(D148=B148,D148&lt;=W148),D148+MAX(L148:M148)*AK$9&gt;W148),2,IF(D148-MAX(L148:M148)*AK$9&gt;W148,4,3)))))))</f>
        <v>#VALUE!</v>
      </c>
      <c r="AN148" s="73" t="e">
        <f t="shared" ref="AN148:AN211" si="83">IF(LEFT(P$11,3)="ROV",1,IF(D148="NA",5,IF(ISTEXT(B148)=TRUE,IF(D148=B148,1,4),IF(ISTEXT(C148)=TRUE,5,IF($D148-MAX(L148:M148)*AK$9&gt;=AB148,1,IF(AND(OR(D148=B148,D148&gt;=AB148),D148-MAX(L148:M148)*AK$9&lt;AB148),2,IF($D148+MAX(L148:M148)*AK$9&lt;AB148,4,3)))))))</f>
        <v>#VALUE!</v>
      </c>
      <c r="AO148" s="87"/>
      <c r="AP148" s="73" t="e">
        <f t="shared" ref="AP148:AP211" si="84">IF(LEFT(P$11,3)="ROV",1,IF(D148="NA",5,IF(ISTEXT(B148)=TRUE,IF(D148=B148,1,4),IF(ISTEXT(F148)=TRUE,5,IF((AF148&gt;=W148),4,IF(AND(D148&lt;X148,AG148&gt;=W148),2,IF(AND(D148&gt;=X148,AF148&lt;W148),3,1)))))))</f>
        <v>#VALUE!</v>
      </c>
      <c r="AQ148" s="73" t="e">
        <f t="shared" ref="AQ148:AQ211" si="85">IF(LEFT(P$11,3)="ROV",1,IF(D148="NA",5,IF(ISTEXT(B148)=TRUE,IF(D148=B148,1,4),IF(ISTEXT(C148)=TRUE,5,IF((AG148&lt;=AB148),4,IF(AND(D148&gt;AA148,AF148&lt;=AB148),2,IF(AND(D148&lt;=AA148,AG148&gt;AB148),3,1)))))))</f>
        <v>#VALUE!</v>
      </c>
      <c r="AR148" s="87"/>
      <c r="AS148" s="73" t="e">
        <f t="shared" ref="AS148:AS211" si="86">IF(LEFT(P$11,3)="ROV",1,IF(D148="NA",5,IF(ISTEXT(B148)=TRUE,IF(D148=B148,1,4),IF(ISTEXT(F148)=TRUE,5,IF(AF148&gt;=W148,4,IF(AND(D148&gt;=Y148,AF148&lt;W148),3,1))))))</f>
        <v>#VALUE!</v>
      </c>
      <c r="AT148" s="73" t="e">
        <f t="shared" ref="AT148:AT211" si="87">IF(LEFT(P$11,3)="ROV",1,IF(D148="NA",5,IF(ISTEXT(B148)=TRUE,IF(D148=B148,1,4),IF(ISTEXT(C148)=TRUE,5,IF(AG148&lt;=AB148,4,IF(AND(D148&lt;=Z148,AG148&gt;AB148),3,1))))))</f>
        <v>#VALUE!</v>
      </c>
      <c r="AV148" s="73" t="e">
        <f t="shared" ref="AV148:AV211" si="88">IF(LEFT(P$11,3)="ROV",1,IF(D148="NA",5,IF(ISTEXT(B148)=TRUE,IF(D148=B148,1,4),IF(ISTEXT(F148)=TRUE,5,IF(E148+MAX(L148:M148)*AK$9&lt;=W148,1,IF(AND(OR(E148=B148,E148&lt;=W148),E148+MAX(L148:M148)*AK$9&gt;W148),2,IF(E148-MAX(L148:M148)*AK$9&gt;W148,4,3)))))))</f>
        <v>#VALUE!</v>
      </c>
      <c r="AW148" s="73" t="e">
        <f t="shared" ref="AW148:AW211" si="89">IF(LEFT(P$11,3)="ROV",1,IF(D148="NA",5,IF(ISTEXT(B148)=TRUE,IF(D148=B148,1,4),IF(ISTEXT(C148)=TRUE,5,IF($E148-MAX(L148:M148)*AK$9&gt;=AB148,1,IF(AND(OR(E148=B148,E148&gt;=AB148),E148-MAX(L148:M148)*AK$9&lt;AB148),2,IF($E148+MAX(L148:M148)*AK$9&lt;AB148,4,3)))))))</f>
        <v>#VALUE!</v>
      </c>
      <c r="AX148" s="87"/>
      <c r="AY148" s="73" t="e">
        <f t="shared" ref="AY148:AY211" si="90">IF(LEFT(P$11,3)="ROV",1,IF(D148="NA",5,IF(ISTEXT(B148)=TRUE,IF(D148=B148,1,4),IF(ISTEXT(F148)=TRUE,5,IF((AH148&gt;=W148),4,IF(AND(E148&lt;X148,AI148&gt;=W148),2,IF(AND(E148&gt;=X148,AH148&lt;W148),3,1)))))))</f>
        <v>#VALUE!</v>
      </c>
      <c r="AZ148" s="73" t="e">
        <f t="shared" ref="AZ148:AZ211" si="91">IF(LEFT(P$11,3)="ROV",1,IF(D148="NA",5,IF(ISTEXT(B148)=TRUE,IF(D148=B148,1,4),IF(ISTEXT(C148)=TRUE,5,IF((AI148&lt;=AB148),4,IF(AND(E148&gt;AA148,AH148&lt;=AB148),2,IF(AND(E148&lt;=AA148,AI148&gt;AB148),3,1)))))))</f>
        <v>#VALUE!</v>
      </c>
      <c r="BA148" s="87"/>
      <c r="BB148" s="73" t="e">
        <f t="shared" ref="BB148:BB211" si="92">IF(LEFT(P$11,3)="ROV",1,IF(D148="NA",5,IF(ISTEXT(B148)=TRUE,IF(D148=B148,1,4),IF(ISTEXT(F148)=TRUE,5,IF(AH148&gt;=W148,4,IF(AND(E148&gt;=Y148,AH148&lt;W148),3,1))))))</f>
        <v>#VALUE!</v>
      </c>
      <c r="BC148" s="73" t="e">
        <f t="shared" ref="BC148:BC211" si="93">IF(LEFT(P$11,3)="ROV",1,IF(D148="NA",5,IF(ISTEXT(B148)=TRUE,IF(D148=B148,1,4),IF(ISTEXT(C148)=TRUE,5,IF(AI148&lt;=AB148,4,IF(AND(E148&lt;=Z148,AI148&gt;AB148),3,1))))))</f>
        <v>#VALUE!</v>
      </c>
    </row>
    <row r="149" spans="1:55" s="86" customFormat="1" ht="25" customHeight="1">
      <c r="A149" s="665" t="str">
        <f>IF('TECH DATA ENTRY'!A166="","",'TECH DATA ENTRY'!A166)</f>
        <v>1 kΩ</v>
      </c>
      <c r="B149" s="384">
        <f>IF('TECH DATA ENTRY'!B166="","",'TECH DATA ENTRY'!B166)</f>
        <v>0</v>
      </c>
      <c r="C149" s="384">
        <f>IF(B149="","",IFERROR('TECH DATA ENTRY'!F166,"NA"))</f>
        <v>0</v>
      </c>
      <c r="D149" s="384" t="str">
        <f>IF('TECH DATA ENTRY'!L166="","",'TECH DATA ENTRY'!L166)</f>
        <v/>
      </c>
      <c r="E149" s="384" t="str">
        <f t="shared" si="65"/>
        <v/>
      </c>
      <c r="F149" s="384">
        <f>IF(B149="","",IFERROR('TECH DATA ENTRY'!G166,"NA"))</f>
        <v>1.0000000000000001E-5</v>
      </c>
      <c r="G149" s="531" t="str">
        <f t="shared" si="66"/>
        <v/>
      </c>
      <c r="H149" s="384" t="str">
        <f>IF(OR(ISTEXT(B149)=TRUE, D149="NA",D149=""),"NA", roundsf(MAX(L149,M149),C149))</f>
        <v>NA</v>
      </c>
      <c r="I149" s="325" t="str">
        <f t="shared" si="67"/>
        <v>NA</v>
      </c>
      <c r="J149" s="299"/>
      <c r="K149" s="245"/>
      <c r="L149" s="506">
        <f>(31/1000000)*B149+(2/1000000)</f>
        <v>1.9999999999999999E-6</v>
      </c>
      <c r="M149" s="244" t="str">
        <f>UNC_CALCULATION!AM138</f>
        <v>NA</v>
      </c>
      <c r="N149" s="85"/>
      <c r="O149" s="58"/>
      <c r="P149" s="69" t="e">
        <f>IF(B149="","",INDEX('AUX TABLES'!$G$4:$K$8,AV149,AW149))</f>
        <v>#VALUE!</v>
      </c>
      <c r="Q149" s="150" t="e">
        <f>IF(AJ$11=FALSE,IF(B149="","",IF(AJ149="NA",P149,INDEX('AUX TABLES'!$G$4:$K$8,AY149,AZ149))),IF(P149="FAIL",P149,INDEX('AUX TABLES'!$G$4:$K$8,AY149,AZ149)))</f>
        <v>#VALUE!</v>
      </c>
      <c r="R149" s="150" t="e">
        <f>IF(AJ$11=FALSE,IF(B149="","",IF(AJ149="NA",P149,INDEX('AUX TABLES'!$G$4:$K$8,BB149,BC149))),IF(P149="FAIL",P149,INDEX('AUX TABLES'!$G$4:$K$8,BB149,BC149)))</f>
        <v>#VALUE!</v>
      </c>
      <c r="S149" s="69" t="e">
        <f>INDEX('AUX TABLES'!$G$4:$K$8,AM149,AN149)</f>
        <v>#VALUE!</v>
      </c>
      <c r="T149" s="69" t="e">
        <f>IF(AJ$11=FALSE,IF(AJ149="NA",S149,INDEX('AUX TABLES'!$G$4:$K$8,AP149,AQ149)),IF(S149="FAIL",S149,INDEX('AUX TABLES'!$G$4:$K$8,AP149,AQ149)))</f>
        <v>#VALUE!</v>
      </c>
      <c r="U149" s="150" t="e">
        <f>IF(AJ$11=FALSE,IF(AJ149="NA",S149,INDEX('AUX TABLES'!$G$4:$K$8,AS149,AT149)),IF(S149="FAIL",S149,INDEX('AUX TABLES'!$G$4:$K$8,AS149,AT149)))</f>
        <v>#VALUE!</v>
      </c>
      <c r="V149" s="150" t="str">
        <f t="shared" si="68"/>
        <v/>
      </c>
      <c r="W149" s="74">
        <f t="shared" si="69"/>
        <v>1.0000000000000001E-5</v>
      </c>
      <c r="X149" s="74" t="str">
        <f t="shared" si="70"/>
        <v>NA</v>
      </c>
      <c r="Y149" s="74" t="str">
        <f t="shared" si="71"/>
        <v>NA</v>
      </c>
      <c r="Z149" s="74" t="str">
        <f t="shared" si="72"/>
        <v>NA</v>
      </c>
      <c r="AA149" s="74" t="str">
        <f t="shared" si="73"/>
        <v>NA</v>
      </c>
      <c r="AB149" s="74">
        <f t="shared" si="74"/>
        <v>0</v>
      </c>
      <c r="AC149" s="69" t="str">
        <f>IF(ISTEXT('TECH DATA ENTRY'!L166)=TRUE,"NA",'TECH DATA ENTRY'!H166)</f>
        <v>NA</v>
      </c>
      <c r="AD149" s="69" t="str">
        <f t="shared" si="75"/>
        <v>NA</v>
      </c>
      <c r="AE149" s="69" t="str">
        <f t="shared" si="76"/>
        <v>NA</v>
      </c>
      <c r="AF149" s="69" t="e">
        <f t="shared" si="77"/>
        <v>#VALUE!</v>
      </c>
      <c r="AG149" s="69" t="e">
        <f t="shared" si="78"/>
        <v>#VALUE!</v>
      </c>
      <c r="AH149" s="69" t="e">
        <f t="shared" si="79"/>
        <v>#VALUE!</v>
      </c>
      <c r="AI149" s="69" t="e">
        <f t="shared" si="80"/>
        <v>#VALUE!</v>
      </c>
      <c r="AJ149" s="70" t="str">
        <f>IF(OR(ISTEXT('TECH DATA ENTRY'!L166)=TRUE,ISTEXT('TECH DATA ENTRY'!F166)=TRUE,ISTEXT('TECH DATA ENTRY'!G166)=TRUE),"NA",(W149-AB149)/(2*MAX(M149,L149)))</f>
        <v>NA</v>
      </c>
      <c r="AK149" s="69" t="str">
        <f t="shared" si="81"/>
        <v>NA</v>
      </c>
      <c r="AM149" s="73" t="e">
        <f t="shared" si="82"/>
        <v>#VALUE!</v>
      </c>
      <c r="AN149" s="73" t="e">
        <f t="shared" si="83"/>
        <v>#VALUE!</v>
      </c>
      <c r="AO149" s="87"/>
      <c r="AP149" s="73" t="e">
        <f t="shared" si="84"/>
        <v>#VALUE!</v>
      </c>
      <c r="AQ149" s="73" t="e">
        <f t="shared" si="85"/>
        <v>#VALUE!</v>
      </c>
      <c r="AR149" s="87"/>
      <c r="AS149" s="73" t="e">
        <f t="shared" si="86"/>
        <v>#VALUE!</v>
      </c>
      <c r="AT149" s="73" t="e">
        <f t="shared" si="87"/>
        <v>#VALUE!</v>
      </c>
      <c r="AV149" s="73" t="e">
        <f t="shared" si="88"/>
        <v>#VALUE!</v>
      </c>
      <c r="AW149" s="73" t="e">
        <f t="shared" si="89"/>
        <v>#VALUE!</v>
      </c>
      <c r="AX149" s="87"/>
      <c r="AY149" s="73" t="e">
        <f t="shared" si="90"/>
        <v>#VALUE!</v>
      </c>
      <c r="AZ149" s="73" t="e">
        <f t="shared" si="91"/>
        <v>#VALUE!</v>
      </c>
      <c r="BA149" s="87"/>
      <c r="BB149" s="73" t="e">
        <f t="shared" si="92"/>
        <v>#VALUE!</v>
      </c>
      <c r="BC149" s="73" t="e">
        <f t="shared" si="93"/>
        <v>#VALUE!</v>
      </c>
    </row>
    <row r="150" spans="1:55" s="86" customFormat="1" ht="25" customHeight="1">
      <c r="A150" s="669" t="str">
        <f>IF('TECH DATA ENTRY'!A167="","",'TECH DATA ENTRY'!A167)</f>
        <v/>
      </c>
      <c r="B150" s="384">
        <f>IF('TECH DATA ENTRY'!B167="","",'TECH DATA ENTRY'!B167)</f>
        <v>1</v>
      </c>
      <c r="C150" s="384">
        <f>IF(B150="","",IFERROR('TECH DATA ENTRY'!F167,"NA"))</f>
        <v>0.99988999999999995</v>
      </c>
      <c r="D150" s="384" t="str">
        <f>IF('TECH DATA ENTRY'!L167="","",'TECH DATA ENTRY'!L167)</f>
        <v/>
      </c>
      <c r="E150" s="384" t="str">
        <f t="shared" si="65"/>
        <v/>
      </c>
      <c r="F150" s="384">
        <f>IF(B150="","",IFERROR('TECH DATA ENTRY'!G167,"NA"))</f>
        <v>1.0001100000000001</v>
      </c>
      <c r="G150" s="531" t="str">
        <f t="shared" si="66"/>
        <v/>
      </c>
      <c r="H150" s="384" t="str">
        <f>IF(OR(ISTEXT(B150)=TRUE, D150="NA",D150=""),"NA", roundsf(MAX(L150,M150),C150))</f>
        <v>NA</v>
      </c>
      <c r="I150" s="325" t="str">
        <f t="shared" si="67"/>
        <v>NA</v>
      </c>
      <c r="J150" s="299"/>
      <c r="K150" s="245"/>
      <c r="L150" s="506">
        <f>(31/1000000)*B150+(2/1000000)</f>
        <v>3.3000000000000003E-5</v>
      </c>
      <c r="M150" s="244" t="str">
        <f>UNC_CALCULATION!AM139</f>
        <v>NA</v>
      </c>
      <c r="N150" s="85"/>
      <c r="O150" s="58"/>
      <c r="P150" s="69" t="e">
        <f>IF(B150="","",INDEX('AUX TABLES'!$G$4:$K$8,AV150,AW150))</f>
        <v>#VALUE!</v>
      </c>
      <c r="Q150" s="150" t="e">
        <f>IF(AJ$11=FALSE,IF(B150="","",IF(AJ150="NA",P150,INDEX('AUX TABLES'!$G$4:$K$8,AY150,AZ150))),IF(P150="FAIL",P150,INDEX('AUX TABLES'!$G$4:$K$8,AY150,AZ150)))</f>
        <v>#VALUE!</v>
      </c>
      <c r="R150" s="150" t="e">
        <f>IF(AJ$11=FALSE,IF(B150="","",IF(AJ150="NA",P150,INDEX('AUX TABLES'!$G$4:$K$8,BB150,BC150))),IF(P150="FAIL",P150,INDEX('AUX TABLES'!$G$4:$K$8,BB150,BC150)))</f>
        <v>#VALUE!</v>
      </c>
      <c r="S150" s="69" t="e">
        <f>INDEX('AUX TABLES'!$G$4:$K$8,AM150,AN150)</f>
        <v>#VALUE!</v>
      </c>
      <c r="T150" s="69" t="e">
        <f>IF(AJ$11=FALSE,IF(AJ150="NA",S150,INDEX('AUX TABLES'!$G$4:$K$8,AP150,AQ150)),IF(S150="FAIL",S150,INDEX('AUX TABLES'!$G$4:$K$8,AP150,AQ150)))</f>
        <v>#VALUE!</v>
      </c>
      <c r="U150" s="150" t="e">
        <f>IF(AJ$11=FALSE,IF(AJ150="NA",S150,INDEX('AUX TABLES'!$G$4:$K$8,AS150,AT150)),IF(S150="FAIL",S150,INDEX('AUX TABLES'!$G$4:$K$8,AS150,AT150)))</f>
        <v>#VALUE!</v>
      </c>
      <c r="V150" s="150" t="str">
        <f t="shared" si="68"/>
        <v/>
      </c>
      <c r="W150" s="74">
        <f t="shared" si="69"/>
        <v>1.0001100000000001</v>
      </c>
      <c r="X150" s="74" t="str">
        <f t="shared" si="70"/>
        <v>NA</v>
      </c>
      <c r="Y150" s="74" t="str">
        <f t="shared" si="71"/>
        <v>NA</v>
      </c>
      <c r="Z150" s="74" t="str">
        <f t="shared" si="72"/>
        <v>NA</v>
      </c>
      <c r="AA150" s="74" t="str">
        <f t="shared" si="73"/>
        <v>NA</v>
      </c>
      <c r="AB150" s="74">
        <f t="shared" si="74"/>
        <v>0.99988999999999995</v>
      </c>
      <c r="AC150" s="69" t="str">
        <f>IF(ISTEXT('TECH DATA ENTRY'!L167)=TRUE,"NA",'TECH DATA ENTRY'!H167)</f>
        <v>NA</v>
      </c>
      <c r="AD150" s="69" t="str">
        <f t="shared" si="75"/>
        <v>NA</v>
      </c>
      <c r="AE150" s="69" t="str">
        <f t="shared" si="76"/>
        <v>NA</v>
      </c>
      <c r="AF150" s="69" t="e">
        <f t="shared" si="77"/>
        <v>#VALUE!</v>
      </c>
      <c r="AG150" s="69" t="e">
        <f t="shared" si="78"/>
        <v>#VALUE!</v>
      </c>
      <c r="AH150" s="69" t="e">
        <f t="shared" si="79"/>
        <v>#VALUE!</v>
      </c>
      <c r="AI150" s="69" t="e">
        <f t="shared" si="80"/>
        <v>#VALUE!</v>
      </c>
      <c r="AJ150" s="70" t="str">
        <f>IF(OR(ISTEXT('TECH DATA ENTRY'!L167)=TRUE,ISTEXT('TECH DATA ENTRY'!F167)=TRUE,ISTEXT('TECH DATA ENTRY'!G167)=TRUE),"NA",(W150-AB150)/(2*MAX(M150,L150)))</f>
        <v>NA</v>
      </c>
      <c r="AK150" s="69" t="str">
        <f t="shared" si="81"/>
        <v>NA</v>
      </c>
      <c r="AM150" s="73" t="e">
        <f t="shared" si="82"/>
        <v>#VALUE!</v>
      </c>
      <c r="AN150" s="73" t="e">
        <f t="shared" si="83"/>
        <v>#VALUE!</v>
      </c>
      <c r="AO150" s="87"/>
      <c r="AP150" s="73" t="e">
        <f t="shared" si="84"/>
        <v>#VALUE!</v>
      </c>
      <c r="AQ150" s="73" t="e">
        <f t="shared" si="85"/>
        <v>#VALUE!</v>
      </c>
      <c r="AR150" s="87"/>
      <c r="AS150" s="73" t="e">
        <f t="shared" si="86"/>
        <v>#VALUE!</v>
      </c>
      <c r="AT150" s="73" t="e">
        <f t="shared" si="87"/>
        <v>#VALUE!</v>
      </c>
      <c r="AV150" s="73" t="e">
        <f t="shared" si="88"/>
        <v>#VALUE!</v>
      </c>
      <c r="AW150" s="73" t="e">
        <f t="shared" si="89"/>
        <v>#VALUE!</v>
      </c>
      <c r="AX150" s="87"/>
      <c r="AY150" s="73" t="e">
        <f t="shared" si="90"/>
        <v>#VALUE!</v>
      </c>
      <c r="AZ150" s="73" t="e">
        <f t="shared" si="91"/>
        <v>#VALUE!</v>
      </c>
      <c r="BA150" s="87"/>
      <c r="BB150" s="73" t="e">
        <f t="shared" si="92"/>
        <v>#VALUE!</v>
      </c>
      <c r="BC150" s="73" t="e">
        <f t="shared" si="93"/>
        <v>#VALUE!</v>
      </c>
    </row>
    <row r="151" spans="1:55" s="86" customFormat="1" ht="25" customHeight="1">
      <c r="A151" s="665" t="str">
        <f>IF('TECH DATA ENTRY'!A168="","",'TECH DATA ENTRY'!A168)</f>
        <v>10 kΩ</v>
      </c>
      <c r="B151" s="387">
        <f>IF('TECH DATA ENTRY'!B168="","",'TECH DATA ENTRY'!B168)</f>
        <v>0</v>
      </c>
      <c r="C151" s="387">
        <f>IF(B151="","",IFERROR('TECH DATA ENTRY'!F168,"NA"))</f>
        <v>0</v>
      </c>
      <c r="D151" s="387" t="str">
        <f>IF('TECH DATA ENTRY'!L168="","",'TECH DATA ENTRY'!L168)</f>
        <v/>
      </c>
      <c r="E151" s="387" t="str">
        <f t="shared" si="65"/>
        <v/>
      </c>
      <c r="F151" s="387">
        <f>IF(B151="","",IFERROR('TECH DATA ENTRY'!G168,"NA"))</f>
        <v>1E-4</v>
      </c>
      <c r="G151" s="532" t="str">
        <f t="shared" si="66"/>
        <v/>
      </c>
      <c r="H151" s="387" t="str">
        <f>IF(OR(ISTEXT(B151)=TRUE, D151="NA",D151=""),"NA", roundsf(MAX(L151,M151),C151))</f>
        <v>NA</v>
      </c>
      <c r="I151" s="325" t="str">
        <f t="shared" si="67"/>
        <v>NA</v>
      </c>
      <c r="J151" s="299"/>
      <c r="K151" s="245"/>
      <c r="L151" s="506">
        <f>(25/1000000)*B151+(20/1000000)</f>
        <v>2.0000000000000002E-5</v>
      </c>
      <c r="M151" s="244" t="str">
        <f>UNC_CALCULATION!AM140</f>
        <v>NA</v>
      </c>
      <c r="N151" s="85"/>
      <c r="O151" s="58"/>
      <c r="P151" s="69" t="e">
        <f>IF(B151="","",INDEX('AUX TABLES'!$G$4:$K$8,AV151,AW151))</f>
        <v>#VALUE!</v>
      </c>
      <c r="Q151" s="150" t="e">
        <f>IF(AJ$11=FALSE,IF(B151="","",IF(AJ151="NA",P151,INDEX('AUX TABLES'!$G$4:$K$8,AY151,AZ151))),IF(P151="FAIL",P151,INDEX('AUX TABLES'!$G$4:$K$8,AY151,AZ151)))</f>
        <v>#VALUE!</v>
      </c>
      <c r="R151" s="150" t="e">
        <f>IF(AJ$11=FALSE,IF(B151="","",IF(AJ151="NA",P151,INDEX('AUX TABLES'!$G$4:$K$8,BB151,BC151))),IF(P151="FAIL",P151,INDEX('AUX TABLES'!$G$4:$K$8,BB151,BC151)))</f>
        <v>#VALUE!</v>
      </c>
      <c r="S151" s="69" t="e">
        <f>INDEX('AUX TABLES'!$G$4:$K$8,AM151,AN151)</f>
        <v>#VALUE!</v>
      </c>
      <c r="T151" s="69" t="e">
        <f>IF(AJ$11=FALSE,IF(AJ151="NA",S151,INDEX('AUX TABLES'!$G$4:$K$8,AP151,AQ151)),IF(S151="FAIL",S151,INDEX('AUX TABLES'!$G$4:$K$8,AP151,AQ151)))</f>
        <v>#VALUE!</v>
      </c>
      <c r="U151" s="150" t="e">
        <f>IF(AJ$11=FALSE,IF(AJ151="NA",S151,INDEX('AUX TABLES'!$G$4:$K$8,AS151,AT151)),IF(S151="FAIL",S151,INDEX('AUX TABLES'!$G$4:$K$8,AS151,AT151)))</f>
        <v>#VALUE!</v>
      </c>
      <c r="V151" s="150" t="str">
        <f t="shared" si="68"/>
        <v/>
      </c>
      <c r="W151" s="74">
        <f t="shared" si="69"/>
        <v>1E-4</v>
      </c>
      <c r="X151" s="74" t="str">
        <f t="shared" si="70"/>
        <v>NA</v>
      </c>
      <c r="Y151" s="74" t="str">
        <f t="shared" si="71"/>
        <v>NA</v>
      </c>
      <c r="Z151" s="74" t="str">
        <f t="shared" si="72"/>
        <v>NA</v>
      </c>
      <c r="AA151" s="74" t="str">
        <f t="shared" si="73"/>
        <v>NA</v>
      </c>
      <c r="AB151" s="74">
        <f t="shared" si="74"/>
        <v>0</v>
      </c>
      <c r="AC151" s="69" t="str">
        <f>IF(ISTEXT('TECH DATA ENTRY'!L168)=TRUE,"NA",'TECH DATA ENTRY'!H168)</f>
        <v>NA</v>
      </c>
      <c r="AD151" s="69" t="str">
        <f t="shared" si="75"/>
        <v>NA</v>
      </c>
      <c r="AE151" s="69" t="str">
        <f t="shared" si="76"/>
        <v>NA</v>
      </c>
      <c r="AF151" s="69" t="e">
        <f t="shared" si="77"/>
        <v>#VALUE!</v>
      </c>
      <c r="AG151" s="69" t="e">
        <f t="shared" si="78"/>
        <v>#VALUE!</v>
      </c>
      <c r="AH151" s="69" t="e">
        <f t="shared" si="79"/>
        <v>#VALUE!</v>
      </c>
      <c r="AI151" s="69" t="e">
        <f t="shared" si="80"/>
        <v>#VALUE!</v>
      </c>
      <c r="AJ151" s="70" t="str">
        <f>IF(OR(ISTEXT('TECH DATA ENTRY'!L168)=TRUE,ISTEXT('TECH DATA ENTRY'!F168)=TRUE,ISTEXT('TECH DATA ENTRY'!G168)=TRUE),"NA",(W151-AB151)/(2*MAX(M151,L151)))</f>
        <v>NA</v>
      </c>
      <c r="AK151" s="69" t="str">
        <f t="shared" si="81"/>
        <v>NA</v>
      </c>
      <c r="AM151" s="73" t="e">
        <f t="shared" si="82"/>
        <v>#VALUE!</v>
      </c>
      <c r="AN151" s="73" t="e">
        <f t="shared" si="83"/>
        <v>#VALUE!</v>
      </c>
      <c r="AO151" s="87"/>
      <c r="AP151" s="73" t="e">
        <f t="shared" si="84"/>
        <v>#VALUE!</v>
      </c>
      <c r="AQ151" s="73" t="e">
        <f t="shared" si="85"/>
        <v>#VALUE!</v>
      </c>
      <c r="AR151" s="87"/>
      <c r="AS151" s="73" t="e">
        <f t="shared" si="86"/>
        <v>#VALUE!</v>
      </c>
      <c r="AT151" s="73" t="e">
        <f t="shared" si="87"/>
        <v>#VALUE!</v>
      </c>
      <c r="AV151" s="73" t="e">
        <f t="shared" si="88"/>
        <v>#VALUE!</v>
      </c>
      <c r="AW151" s="73" t="e">
        <f t="shared" si="89"/>
        <v>#VALUE!</v>
      </c>
      <c r="AX151" s="87"/>
      <c r="AY151" s="73" t="e">
        <f t="shared" si="90"/>
        <v>#VALUE!</v>
      </c>
      <c r="AZ151" s="73" t="e">
        <f t="shared" si="91"/>
        <v>#VALUE!</v>
      </c>
      <c r="BA151" s="87"/>
      <c r="BB151" s="73" t="e">
        <f t="shared" si="92"/>
        <v>#VALUE!</v>
      </c>
      <c r="BC151" s="73" t="e">
        <f t="shared" si="93"/>
        <v>#VALUE!</v>
      </c>
    </row>
    <row r="152" spans="1:55" s="86" customFormat="1" ht="25" customHeight="1">
      <c r="A152" s="669" t="str">
        <f>IF('TECH DATA ENTRY'!A169="","",'TECH DATA ENTRY'!A169)</f>
        <v/>
      </c>
      <c r="B152" s="387">
        <f>IF('TECH DATA ENTRY'!B169="","",'TECH DATA ENTRY'!B169)</f>
        <v>10</v>
      </c>
      <c r="C152" s="387">
        <f>IF(B152="","",IFERROR('TECH DATA ENTRY'!F169,"NA"))</f>
        <v>9.9989000000000008</v>
      </c>
      <c r="D152" s="387" t="str">
        <f>IF('TECH DATA ENTRY'!L169="","",'TECH DATA ENTRY'!L169)</f>
        <v/>
      </c>
      <c r="E152" s="387" t="str">
        <f t="shared" si="65"/>
        <v/>
      </c>
      <c r="F152" s="387">
        <f>IF(B152="","",IFERROR('TECH DATA ENTRY'!G169,"NA"))</f>
        <v>10.001099999999999</v>
      </c>
      <c r="G152" s="532" t="str">
        <f t="shared" si="66"/>
        <v/>
      </c>
      <c r="H152" s="387" t="str">
        <f>IF(OR(ISTEXT(B152)=TRUE, D152="NA",D152=""),"NA", roundsf(MAX(L152,M152),C152))</f>
        <v>NA</v>
      </c>
      <c r="I152" s="325" t="str">
        <f t="shared" si="67"/>
        <v>NA</v>
      </c>
      <c r="J152" s="299"/>
      <c r="K152" s="245"/>
      <c r="L152" s="506">
        <f>(25/1000000)*B152+(20/1000000)</f>
        <v>2.7E-4</v>
      </c>
      <c r="M152" s="244" t="str">
        <f>UNC_CALCULATION!AM141</f>
        <v>NA</v>
      </c>
      <c r="N152" s="85"/>
      <c r="O152" s="58"/>
      <c r="P152" s="69" t="e">
        <f>IF(B152="","",INDEX('AUX TABLES'!$G$4:$K$8,AV152,AW152))</f>
        <v>#VALUE!</v>
      </c>
      <c r="Q152" s="150" t="e">
        <f>IF(AJ$11=FALSE,IF(B152="","",IF(AJ152="NA",P152,INDEX('AUX TABLES'!$G$4:$K$8,AY152,AZ152))),IF(P152="FAIL",P152,INDEX('AUX TABLES'!$G$4:$K$8,AY152,AZ152)))</f>
        <v>#VALUE!</v>
      </c>
      <c r="R152" s="150" t="e">
        <f>IF(AJ$11=FALSE,IF(B152="","",IF(AJ152="NA",P152,INDEX('AUX TABLES'!$G$4:$K$8,BB152,BC152))),IF(P152="FAIL",P152,INDEX('AUX TABLES'!$G$4:$K$8,BB152,BC152)))</f>
        <v>#VALUE!</v>
      </c>
      <c r="S152" s="69" t="e">
        <f>INDEX('AUX TABLES'!$G$4:$K$8,AM152,AN152)</f>
        <v>#VALUE!</v>
      </c>
      <c r="T152" s="69" t="e">
        <f>IF(AJ$11=FALSE,IF(AJ152="NA",S152,INDEX('AUX TABLES'!$G$4:$K$8,AP152,AQ152)),IF(S152="FAIL",S152,INDEX('AUX TABLES'!$G$4:$K$8,AP152,AQ152)))</f>
        <v>#VALUE!</v>
      </c>
      <c r="U152" s="150" t="e">
        <f>IF(AJ$11=FALSE,IF(AJ152="NA",S152,INDEX('AUX TABLES'!$G$4:$K$8,AS152,AT152)),IF(S152="FAIL",S152,INDEX('AUX TABLES'!$G$4:$K$8,AS152,AT152)))</f>
        <v>#VALUE!</v>
      </c>
      <c r="V152" s="150" t="str">
        <f t="shared" si="68"/>
        <v/>
      </c>
      <c r="W152" s="74">
        <f t="shared" si="69"/>
        <v>10.001099999999999</v>
      </c>
      <c r="X152" s="74" t="str">
        <f t="shared" si="70"/>
        <v>NA</v>
      </c>
      <c r="Y152" s="74" t="str">
        <f t="shared" si="71"/>
        <v>NA</v>
      </c>
      <c r="Z152" s="74" t="str">
        <f t="shared" si="72"/>
        <v>NA</v>
      </c>
      <c r="AA152" s="74" t="str">
        <f t="shared" si="73"/>
        <v>NA</v>
      </c>
      <c r="AB152" s="74">
        <f t="shared" si="74"/>
        <v>9.9989000000000008</v>
      </c>
      <c r="AC152" s="69" t="str">
        <f>IF(ISTEXT('TECH DATA ENTRY'!L169)=TRUE,"NA",'TECH DATA ENTRY'!H169)</f>
        <v>NA</v>
      </c>
      <c r="AD152" s="69" t="str">
        <f t="shared" si="75"/>
        <v>NA</v>
      </c>
      <c r="AE152" s="69" t="str">
        <f t="shared" si="76"/>
        <v>NA</v>
      </c>
      <c r="AF152" s="69" t="e">
        <f t="shared" si="77"/>
        <v>#VALUE!</v>
      </c>
      <c r="AG152" s="69" t="e">
        <f t="shared" si="78"/>
        <v>#VALUE!</v>
      </c>
      <c r="AH152" s="69" t="e">
        <f t="shared" si="79"/>
        <v>#VALUE!</v>
      </c>
      <c r="AI152" s="69" t="e">
        <f t="shared" si="80"/>
        <v>#VALUE!</v>
      </c>
      <c r="AJ152" s="70" t="str">
        <f>IF(OR(ISTEXT('TECH DATA ENTRY'!L169)=TRUE,ISTEXT('TECH DATA ENTRY'!F169)=TRUE,ISTEXT('TECH DATA ENTRY'!G169)=TRUE),"NA",(W152-AB152)/(2*MAX(M152,L152)))</f>
        <v>NA</v>
      </c>
      <c r="AK152" s="69" t="str">
        <f t="shared" si="81"/>
        <v>NA</v>
      </c>
      <c r="AM152" s="73" t="e">
        <f t="shared" si="82"/>
        <v>#VALUE!</v>
      </c>
      <c r="AN152" s="73" t="e">
        <f t="shared" si="83"/>
        <v>#VALUE!</v>
      </c>
      <c r="AO152" s="87"/>
      <c r="AP152" s="73" t="e">
        <f t="shared" si="84"/>
        <v>#VALUE!</v>
      </c>
      <c r="AQ152" s="73" t="e">
        <f t="shared" si="85"/>
        <v>#VALUE!</v>
      </c>
      <c r="AR152" s="87"/>
      <c r="AS152" s="73" t="e">
        <f t="shared" si="86"/>
        <v>#VALUE!</v>
      </c>
      <c r="AT152" s="73" t="e">
        <f t="shared" si="87"/>
        <v>#VALUE!</v>
      </c>
      <c r="AV152" s="73" t="e">
        <f t="shared" si="88"/>
        <v>#VALUE!</v>
      </c>
      <c r="AW152" s="73" t="e">
        <f t="shared" si="89"/>
        <v>#VALUE!</v>
      </c>
      <c r="AX152" s="87"/>
      <c r="AY152" s="73" t="e">
        <f t="shared" si="90"/>
        <v>#VALUE!</v>
      </c>
      <c r="AZ152" s="73" t="e">
        <f t="shared" si="91"/>
        <v>#VALUE!</v>
      </c>
      <c r="BA152" s="87"/>
      <c r="BB152" s="73" t="e">
        <f t="shared" si="92"/>
        <v>#VALUE!</v>
      </c>
      <c r="BC152" s="73" t="e">
        <f t="shared" si="93"/>
        <v>#VALUE!</v>
      </c>
    </row>
    <row r="153" spans="1:55" s="86" customFormat="1" ht="25" customHeight="1">
      <c r="A153" s="665" t="str">
        <f>IF('TECH DATA ENTRY'!A170="","",'TECH DATA ENTRY'!A170)</f>
        <v>100 kΩ</v>
      </c>
      <c r="B153" s="390">
        <f>IF('TECH DATA ENTRY'!B170="","",'TECH DATA ENTRY'!B170)</f>
        <v>0</v>
      </c>
      <c r="C153" s="390">
        <f>IF(B153="","",IFERROR('TECH DATA ENTRY'!F170,"NA"))</f>
        <v>0</v>
      </c>
      <c r="D153" s="390" t="str">
        <f>IF('TECH DATA ENTRY'!L170="","",'TECH DATA ENTRY'!L170)</f>
        <v/>
      </c>
      <c r="E153" s="390" t="str">
        <f t="shared" si="65"/>
        <v/>
      </c>
      <c r="F153" s="390">
        <f>IF(B153="","",IFERROR('TECH DATA ENTRY'!G170,"NA"))</f>
        <v>1E-3</v>
      </c>
      <c r="G153" s="533" t="str">
        <f t="shared" si="66"/>
        <v/>
      </c>
      <c r="H153" s="390" t="str">
        <f>IF(OR(ISTEXT(B153)=TRUE, D153="NA",D153=""),"NA", roundsf(MAX(L153,M153),C153))</f>
        <v>NA</v>
      </c>
      <c r="I153" s="325" t="str">
        <f t="shared" si="67"/>
        <v>NA</v>
      </c>
      <c r="J153" s="299"/>
      <c r="K153" s="245"/>
      <c r="L153" s="506">
        <f>(33/1000000)*B153+(0.2/1000)</f>
        <v>2.0000000000000001E-4</v>
      </c>
      <c r="M153" s="244" t="str">
        <f>UNC_CALCULATION!AM142</f>
        <v>NA</v>
      </c>
      <c r="N153" s="85"/>
      <c r="O153" s="58"/>
      <c r="P153" s="69" t="e">
        <f>IF(B153="","",INDEX('AUX TABLES'!$G$4:$K$8,AV153,AW153))</f>
        <v>#VALUE!</v>
      </c>
      <c r="Q153" s="150" t="e">
        <f>IF(AJ$11=FALSE,IF(B153="","",IF(AJ153="NA",P153,INDEX('AUX TABLES'!$G$4:$K$8,AY153,AZ153))),IF(P153="FAIL",P153,INDEX('AUX TABLES'!$G$4:$K$8,AY153,AZ153)))</f>
        <v>#VALUE!</v>
      </c>
      <c r="R153" s="150" t="e">
        <f>IF(AJ$11=FALSE,IF(B153="","",IF(AJ153="NA",P153,INDEX('AUX TABLES'!$G$4:$K$8,BB153,BC153))),IF(P153="FAIL",P153,INDEX('AUX TABLES'!$G$4:$K$8,BB153,BC153)))</f>
        <v>#VALUE!</v>
      </c>
      <c r="S153" s="69" t="e">
        <f>INDEX('AUX TABLES'!$G$4:$K$8,AM153,AN153)</f>
        <v>#VALUE!</v>
      </c>
      <c r="T153" s="69" t="e">
        <f>IF(AJ$11=FALSE,IF(AJ153="NA",S153,INDEX('AUX TABLES'!$G$4:$K$8,AP153,AQ153)),IF(S153="FAIL",S153,INDEX('AUX TABLES'!$G$4:$K$8,AP153,AQ153)))</f>
        <v>#VALUE!</v>
      </c>
      <c r="U153" s="150" t="e">
        <f>IF(AJ$11=FALSE,IF(AJ153="NA",S153,INDEX('AUX TABLES'!$G$4:$K$8,AS153,AT153)),IF(S153="FAIL",S153,INDEX('AUX TABLES'!$G$4:$K$8,AS153,AT153)))</f>
        <v>#VALUE!</v>
      </c>
      <c r="V153" s="150" t="str">
        <f t="shared" si="68"/>
        <v/>
      </c>
      <c r="W153" s="74">
        <f t="shared" si="69"/>
        <v>1E-3</v>
      </c>
      <c r="X153" s="74" t="str">
        <f t="shared" si="70"/>
        <v>NA</v>
      </c>
      <c r="Y153" s="74" t="str">
        <f t="shared" si="71"/>
        <v>NA</v>
      </c>
      <c r="Z153" s="74" t="str">
        <f t="shared" si="72"/>
        <v>NA</v>
      </c>
      <c r="AA153" s="74" t="str">
        <f t="shared" si="73"/>
        <v>NA</v>
      </c>
      <c r="AB153" s="74">
        <f t="shared" si="74"/>
        <v>0</v>
      </c>
      <c r="AC153" s="69" t="str">
        <f>IF(ISTEXT('TECH DATA ENTRY'!L170)=TRUE,"NA",'TECH DATA ENTRY'!H170)</f>
        <v>NA</v>
      </c>
      <c r="AD153" s="69" t="str">
        <f t="shared" si="75"/>
        <v>NA</v>
      </c>
      <c r="AE153" s="69" t="str">
        <f t="shared" si="76"/>
        <v>NA</v>
      </c>
      <c r="AF153" s="69" t="e">
        <f t="shared" si="77"/>
        <v>#VALUE!</v>
      </c>
      <c r="AG153" s="69" t="e">
        <f t="shared" si="78"/>
        <v>#VALUE!</v>
      </c>
      <c r="AH153" s="69" t="e">
        <f t="shared" si="79"/>
        <v>#VALUE!</v>
      </c>
      <c r="AI153" s="69" t="e">
        <f t="shared" si="80"/>
        <v>#VALUE!</v>
      </c>
      <c r="AJ153" s="70" t="str">
        <f>IF(OR(ISTEXT('TECH DATA ENTRY'!L170)=TRUE,ISTEXT('TECH DATA ENTRY'!F170)=TRUE,ISTEXT('TECH DATA ENTRY'!G170)=TRUE),"NA",(W153-AB153)/(2*MAX(M153,L153)))</f>
        <v>NA</v>
      </c>
      <c r="AK153" s="69" t="str">
        <f t="shared" si="81"/>
        <v>NA</v>
      </c>
      <c r="AM153" s="73" t="e">
        <f t="shared" si="82"/>
        <v>#VALUE!</v>
      </c>
      <c r="AN153" s="73" t="e">
        <f t="shared" si="83"/>
        <v>#VALUE!</v>
      </c>
      <c r="AO153" s="87"/>
      <c r="AP153" s="73" t="e">
        <f t="shared" si="84"/>
        <v>#VALUE!</v>
      </c>
      <c r="AQ153" s="73" t="e">
        <f t="shared" si="85"/>
        <v>#VALUE!</v>
      </c>
      <c r="AR153" s="87"/>
      <c r="AS153" s="73" t="e">
        <f t="shared" si="86"/>
        <v>#VALUE!</v>
      </c>
      <c r="AT153" s="73" t="e">
        <f t="shared" si="87"/>
        <v>#VALUE!</v>
      </c>
      <c r="AV153" s="73" t="e">
        <f t="shared" si="88"/>
        <v>#VALUE!</v>
      </c>
      <c r="AW153" s="73" t="e">
        <f t="shared" si="89"/>
        <v>#VALUE!</v>
      </c>
      <c r="AX153" s="87"/>
      <c r="AY153" s="73" t="e">
        <f t="shared" si="90"/>
        <v>#VALUE!</v>
      </c>
      <c r="AZ153" s="73" t="e">
        <f t="shared" si="91"/>
        <v>#VALUE!</v>
      </c>
      <c r="BA153" s="87"/>
      <c r="BB153" s="73" t="e">
        <f t="shared" si="92"/>
        <v>#VALUE!</v>
      </c>
      <c r="BC153" s="73" t="e">
        <f t="shared" si="93"/>
        <v>#VALUE!</v>
      </c>
    </row>
    <row r="154" spans="1:55" s="86" customFormat="1" ht="25" customHeight="1">
      <c r="A154" s="669" t="str">
        <f>IF('TECH DATA ENTRY'!A171="","",'TECH DATA ENTRY'!A171)</f>
        <v/>
      </c>
      <c r="B154" s="390">
        <f>IF('TECH DATA ENTRY'!B171="","",'TECH DATA ENTRY'!B171)</f>
        <v>100</v>
      </c>
      <c r="C154" s="390">
        <f>IF(B154="","",IFERROR('TECH DATA ENTRY'!F171,"NA"))</f>
        <v>99.989000000000004</v>
      </c>
      <c r="D154" s="390" t="str">
        <f>IF('TECH DATA ENTRY'!L171="","",'TECH DATA ENTRY'!L171)</f>
        <v/>
      </c>
      <c r="E154" s="390" t="str">
        <f t="shared" si="65"/>
        <v/>
      </c>
      <c r="F154" s="390">
        <f>IF(B154="","",IFERROR('TECH DATA ENTRY'!G171,"NA"))</f>
        <v>100.011</v>
      </c>
      <c r="G154" s="533" t="str">
        <f t="shared" si="66"/>
        <v/>
      </c>
      <c r="H154" s="390" t="str">
        <f>IF(OR(ISTEXT(B154)=TRUE, D154="NA",D154=""),"NA", roundsf(MAX(L154,M154),C154))</f>
        <v>NA</v>
      </c>
      <c r="I154" s="325" t="str">
        <f t="shared" si="67"/>
        <v>NA</v>
      </c>
      <c r="J154" s="299"/>
      <c r="K154" s="245"/>
      <c r="L154" s="506">
        <f>(33/1000000)*B154+(0.2/1000)</f>
        <v>3.5000000000000005E-3</v>
      </c>
      <c r="M154" s="244" t="str">
        <f>UNC_CALCULATION!AM143</f>
        <v>NA</v>
      </c>
      <c r="N154" s="85"/>
      <c r="O154" s="58"/>
      <c r="P154" s="69" t="e">
        <f>IF(B154="","",INDEX('AUX TABLES'!$G$4:$K$8,AV154,AW154))</f>
        <v>#VALUE!</v>
      </c>
      <c r="Q154" s="150" t="e">
        <f>IF(AJ$11=FALSE,IF(B154="","",IF(AJ154="NA",P154,INDEX('AUX TABLES'!$G$4:$K$8,AY154,AZ154))),IF(P154="FAIL",P154,INDEX('AUX TABLES'!$G$4:$K$8,AY154,AZ154)))</f>
        <v>#VALUE!</v>
      </c>
      <c r="R154" s="150" t="e">
        <f>IF(AJ$11=FALSE,IF(B154="","",IF(AJ154="NA",P154,INDEX('AUX TABLES'!$G$4:$K$8,BB154,BC154))),IF(P154="FAIL",P154,INDEX('AUX TABLES'!$G$4:$K$8,BB154,BC154)))</f>
        <v>#VALUE!</v>
      </c>
      <c r="S154" s="69" t="e">
        <f>INDEX('AUX TABLES'!$G$4:$K$8,AM154,AN154)</f>
        <v>#VALUE!</v>
      </c>
      <c r="T154" s="69" t="e">
        <f>IF(AJ$11=FALSE,IF(AJ154="NA",S154,INDEX('AUX TABLES'!$G$4:$K$8,AP154,AQ154)),IF(S154="FAIL",S154,INDEX('AUX TABLES'!$G$4:$K$8,AP154,AQ154)))</f>
        <v>#VALUE!</v>
      </c>
      <c r="U154" s="150" t="e">
        <f>IF(AJ$11=FALSE,IF(AJ154="NA",S154,INDEX('AUX TABLES'!$G$4:$K$8,AS154,AT154)),IF(S154="FAIL",S154,INDEX('AUX TABLES'!$G$4:$K$8,AS154,AT154)))</f>
        <v>#VALUE!</v>
      </c>
      <c r="V154" s="150" t="str">
        <f t="shared" si="68"/>
        <v/>
      </c>
      <c r="W154" s="74">
        <f t="shared" si="69"/>
        <v>100.011</v>
      </c>
      <c r="X154" s="74" t="str">
        <f t="shared" si="70"/>
        <v>NA</v>
      </c>
      <c r="Y154" s="74" t="str">
        <f t="shared" si="71"/>
        <v>NA</v>
      </c>
      <c r="Z154" s="74" t="str">
        <f t="shared" si="72"/>
        <v>NA</v>
      </c>
      <c r="AA154" s="74" t="str">
        <f t="shared" si="73"/>
        <v>NA</v>
      </c>
      <c r="AB154" s="74">
        <f t="shared" si="74"/>
        <v>99.989000000000004</v>
      </c>
      <c r="AC154" s="69" t="str">
        <f>IF(ISTEXT('TECH DATA ENTRY'!L171)=TRUE,"NA",'TECH DATA ENTRY'!H171)</f>
        <v>NA</v>
      </c>
      <c r="AD154" s="69" t="str">
        <f t="shared" si="75"/>
        <v>NA</v>
      </c>
      <c r="AE154" s="69" t="str">
        <f t="shared" si="76"/>
        <v>NA</v>
      </c>
      <c r="AF154" s="69" t="e">
        <f t="shared" si="77"/>
        <v>#VALUE!</v>
      </c>
      <c r="AG154" s="69" t="e">
        <f t="shared" si="78"/>
        <v>#VALUE!</v>
      </c>
      <c r="AH154" s="69" t="e">
        <f t="shared" si="79"/>
        <v>#VALUE!</v>
      </c>
      <c r="AI154" s="69" t="e">
        <f t="shared" si="80"/>
        <v>#VALUE!</v>
      </c>
      <c r="AJ154" s="70" t="str">
        <f>IF(OR(ISTEXT('TECH DATA ENTRY'!L171)=TRUE,ISTEXT('TECH DATA ENTRY'!F171)=TRUE,ISTEXT('TECH DATA ENTRY'!G171)=TRUE),"NA",(W154-AB154)/(2*MAX(M154,L154)))</f>
        <v>NA</v>
      </c>
      <c r="AK154" s="69" t="str">
        <f t="shared" si="81"/>
        <v>NA</v>
      </c>
      <c r="AM154" s="73" t="e">
        <f t="shared" si="82"/>
        <v>#VALUE!</v>
      </c>
      <c r="AN154" s="73" t="e">
        <f t="shared" si="83"/>
        <v>#VALUE!</v>
      </c>
      <c r="AO154" s="87"/>
      <c r="AP154" s="73" t="e">
        <f t="shared" si="84"/>
        <v>#VALUE!</v>
      </c>
      <c r="AQ154" s="73" t="e">
        <f t="shared" si="85"/>
        <v>#VALUE!</v>
      </c>
      <c r="AR154" s="87"/>
      <c r="AS154" s="73" t="e">
        <f t="shared" si="86"/>
        <v>#VALUE!</v>
      </c>
      <c r="AT154" s="73" t="e">
        <f t="shared" si="87"/>
        <v>#VALUE!</v>
      </c>
      <c r="AV154" s="73" t="e">
        <f t="shared" si="88"/>
        <v>#VALUE!</v>
      </c>
      <c r="AW154" s="73" t="e">
        <f t="shared" si="89"/>
        <v>#VALUE!</v>
      </c>
      <c r="AX154" s="87"/>
      <c r="AY154" s="73" t="e">
        <f t="shared" si="90"/>
        <v>#VALUE!</v>
      </c>
      <c r="AZ154" s="73" t="e">
        <f t="shared" si="91"/>
        <v>#VALUE!</v>
      </c>
      <c r="BA154" s="87"/>
      <c r="BB154" s="73" t="e">
        <f t="shared" si="92"/>
        <v>#VALUE!</v>
      </c>
      <c r="BC154" s="73" t="e">
        <f t="shared" si="93"/>
        <v>#VALUE!</v>
      </c>
    </row>
    <row r="155" spans="1:55" s="86" customFormat="1" ht="25" customHeight="1">
      <c r="A155" s="665" t="str">
        <f>IF('TECH DATA ENTRY'!A172="","",'TECH DATA ENTRY'!A172)</f>
        <v>1 MΩ</v>
      </c>
      <c r="B155" s="393">
        <f>IF('TECH DATA ENTRY'!B172="","",'TECH DATA ENTRY'!B172)</f>
        <v>0</v>
      </c>
      <c r="C155" s="393">
        <f>IF(B155="","",IFERROR('TECH DATA ENTRY'!F172,"NA"))</f>
        <v>0</v>
      </c>
      <c r="D155" s="393" t="str">
        <f>IF('TECH DATA ENTRY'!L172="","",'TECH DATA ENTRY'!L172)</f>
        <v/>
      </c>
      <c r="E155" s="393" t="str">
        <f t="shared" si="65"/>
        <v/>
      </c>
      <c r="F155" s="393">
        <f>IF(B155="","",IFERROR('TECH DATA ENTRY'!G172,"NA"))</f>
        <v>1.0000000000000001E-5</v>
      </c>
      <c r="G155" s="535" t="str">
        <f t="shared" si="66"/>
        <v/>
      </c>
      <c r="H155" s="393" t="str">
        <f>IF(OR(ISTEXT(B155)=TRUE, D155="NA",D155=""),"NA", roundsf(MAX(L155,M155),C155))</f>
        <v>NA</v>
      </c>
      <c r="I155" s="325" t="str">
        <f t="shared" si="67"/>
        <v>NA</v>
      </c>
      <c r="J155" s="299"/>
      <c r="K155" s="245"/>
      <c r="L155" s="506">
        <f>(107/1000000)*B155+(2/1000000)</f>
        <v>1.9999999999999999E-6</v>
      </c>
      <c r="M155" s="244" t="str">
        <f>UNC_CALCULATION!AM144</f>
        <v>NA</v>
      </c>
      <c r="N155" s="85"/>
      <c r="O155" s="58"/>
      <c r="P155" s="69" t="e">
        <f>IF(B155="","",INDEX('AUX TABLES'!$G$4:$K$8,AV155,AW155))</f>
        <v>#VALUE!</v>
      </c>
      <c r="Q155" s="150" t="e">
        <f>IF(AJ$11=FALSE,IF(B155="","",IF(AJ155="NA",P155,INDEX('AUX TABLES'!$G$4:$K$8,AY155,AZ155))),IF(P155="FAIL",P155,INDEX('AUX TABLES'!$G$4:$K$8,AY155,AZ155)))</f>
        <v>#VALUE!</v>
      </c>
      <c r="R155" s="150" t="e">
        <f>IF(AJ$11=FALSE,IF(B155="","",IF(AJ155="NA",P155,INDEX('AUX TABLES'!$G$4:$K$8,BB155,BC155))),IF(P155="FAIL",P155,INDEX('AUX TABLES'!$G$4:$K$8,BB155,BC155)))</f>
        <v>#VALUE!</v>
      </c>
      <c r="S155" s="69" t="e">
        <f>INDEX('AUX TABLES'!$G$4:$K$8,AM155,AN155)</f>
        <v>#VALUE!</v>
      </c>
      <c r="T155" s="69" t="e">
        <f>IF(AJ$11=FALSE,IF(AJ155="NA",S155,INDEX('AUX TABLES'!$G$4:$K$8,AP155,AQ155)),IF(S155="FAIL",S155,INDEX('AUX TABLES'!$G$4:$K$8,AP155,AQ155)))</f>
        <v>#VALUE!</v>
      </c>
      <c r="U155" s="150" t="e">
        <f>IF(AJ$11=FALSE,IF(AJ155="NA",S155,INDEX('AUX TABLES'!$G$4:$K$8,AS155,AT155)),IF(S155="FAIL",S155,INDEX('AUX TABLES'!$G$4:$K$8,AS155,AT155)))</f>
        <v>#VALUE!</v>
      </c>
      <c r="V155" s="150" t="str">
        <f t="shared" si="68"/>
        <v/>
      </c>
      <c r="W155" s="74">
        <f t="shared" si="69"/>
        <v>1.0000000000000001E-5</v>
      </c>
      <c r="X155" s="74" t="str">
        <f t="shared" si="70"/>
        <v>NA</v>
      </c>
      <c r="Y155" s="74" t="str">
        <f t="shared" si="71"/>
        <v>NA</v>
      </c>
      <c r="Z155" s="74" t="str">
        <f t="shared" si="72"/>
        <v>NA</v>
      </c>
      <c r="AA155" s="74" t="str">
        <f t="shared" si="73"/>
        <v>NA</v>
      </c>
      <c r="AB155" s="74">
        <f t="shared" si="74"/>
        <v>0</v>
      </c>
      <c r="AC155" s="69" t="str">
        <f>IF(ISTEXT('TECH DATA ENTRY'!L172)=TRUE,"NA",'TECH DATA ENTRY'!H172)</f>
        <v>NA</v>
      </c>
      <c r="AD155" s="69" t="str">
        <f t="shared" si="75"/>
        <v>NA</v>
      </c>
      <c r="AE155" s="69" t="str">
        <f t="shared" si="76"/>
        <v>NA</v>
      </c>
      <c r="AF155" s="69" t="e">
        <f t="shared" si="77"/>
        <v>#VALUE!</v>
      </c>
      <c r="AG155" s="69" t="e">
        <f t="shared" si="78"/>
        <v>#VALUE!</v>
      </c>
      <c r="AH155" s="69" t="e">
        <f t="shared" si="79"/>
        <v>#VALUE!</v>
      </c>
      <c r="AI155" s="69" t="e">
        <f t="shared" si="80"/>
        <v>#VALUE!</v>
      </c>
      <c r="AJ155" s="70" t="str">
        <f>IF(OR(ISTEXT('TECH DATA ENTRY'!L172)=TRUE,ISTEXT('TECH DATA ENTRY'!F172)=TRUE,ISTEXT('TECH DATA ENTRY'!G172)=TRUE),"NA",(W155-AB155)/(2*MAX(M155,L155)))</f>
        <v>NA</v>
      </c>
      <c r="AK155" s="69" t="str">
        <f t="shared" si="81"/>
        <v>NA</v>
      </c>
      <c r="AM155" s="73" t="e">
        <f t="shared" si="82"/>
        <v>#VALUE!</v>
      </c>
      <c r="AN155" s="73" t="e">
        <f t="shared" si="83"/>
        <v>#VALUE!</v>
      </c>
      <c r="AO155" s="87"/>
      <c r="AP155" s="73" t="e">
        <f t="shared" si="84"/>
        <v>#VALUE!</v>
      </c>
      <c r="AQ155" s="73" t="e">
        <f t="shared" si="85"/>
        <v>#VALUE!</v>
      </c>
      <c r="AR155" s="87"/>
      <c r="AS155" s="73" t="e">
        <f t="shared" si="86"/>
        <v>#VALUE!</v>
      </c>
      <c r="AT155" s="73" t="e">
        <f t="shared" si="87"/>
        <v>#VALUE!</v>
      </c>
      <c r="AV155" s="73" t="e">
        <f t="shared" si="88"/>
        <v>#VALUE!</v>
      </c>
      <c r="AW155" s="73" t="e">
        <f t="shared" si="89"/>
        <v>#VALUE!</v>
      </c>
      <c r="AX155" s="87"/>
      <c r="AY155" s="73" t="e">
        <f t="shared" si="90"/>
        <v>#VALUE!</v>
      </c>
      <c r="AZ155" s="73" t="e">
        <f t="shared" si="91"/>
        <v>#VALUE!</v>
      </c>
      <c r="BA155" s="87"/>
      <c r="BB155" s="73" t="e">
        <f t="shared" si="92"/>
        <v>#VALUE!</v>
      </c>
      <c r="BC155" s="73" t="e">
        <f t="shared" si="93"/>
        <v>#VALUE!</v>
      </c>
    </row>
    <row r="156" spans="1:55" s="86" customFormat="1" ht="25" customHeight="1">
      <c r="A156" s="669" t="str">
        <f>IF('TECH DATA ENTRY'!A173="","",'TECH DATA ENTRY'!A173)</f>
        <v/>
      </c>
      <c r="B156" s="393">
        <f>IF('TECH DATA ENTRY'!B173="","",'TECH DATA ENTRY'!B173)</f>
        <v>1</v>
      </c>
      <c r="C156" s="393">
        <f>IF(B156="","",IFERROR('TECH DATA ENTRY'!F173,"NA"))</f>
        <v>0.99988999999999995</v>
      </c>
      <c r="D156" s="393" t="str">
        <f>IF('TECH DATA ENTRY'!L173="","",'TECH DATA ENTRY'!L173)</f>
        <v/>
      </c>
      <c r="E156" s="393" t="str">
        <f t="shared" si="65"/>
        <v/>
      </c>
      <c r="F156" s="393">
        <f>IF(B156="","",IFERROR('TECH DATA ENTRY'!G173,"NA"))</f>
        <v>1.0001100000000001</v>
      </c>
      <c r="G156" s="535" t="str">
        <f t="shared" si="66"/>
        <v/>
      </c>
      <c r="H156" s="393" t="str">
        <f>IF(OR(ISTEXT(B156)=TRUE, D156="NA",D156=""),"NA", roundsf(MAX(L156,M156),C156))</f>
        <v>NA</v>
      </c>
      <c r="I156" s="325" t="str">
        <f t="shared" si="67"/>
        <v>NA</v>
      </c>
      <c r="J156" s="299"/>
      <c r="K156" s="245"/>
      <c r="L156" s="506">
        <f>(107/1000000)*B156+(2/1000000)</f>
        <v>1.0899999999999999E-4</v>
      </c>
      <c r="M156" s="244" t="str">
        <f>UNC_CALCULATION!AM145</f>
        <v>NA</v>
      </c>
      <c r="N156" s="85"/>
      <c r="O156" s="58"/>
      <c r="P156" s="69" t="e">
        <f>IF(B156="","",INDEX('AUX TABLES'!$G$4:$K$8,AV156,AW156))</f>
        <v>#VALUE!</v>
      </c>
      <c r="Q156" s="150" t="e">
        <f>IF(AJ$11=FALSE,IF(B156="","",IF(AJ156="NA",P156,INDEX('AUX TABLES'!$G$4:$K$8,AY156,AZ156))),IF(P156="FAIL",P156,INDEX('AUX TABLES'!$G$4:$K$8,AY156,AZ156)))</f>
        <v>#VALUE!</v>
      </c>
      <c r="R156" s="150" t="e">
        <f>IF(AJ$11=FALSE,IF(B156="","",IF(AJ156="NA",P156,INDEX('AUX TABLES'!$G$4:$K$8,BB156,BC156))),IF(P156="FAIL",P156,INDEX('AUX TABLES'!$G$4:$K$8,BB156,BC156)))</f>
        <v>#VALUE!</v>
      </c>
      <c r="S156" s="69" t="e">
        <f>INDEX('AUX TABLES'!$G$4:$K$8,AM156,AN156)</f>
        <v>#VALUE!</v>
      </c>
      <c r="T156" s="69" t="e">
        <f>IF(AJ$11=FALSE,IF(AJ156="NA",S156,INDEX('AUX TABLES'!$G$4:$K$8,AP156,AQ156)),IF(S156="FAIL",S156,INDEX('AUX TABLES'!$G$4:$K$8,AP156,AQ156)))</f>
        <v>#VALUE!</v>
      </c>
      <c r="U156" s="150" t="e">
        <f>IF(AJ$11=FALSE,IF(AJ156="NA",S156,INDEX('AUX TABLES'!$G$4:$K$8,AS156,AT156)),IF(S156="FAIL",S156,INDEX('AUX TABLES'!$G$4:$K$8,AS156,AT156)))</f>
        <v>#VALUE!</v>
      </c>
      <c r="V156" s="150" t="str">
        <f t="shared" si="68"/>
        <v/>
      </c>
      <c r="W156" s="74">
        <f t="shared" si="69"/>
        <v>1.0001100000000001</v>
      </c>
      <c r="X156" s="74" t="str">
        <f t="shared" si="70"/>
        <v>NA</v>
      </c>
      <c r="Y156" s="74" t="str">
        <f t="shared" si="71"/>
        <v>NA</v>
      </c>
      <c r="Z156" s="74" t="str">
        <f t="shared" si="72"/>
        <v>NA</v>
      </c>
      <c r="AA156" s="74" t="str">
        <f t="shared" si="73"/>
        <v>NA</v>
      </c>
      <c r="AB156" s="74">
        <f t="shared" si="74"/>
        <v>0.99988999999999995</v>
      </c>
      <c r="AC156" s="69" t="str">
        <f>IF(ISTEXT('TECH DATA ENTRY'!L173)=TRUE,"NA",'TECH DATA ENTRY'!H173)</f>
        <v>NA</v>
      </c>
      <c r="AD156" s="69" t="str">
        <f t="shared" si="75"/>
        <v>NA</v>
      </c>
      <c r="AE156" s="69" t="str">
        <f t="shared" si="76"/>
        <v>NA</v>
      </c>
      <c r="AF156" s="69" t="e">
        <f t="shared" si="77"/>
        <v>#VALUE!</v>
      </c>
      <c r="AG156" s="69" t="e">
        <f t="shared" si="78"/>
        <v>#VALUE!</v>
      </c>
      <c r="AH156" s="69" t="e">
        <f t="shared" si="79"/>
        <v>#VALUE!</v>
      </c>
      <c r="AI156" s="69" t="e">
        <f t="shared" si="80"/>
        <v>#VALUE!</v>
      </c>
      <c r="AJ156" s="70" t="str">
        <f>IF(OR(ISTEXT('TECH DATA ENTRY'!L173)=TRUE,ISTEXT('TECH DATA ENTRY'!F173)=TRUE,ISTEXT('TECH DATA ENTRY'!G173)=TRUE),"NA",(W156-AB156)/(2*MAX(M156,L156)))</f>
        <v>NA</v>
      </c>
      <c r="AK156" s="69" t="str">
        <f t="shared" si="81"/>
        <v>NA</v>
      </c>
      <c r="AM156" s="73" t="e">
        <f t="shared" si="82"/>
        <v>#VALUE!</v>
      </c>
      <c r="AN156" s="73" t="e">
        <f t="shared" si="83"/>
        <v>#VALUE!</v>
      </c>
      <c r="AO156" s="87"/>
      <c r="AP156" s="73" t="e">
        <f t="shared" si="84"/>
        <v>#VALUE!</v>
      </c>
      <c r="AQ156" s="73" t="e">
        <f t="shared" si="85"/>
        <v>#VALUE!</v>
      </c>
      <c r="AR156" s="87"/>
      <c r="AS156" s="73" t="e">
        <f t="shared" si="86"/>
        <v>#VALUE!</v>
      </c>
      <c r="AT156" s="73" t="e">
        <f t="shared" si="87"/>
        <v>#VALUE!</v>
      </c>
      <c r="AV156" s="73" t="e">
        <f t="shared" si="88"/>
        <v>#VALUE!</v>
      </c>
      <c r="AW156" s="73" t="e">
        <f t="shared" si="89"/>
        <v>#VALUE!</v>
      </c>
      <c r="AX156" s="87"/>
      <c r="AY156" s="73" t="e">
        <f t="shared" si="90"/>
        <v>#VALUE!</v>
      </c>
      <c r="AZ156" s="73" t="e">
        <f t="shared" si="91"/>
        <v>#VALUE!</v>
      </c>
      <c r="BA156" s="87"/>
      <c r="BB156" s="73" t="e">
        <f t="shared" si="92"/>
        <v>#VALUE!</v>
      </c>
      <c r="BC156" s="73" t="e">
        <f t="shared" si="93"/>
        <v>#VALUE!</v>
      </c>
    </row>
    <row r="157" spans="1:55" s="86" customFormat="1" ht="25" customHeight="1">
      <c r="A157" s="665" t="str">
        <f>IF('TECH DATA ENTRY'!A174="","",'TECH DATA ENTRY'!A174)</f>
        <v>10 MΩ</v>
      </c>
      <c r="B157" s="396">
        <f>IF('TECH DATA ENTRY'!B174="","",'TECH DATA ENTRY'!B174)</f>
        <v>0</v>
      </c>
      <c r="C157" s="396">
        <f>IF(B157="","",IFERROR('TECH DATA ENTRY'!F174,"NA"))</f>
        <v>0</v>
      </c>
      <c r="D157" s="396" t="str">
        <f>IF('TECH DATA ENTRY'!L174="","",'TECH DATA ENTRY'!L174)</f>
        <v/>
      </c>
      <c r="E157" s="396" t="str">
        <f t="shared" si="65"/>
        <v/>
      </c>
      <c r="F157" s="396">
        <f>IF(B157="","",IFERROR('TECH DATA ENTRY'!G174,"NA"))</f>
        <v>1E-4</v>
      </c>
      <c r="G157" s="536" t="str">
        <f t="shared" si="66"/>
        <v/>
      </c>
      <c r="H157" s="396" t="str">
        <f>IF(OR(ISTEXT(B157)=TRUE, D157="NA",D157=""),"NA", roundsf(MAX(L157,M157),C157))</f>
        <v>NA</v>
      </c>
      <c r="I157" s="325" t="str">
        <f t="shared" si="67"/>
        <v>NA</v>
      </c>
      <c r="J157" s="299"/>
      <c r="K157" s="245"/>
      <c r="L157" s="506">
        <f>(660/1000000)*B157+(50/1000000)</f>
        <v>5.0000000000000002E-5</v>
      </c>
      <c r="M157" s="244" t="str">
        <f>UNC_CALCULATION!AM146</f>
        <v>NA</v>
      </c>
      <c r="N157" s="85"/>
      <c r="O157" s="58"/>
      <c r="P157" s="69" t="e">
        <f>IF(B157="","",INDEX('AUX TABLES'!$G$4:$K$8,AV157,AW157))</f>
        <v>#VALUE!</v>
      </c>
      <c r="Q157" s="150" t="e">
        <f>IF(AJ$11=FALSE,IF(B157="","",IF(AJ157="NA",P157,INDEX('AUX TABLES'!$G$4:$K$8,AY157,AZ157))),IF(P157="FAIL",P157,INDEX('AUX TABLES'!$G$4:$K$8,AY157,AZ157)))</f>
        <v>#VALUE!</v>
      </c>
      <c r="R157" s="150" t="e">
        <f>IF(AJ$11=FALSE,IF(B157="","",IF(AJ157="NA",P157,INDEX('AUX TABLES'!$G$4:$K$8,BB157,BC157))),IF(P157="FAIL",P157,INDEX('AUX TABLES'!$G$4:$K$8,BB157,BC157)))</f>
        <v>#VALUE!</v>
      </c>
      <c r="S157" s="69" t="e">
        <f>INDEX('AUX TABLES'!$G$4:$K$8,AM157,AN157)</f>
        <v>#VALUE!</v>
      </c>
      <c r="T157" s="69" t="e">
        <f>IF(AJ$11=FALSE,IF(AJ157="NA",S157,INDEX('AUX TABLES'!$G$4:$K$8,AP157,AQ157)),IF(S157="FAIL",S157,INDEX('AUX TABLES'!$G$4:$K$8,AP157,AQ157)))</f>
        <v>#VALUE!</v>
      </c>
      <c r="U157" s="150" t="e">
        <f>IF(AJ$11=FALSE,IF(AJ157="NA",S157,INDEX('AUX TABLES'!$G$4:$K$8,AS157,AT157)),IF(S157="FAIL",S157,INDEX('AUX TABLES'!$G$4:$K$8,AS157,AT157)))</f>
        <v>#VALUE!</v>
      </c>
      <c r="V157" s="150" t="str">
        <f t="shared" si="68"/>
        <v/>
      </c>
      <c r="W157" s="74">
        <f t="shared" si="69"/>
        <v>1E-4</v>
      </c>
      <c r="X157" s="74" t="str">
        <f t="shared" si="70"/>
        <v>NA</v>
      </c>
      <c r="Y157" s="74" t="str">
        <f t="shared" si="71"/>
        <v>NA</v>
      </c>
      <c r="Z157" s="74" t="str">
        <f t="shared" si="72"/>
        <v>NA</v>
      </c>
      <c r="AA157" s="74" t="str">
        <f t="shared" si="73"/>
        <v>NA</v>
      </c>
      <c r="AB157" s="74">
        <f t="shared" si="74"/>
        <v>0</v>
      </c>
      <c r="AC157" s="69" t="str">
        <f>IF(ISTEXT('TECH DATA ENTRY'!L174)=TRUE,"NA",'TECH DATA ENTRY'!H174)</f>
        <v>NA</v>
      </c>
      <c r="AD157" s="69" t="str">
        <f t="shared" si="75"/>
        <v>NA</v>
      </c>
      <c r="AE157" s="69" t="str">
        <f t="shared" si="76"/>
        <v>NA</v>
      </c>
      <c r="AF157" s="69" t="e">
        <f t="shared" si="77"/>
        <v>#VALUE!</v>
      </c>
      <c r="AG157" s="69" t="e">
        <f t="shared" si="78"/>
        <v>#VALUE!</v>
      </c>
      <c r="AH157" s="69" t="e">
        <f t="shared" si="79"/>
        <v>#VALUE!</v>
      </c>
      <c r="AI157" s="69" t="e">
        <f t="shared" si="80"/>
        <v>#VALUE!</v>
      </c>
      <c r="AJ157" s="70" t="str">
        <f>IF(OR(ISTEXT('TECH DATA ENTRY'!L174)=TRUE,ISTEXT('TECH DATA ENTRY'!F174)=TRUE,ISTEXT('TECH DATA ENTRY'!G174)=TRUE),"NA",(W157-AB157)/(2*MAX(M157,L157)))</f>
        <v>NA</v>
      </c>
      <c r="AK157" s="69" t="str">
        <f t="shared" si="81"/>
        <v>NA</v>
      </c>
      <c r="AM157" s="73" t="e">
        <f t="shared" si="82"/>
        <v>#VALUE!</v>
      </c>
      <c r="AN157" s="73" t="e">
        <f t="shared" si="83"/>
        <v>#VALUE!</v>
      </c>
      <c r="AO157" s="87"/>
      <c r="AP157" s="73" t="e">
        <f t="shared" si="84"/>
        <v>#VALUE!</v>
      </c>
      <c r="AQ157" s="73" t="e">
        <f t="shared" si="85"/>
        <v>#VALUE!</v>
      </c>
      <c r="AR157" s="87"/>
      <c r="AS157" s="73" t="e">
        <f t="shared" si="86"/>
        <v>#VALUE!</v>
      </c>
      <c r="AT157" s="73" t="e">
        <f t="shared" si="87"/>
        <v>#VALUE!</v>
      </c>
      <c r="AV157" s="73" t="e">
        <f t="shared" si="88"/>
        <v>#VALUE!</v>
      </c>
      <c r="AW157" s="73" t="e">
        <f t="shared" si="89"/>
        <v>#VALUE!</v>
      </c>
      <c r="AX157" s="87"/>
      <c r="AY157" s="73" t="e">
        <f t="shared" si="90"/>
        <v>#VALUE!</v>
      </c>
      <c r="AZ157" s="73" t="e">
        <f t="shared" si="91"/>
        <v>#VALUE!</v>
      </c>
      <c r="BA157" s="87"/>
      <c r="BB157" s="73" t="e">
        <f t="shared" si="92"/>
        <v>#VALUE!</v>
      </c>
      <c r="BC157" s="73" t="e">
        <f t="shared" si="93"/>
        <v>#VALUE!</v>
      </c>
    </row>
    <row r="158" spans="1:55" s="86" customFormat="1" ht="25" customHeight="1">
      <c r="A158" s="669" t="str">
        <f>IF('TECH DATA ENTRY'!A175="","",'TECH DATA ENTRY'!A175)</f>
        <v/>
      </c>
      <c r="B158" s="396">
        <f>IF('TECH DATA ENTRY'!B175="","",'TECH DATA ENTRY'!B175)</f>
        <v>10</v>
      </c>
      <c r="C158" s="396">
        <f>IF(B158="","",IFERROR('TECH DATA ENTRY'!F175,"NA"))</f>
        <v>9.9959000000000007</v>
      </c>
      <c r="D158" s="396" t="str">
        <f>IF('TECH DATA ENTRY'!L175="","",'TECH DATA ENTRY'!L175)</f>
        <v/>
      </c>
      <c r="E158" s="396" t="str">
        <f t="shared" si="65"/>
        <v/>
      </c>
      <c r="F158" s="396">
        <f>IF(B158="","",IFERROR('TECH DATA ENTRY'!G175,"NA"))</f>
        <v>10.004099999999999</v>
      </c>
      <c r="G158" s="536" t="str">
        <f t="shared" si="66"/>
        <v/>
      </c>
      <c r="H158" s="396" t="str">
        <f>IF(OR(ISTEXT(B158)=TRUE, D158="NA",D158=""),"NA", roundsf(MAX(L158,M158),C158))</f>
        <v>NA</v>
      </c>
      <c r="I158" s="325" t="str">
        <f t="shared" si="67"/>
        <v>NA</v>
      </c>
      <c r="J158" s="299"/>
      <c r="K158" s="245"/>
      <c r="L158" s="506">
        <f>(660/1000000)*B158+(50/1000000)</f>
        <v>6.6499999999999997E-3</v>
      </c>
      <c r="M158" s="244" t="str">
        <f>UNC_CALCULATION!AM147</f>
        <v>NA</v>
      </c>
      <c r="N158" s="85"/>
      <c r="O158" s="58"/>
      <c r="P158" s="69" t="e">
        <f>IF(B158="","",INDEX('AUX TABLES'!$G$4:$K$8,AV158,AW158))</f>
        <v>#VALUE!</v>
      </c>
      <c r="Q158" s="150" t="e">
        <f>IF(AJ$11=FALSE,IF(B158="","",IF(AJ158="NA",P158,INDEX('AUX TABLES'!$G$4:$K$8,AY158,AZ158))),IF(P158="FAIL",P158,INDEX('AUX TABLES'!$G$4:$K$8,AY158,AZ158)))</f>
        <v>#VALUE!</v>
      </c>
      <c r="R158" s="150" t="e">
        <f>IF(AJ$11=FALSE,IF(B158="","",IF(AJ158="NA",P158,INDEX('AUX TABLES'!$G$4:$K$8,BB158,BC158))),IF(P158="FAIL",P158,INDEX('AUX TABLES'!$G$4:$K$8,BB158,BC158)))</f>
        <v>#VALUE!</v>
      </c>
      <c r="S158" s="69" t="e">
        <f>INDEX('AUX TABLES'!$G$4:$K$8,AM158,AN158)</f>
        <v>#VALUE!</v>
      </c>
      <c r="T158" s="69" t="e">
        <f>IF(AJ$11=FALSE,IF(AJ158="NA",S158,INDEX('AUX TABLES'!$G$4:$K$8,AP158,AQ158)),IF(S158="FAIL",S158,INDEX('AUX TABLES'!$G$4:$K$8,AP158,AQ158)))</f>
        <v>#VALUE!</v>
      </c>
      <c r="U158" s="150" t="e">
        <f>IF(AJ$11=FALSE,IF(AJ158="NA",S158,INDEX('AUX TABLES'!$G$4:$K$8,AS158,AT158)),IF(S158="FAIL",S158,INDEX('AUX TABLES'!$G$4:$K$8,AS158,AT158)))</f>
        <v>#VALUE!</v>
      </c>
      <c r="V158" s="150" t="str">
        <f t="shared" si="68"/>
        <v/>
      </c>
      <c r="W158" s="74">
        <f t="shared" si="69"/>
        <v>10.004099999999999</v>
      </c>
      <c r="X158" s="74" t="str">
        <f t="shared" si="70"/>
        <v>NA</v>
      </c>
      <c r="Y158" s="74" t="str">
        <f t="shared" si="71"/>
        <v>NA</v>
      </c>
      <c r="Z158" s="74" t="str">
        <f t="shared" si="72"/>
        <v>NA</v>
      </c>
      <c r="AA158" s="74" t="str">
        <f t="shared" si="73"/>
        <v>NA</v>
      </c>
      <c r="AB158" s="74">
        <f t="shared" si="74"/>
        <v>9.9959000000000007</v>
      </c>
      <c r="AC158" s="69" t="str">
        <f>IF(ISTEXT('TECH DATA ENTRY'!L175)=TRUE,"NA",'TECH DATA ENTRY'!H175)</f>
        <v>NA</v>
      </c>
      <c r="AD158" s="69" t="str">
        <f t="shared" si="75"/>
        <v>NA</v>
      </c>
      <c r="AE158" s="69" t="str">
        <f t="shared" si="76"/>
        <v>NA</v>
      </c>
      <c r="AF158" s="69" t="e">
        <f t="shared" si="77"/>
        <v>#VALUE!</v>
      </c>
      <c r="AG158" s="69" t="e">
        <f t="shared" si="78"/>
        <v>#VALUE!</v>
      </c>
      <c r="AH158" s="69" t="e">
        <f t="shared" si="79"/>
        <v>#VALUE!</v>
      </c>
      <c r="AI158" s="69" t="e">
        <f t="shared" si="80"/>
        <v>#VALUE!</v>
      </c>
      <c r="AJ158" s="70" t="str">
        <f>IF(OR(ISTEXT('TECH DATA ENTRY'!L175)=TRUE,ISTEXT('TECH DATA ENTRY'!F175)=TRUE,ISTEXT('TECH DATA ENTRY'!G175)=TRUE),"NA",(W158-AB158)/(2*MAX(M158,L158)))</f>
        <v>NA</v>
      </c>
      <c r="AK158" s="69" t="str">
        <f t="shared" si="81"/>
        <v>NA</v>
      </c>
      <c r="AM158" s="73" t="e">
        <f t="shared" si="82"/>
        <v>#VALUE!</v>
      </c>
      <c r="AN158" s="73" t="e">
        <f t="shared" si="83"/>
        <v>#VALUE!</v>
      </c>
      <c r="AO158" s="87"/>
      <c r="AP158" s="73" t="e">
        <f t="shared" si="84"/>
        <v>#VALUE!</v>
      </c>
      <c r="AQ158" s="73" t="e">
        <f t="shared" si="85"/>
        <v>#VALUE!</v>
      </c>
      <c r="AR158" s="87"/>
      <c r="AS158" s="73" t="e">
        <f t="shared" si="86"/>
        <v>#VALUE!</v>
      </c>
      <c r="AT158" s="73" t="e">
        <f t="shared" si="87"/>
        <v>#VALUE!</v>
      </c>
      <c r="AV158" s="73" t="e">
        <f t="shared" si="88"/>
        <v>#VALUE!</v>
      </c>
      <c r="AW158" s="73" t="e">
        <f t="shared" si="89"/>
        <v>#VALUE!</v>
      </c>
      <c r="AX158" s="87"/>
      <c r="AY158" s="73" t="e">
        <f t="shared" si="90"/>
        <v>#VALUE!</v>
      </c>
      <c r="AZ158" s="73" t="e">
        <f t="shared" si="91"/>
        <v>#VALUE!</v>
      </c>
      <c r="BA158" s="87"/>
      <c r="BB158" s="73" t="e">
        <f t="shared" si="92"/>
        <v>#VALUE!</v>
      </c>
      <c r="BC158" s="73" t="e">
        <f t="shared" si="93"/>
        <v>#VALUE!</v>
      </c>
    </row>
    <row r="159" spans="1:55" s="86" customFormat="1" ht="25" customHeight="1">
      <c r="A159" s="665" t="str">
        <f>IF('TECH DATA ENTRY'!A176="","",'TECH DATA ENTRY'!A176)</f>
        <v>100 MΩ</v>
      </c>
      <c r="B159" s="399">
        <f>IF('TECH DATA ENTRY'!B176="","",'TECH DATA ENTRY'!B176)</f>
        <v>0</v>
      </c>
      <c r="C159" s="399">
        <f>IF(B159="","",IFERROR('TECH DATA ENTRY'!F176,"NA"))</f>
        <v>0</v>
      </c>
      <c r="D159" s="399" t="str">
        <f>IF('TECH DATA ENTRY'!L176="","",'TECH DATA ENTRY'!L176)</f>
        <v/>
      </c>
      <c r="E159" s="399" t="str">
        <f t="shared" si="65"/>
        <v/>
      </c>
      <c r="F159" s="399">
        <f>IF(B159="","",IFERROR('TECH DATA ENTRY'!G176,"NA"))</f>
        <v>0.01</v>
      </c>
      <c r="G159" s="537" t="str">
        <f t="shared" si="66"/>
        <v/>
      </c>
      <c r="H159" s="399" t="str">
        <f>IF(OR(ISTEXT(B159)=TRUE, D159="NA",D159=""),"NA", roundsf(MAX(L159,M159),C159))</f>
        <v>NA</v>
      </c>
      <c r="I159" s="325" t="str">
        <f t="shared" si="67"/>
        <v>NA</v>
      </c>
      <c r="J159" s="299"/>
      <c r="K159" s="245"/>
      <c r="L159" s="506">
        <f>(5.7/1000)*B159+(3/1000)</f>
        <v>3.0000000000000001E-3</v>
      </c>
      <c r="M159" s="244" t="str">
        <f>UNC_CALCULATION!AM148</f>
        <v>NA</v>
      </c>
      <c r="N159" s="85"/>
      <c r="O159" s="58"/>
      <c r="P159" s="69" t="e">
        <f>IF(B159="","",INDEX('AUX TABLES'!$G$4:$K$8,AV159,AW159))</f>
        <v>#VALUE!</v>
      </c>
      <c r="Q159" s="150" t="e">
        <f>IF(AJ$11=FALSE,IF(B159="","",IF(AJ159="NA",P159,INDEX('AUX TABLES'!$G$4:$K$8,AY159,AZ159))),IF(P159="FAIL",P159,INDEX('AUX TABLES'!$G$4:$K$8,AY159,AZ159)))</f>
        <v>#VALUE!</v>
      </c>
      <c r="R159" s="150" t="e">
        <f>IF(AJ$11=FALSE,IF(B159="","",IF(AJ159="NA",P159,INDEX('AUX TABLES'!$G$4:$K$8,BB159,BC159))),IF(P159="FAIL",P159,INDEX('AUX TABLES'!$G$4:$K$8,BB159,BC159)))</f>
        <v>#VALUE!</v>
      </c>
      <c r="S159" s="69" t="e">
        <f>INDEX('AUX TABLES'!$G$4:$K$8,AM159,AN159)</f>
        <v>#VALUE!</v>
      </c>
      <c r="T159" s="69" t="e">
        <f>IF(AJ$11=FALSE,IF(AJ159="NA",S159,INDEX('AUX TABLES'!$G$4:$K$8,AP159,AQ159)),IF(S159="FAIL",S159,INDEX('AUX TABLES'!$G$4:$K$8,AP159,AQ159)))</f>
        <v>#VALUE!</v>
      </c>
      <c r="U159" s="150" t="e">
        <f>IF(AJ$11=FALSE,IF(AJ159="NA",S159,INDEX('AUX TABLES'!$G$4:$K$8,AS159,AT159)),IF(S159="FAIL",S159,INDEX('AUX TABLES'!$G$4:$K$8,AS159,AT159)))</f>
        <v>#VALUE!</v>
      </c>
      <c r="V159" s="150" t="str">
        <f t="shared" si="68"/>
        <v/>
      </c>
      <c r="W159" s="74">
        <f t="shared" si="69"/>
        <v>0.01</v>
      </c>
      <c r="X159" s="74" t="str">
        <f t="shared" si="70"/>
        <v>NA</v>
      </c>
      <c r="Y159" s="74" t="str">
        <f t="shared" si="71"/>
        <v>NA</v>
      </c>
      <c r="Z159" s="74" t="str">
        <f t="shared" si="72"/>
        <v>NA</v>
      </c>
      <c r="AA159" s="74" t="str">
        <f t="shared" si="73"/>
        <v>NA</v>
      </c>
      <c r="AB159" s="74">
        <f t="shared" si="74"/>
        <v>0</v>
      </c>
      <c r="AC159" s="69" t="str">
        <f>IF(ISTEXT('TECH DATA ENTRY'!L176)=TRUE,"NA",'TECH DATA ENTRY'!H176)</f>
        <v>NA</v>
      </c>
      <c r="AD159" s="69" t="str">
        <f t="shared" si="75"/>
        <v>NA</v>
      </c>
      <c r="AE159" s="69" t="str">
        <f t="shared" si="76"/>
        <v>NA</v>
      </c>
      <c r="AF159" s="69" t="e">
        <f t="shared" si="77"/>
        <v>#VALUE!</v>
      </c>
      <c r="AG159" s="69" t="e">
        <f t="shared" si="78"/>
        <v>#VALUE!</v>
      </c>
      <c r="AH159" s="69" t="e">
        <f t="shared" si="79"/>
        <v>#VALUE!</v>
      </c>
      <c r="AI159" s="69" t="e">
        <f t="shared" si="80"/>
        <v>#VALUE!</v>
      </c>
      <c r="AJ159" s="70" t="str">
        <f>IF(OR(ISTEXT('TECH DATA ENTRY'!L176)=TRUE,ISTEXT('TECH DATA ENTRY'!F176)=TRUE,ISTEXT('TECH DATA ENTRY'!G176)=TRUE),"NA",(W159-AB159)/(2*MAX(M159,L159)))</f>
        <v>NA</v>
      </c>
      <c r="AK159" s="69" t="str">
        <f t="shared" si="81"/>
        <v>NA</v>
      </c>
      <c r="AM159" s="73" t="e">
        <f t="shared" si="82"/>
        <v>#VALUE!</v>
      </c>
      <c r="AN159" s="73" t="e">
        <f t="shared" si="83"/>
        <v>#VALUE!</v>
      </c>
      <c r="AO159" s="87"/>
      <c r="AP159" s="73" t="e">
        <f t="shared" si="84"/>
        <v>#VALUE!</v>
      </c>
      <c r="AQ159" s="73" t="e">
        <f t="shared" si="85"/>
        <v>#VALUE!</v>
      </c>
      <c r="AR159" s="87"/>
      <c r="AS159" s="73" t="e">
        <f t="shared" si="86"/>
        <v>#VALUE!</v>
      </c>
      <c r="AT159" s="73" t="e">
        <f t="shared" si="87"/>
        <v>#VALUE!</v>
      </c>
      <c r="AV159" s="73" t="e">
        <f t="shared" si="88"/>
        <v>#VALUE!</v>
      </c>
      <c r="AW159" s="73" t="e">
        <f t="shared" si="89"/>
        <v>#VALUE!</v>
      </c>
      <c r="AX159" s="87"/>
      <c r="AY159" s="73" t="e">
        <f t="shared" si="90"/>
        <v>#VALUE!</v>
      </c>
      <c r="AZ159" s="73" t="e">
        <f t="shared" si="91"/>
        <v>#VALUE!</v>
      </c>
      <c r="BA159" s="87"/>
      <c r="BB159" s="73" t="e">
        <f t="shared" si="92"/>
        <v>#VALUE!</v>
      </c>
      <c r="BC159" s="73" t="e">
        <f t="shared" si="93"/>
        <v>#VALUE!</v>
      </c>
    </row>
    <row r="160" spans="1:55" s="86" customFormat="1" ht="25" customHeight="1">
      <c r="A160" s="669" t="str">
        <f>IF('TECH DATA ENTRY'!A177="","",'TECH DATA ENTRY'!A177)</f>
        <v/>
      </c>
      <c r="B160" s="399">
        <f>IF('TECH DATA ENTRY'!B177="","",'TECH DATA ENTRY'!B177)</f>
        <v>100</v>
      </c>
      <c r="C160" s="399">
        <f>IF(B160="","",IFERROR('TECH DATA ENTRY'!F177,"NA"))</f>
        <v>99.19</v>
      </c>
      <c r="D160" s="399" t="str">
        <f>IF('TECH DATA ENTRY'!L177="","",'TECH DATA ENTRY'!L177)</f>
        <v/>
      </c>
      <c r="E160" s="399" t="str">
        <f t="shared" si="65"/>
        <v/>
      </c>
      <c r="F160" s="399">
        <f>IF(B160="","",IFERROR('TECH DATA ENTRY'!G177,"NA"))</f>
        <v>100.81</v>
      </c>
      <c r="G160" s="537" t="str">
        <f t="shared" si="66"/>
        <v/>
      </c>
      <c r="H160" s="399" t="str">
        <f>IF(OR(ISTEXT(B160)=TRUE, D160="NA",D160=""),"NA", roundsf(MAX(L160,M160),C160))</f>
        <v>NA</v>
      </c>
      <c r="I160" s="325" t="str">
        <f t="shared" si="67"/>
        <v>NA</v>
      </c>
      <c r="J160" s="299"/>
      <c r="K160" s="245"/>
      <c r="L160" s="506">
        <f>(5.7/1000)*B160+(3/1000)</f>
        <v>0.57300000000000006</v>
      </c>
      <c r="M160" s="244" t="str">
        <f>UNC_CALCULATION!AM149</f>
        <v>NA</v>
      </c>
      <c r="N160" s="85"/>
      <c r="O160" s="58"/>
      <c r="P160" s="69" t="e">
        <f>IF(B160="","",INDEX('AUX TABLES'!$G$4:$K$8,AV160,AW160))</f>
        <v>#VALUE!</v>
      </c>
      <c r="Q160" s="150" t="e">
        <f>IF(AJ$11=FALSE,IF(B160="","",IF(AJ160="NA",P160,INDEX('AUX TABLES'!$G$4:$K$8,AY160,AZ160))),IF(P160="FAIL",P160,INDEX('AUX TABLES'!$G$4:$K$8,AY160,AZ160)))</f>
        <v>#VALUE!</v>
      </c>
      <c r="R160" s="150" t="e">
        <f>IF(AJ$11=FALSE,IF(B160="","",IF(AJ160="NA",P160,INDEX('AUX TABLES'!$G$4:$K$8,BB160,BC160))),IF(P160="FAIL",P160,INDEX('AUX TABLES'!$G$4:$K$8,BB160,BC160)))</f>
        <v>#VALUE!</v>
      </c>
      <c r="S160" s="69" t="e">
        <f>INDEX('AUX TABLES'!$G$4:$K$8,AM160,AN160)</f>
        <v>#VALUE!</v>
      </c>
      <c r="T160" s="69" t="e">
        <f>IF(AJ$11=FALSE,IF(AJ160="NA",S160,INDEX('AUX TABLES'!$G$4:$K$8,AP160,AQ160)),IF(S160="FAIL",S160,INDEX('AUX TABLES'!$G$4:$K$8,AP160,AQ160)))</f>
        <v>#VALUE!</v>
      </c>
      <c r="U160" s="150" t="e">
        <f>IF(AJ$11=FALSE,IF(AJ160="NA",S160,INDEX('AUX TABLES'!$G$4:$K$8,AS160,AT160)),IF(S160="FAIL",S160,INDEX('AUX TABLES'!$G$4:$K$8,AS160,AT160)))</f>
        <v>#VALUE!</v>
      </c>
      <c r="V160" s="150" t="str">
        <f t="shared" si="68"/>
        <v/>
      </c>
      <c r="W160" s="74">
        <f t="shared" si="69"/>
        <v>100.81</v>
      </c>
      <c r="X160" s="74" t="str">
        <f t="shared" si="70"/>
        <v>NA</v>
      </c>
      <c r="Y160" s="74" t="str">
        <f t="shared" si="71"/>
        <v>NA</v>
      </c>
      <c r="Z160" s="74" t="str">
        <f t="shared" si="72"/>
        <v>NA</v>
      </c>
      <c r="AA160" s="74" t="str">
        <f t="shared" si="73"/>
        <v>NA</v>
      </c>
      <c r="AB160" s="74">
        <f t="shared" si="74"/>
        <v>99.19</v>
      </c>
      <c r="AC160" s="69" t="str">
        <f>IF(ISTEXT('TECH DATA ENTRY'!L177)=TRUE,"NA",'TECH DATA ENTRY'!H177)</f>
        <v>NA</v>
      </c>
      <c r="AD160" s="69" t="str">
        <f t="shared" si="75"/>
        <v>NA</v>
      </c>
      <c r="AE160" s="69" t="str">
        <f t="shared" si="76"/>
        <v>NA</v>
      </c>
      <c r="AF160" s="69" t="e">
        <f t="shared" si="77"/>
        <v>#VALUE!</v>
      </c>
      <c r="AG160" s="69" t="e">
        <f t="shared" si="78"/>
        <v>#VALUE!</v>
      </c>
      <c r="AH160" s="69" t="e">
        <f t="shared" si="79"/>
        <v>#VALUE!</v>
      </c>
      <c r="AI160" s="69" t="e">
        <f t="shared" si="80"/>
        <v>#VALUE!</v>
      </c>
      <c r="AJ160" s="70" t="str">
        <f>IF(OR(ISTEXT('TECH DATA ENTRY'!L177)=TRUE,ISTEXT('TECH DATA ENTRY'!F177)=TRUE,ISTEXT('TECH DATA ENTRY'!G177)=TRUE),"NA",(W160-AB160)/(2*MAX(M160,L160)))</f>
        <v>NA</v>
      </c>
      <c r="AK160" s="69" t="str">
        <f t="shared" si="81"/>
        <v>NA</v>
      </c>
      <c r="AM160" s="73" t="e">
        <f t="shared" si="82"/>
        <v>#VALUE!</v>
      </c>
      <c r="AN160" s="73" t="e">
        <f t="shared" si="83"/>
        <v>#VALUE!</v>
      </c>
      <c r="AO160" s="87"/>
      <c r="AP160" s="73" t="e">
        <f t="shared" si="84"/>
        <v>#VALUE!</v>
      </c>
      <c r="AQ160" s="73" t="e">
        <f t="shared" si="85"/>
        <v>#VALUE!</v>
      </c>
      <c r="AR160" s="87"/>
      <c r="AS160" s="73" t="e">
        <f t="shared" si="86"/>
        <v>#VALUE!</v>
      </c>
      <c r="AT160" s="73" t="e">
        <f t="shared" si="87"/>
        <v>#VALUE!</v>
      </c>
      <c r="AV160" s="73" t="e">
        <f t="shared" si="88"/>
        <v>#VALUE!</v>
      </c>
      <c r="AW160" s="73" t="e">
        <f t="shared" si="89"/>
        <v>#VALUE!</v>
      </c>
      <c r="AX160" s="87"/>
      <c r="AY160" s="73" t="e">
        <f t="shared" si="90"/>
        <v>#VALUE!</v>
      </c>
      <c r="AZ160" s="73" t="e">
        <f t="shared" si="91"/>
        <v>#VALUE!</v>
      </c>
      <c r="BA160" s="87"/>
      <c r="BB160" s="73" t="e">
        <f t="shared" si="92"/>
        <v>#VALUE!</v>
      </c>
      <c r="BC160" s="73" t="e">
        <f t="shared" si="93"/>
        <v>#VALUE!</v>
      </c>
    </row>
    <row r="161" spans="1:55" s="86" customFormat="1" ht="25" customHeight="1">
      <c r="A161" s="665" t="str">
        <f>IF('TECH DATA ENTRY'!A178="","",'TECH DATA ENTRY'!A178)</f>
        <v>1 GΩ</v>
      </c>
      <c r="B161" s="402">
        <f>IF('TECH DATA ENTRY'!B178="","",'TECH DATA ENTRY'!B178)</f>
        <v>0</v>
      </c>
      <c r="C161" s="402">
        <f>IF(B161="","",IFERROR('TECH DATA ENTRY'!F178,"NA"))</f>
        <v>0</v>
      </c>
      <c r="D161" s="402" t="str">
        <f>IF('TECH DATA ENTRY'!L178="","",'TECH DATA ENTRY'!L178)</f>
        <v/>
      </c>
      <c r="E161" s="402" t="str">
        <f t="shared" si="65"/>
        <v/>
      </c>
      <c r="F161" s="402">
        <f>IF(B161="","",IFERROR('TECH DATA ENTRY'!G178,"NA"))</f>
        <v>1E-4</v>
      </c>
      <c r="G161" s="538" t="str">
        <f t="shared" si="66"/>
        <v/>
      </c>
      <c r="H161" s="402" t="str">
        <f>IF(OR(ISTEXT(B161)=TRUE, D161="NA",D161=""),"NA", roundsf(MAX(L161,M161),C161))</f>
        <v>NA</v>
      </c>
      <c r="I161" s="325" t="str">
        <f t="shared" si="67"/>
        <v>NA</v>
      </c>
      <c r="J161" s="299"/>
      <c r="K161" s="245"/>
      <c r="L161" s="506">
        <f>(15/1000)*B161+(500/1000000)</f>
        <v>5.0000000000000001E-4</v>
      </c>
      <c r="M161" s="244" t="str">
        <f>UNC_CALCULATION!AM150</f>
        <v>NA</v>
      </c>
      <c r="N161" s="85"/>
      <c r="O161" s="58"/>
      <c r="P161" s="69" t="e">
        <f>IF(B161="","",INDEX('AUX TABLES'!$G$4:$K$8,AV161,AW161))</f>
        <v>#VALUE!</v>
      </c>
      <c r="Q161" s="150" t="e">
        <f>IF(AJ$11=FALSE,IF(B161="","",IF(AJ161="NA",P161,INDEX('AUX TABLES'!$G$4:$K$8,AY161,AZ161))),IF(P161="FAIL",P161,INDEX('AUX TABLES'!$G$4:$K$8,AY161,AZ161)))</f>
        <v>#VALUE!</v>
      </c>
      <c r="R161" s="150" t="e">
        <f>IF(AJ$11=FALSE,IF(B161="","",IF(AJ161="NA",P161,INDEX('AUX TABLES'!$G$4:$K$8,BB161,BC161))),IF(P161="FAIL",P161,INDEX('AUX TABLES'!$G$4:$K$8,BB161,BC161)))</f>
        <v>#VALUE!</v>
      </c>
      <c r="S161" s="69" t="e">
        <f>INDEX('AUX TABLES'!$G$4:$K$8,AM161,AN161)</f>
        <v>#VALUE!</v>
      </c>
      <c r="T161" s="69" t="e">
        <f>IF(AJ$11=FALSE,IF(AJ161="NA",S161,INDEX('AUX TABLES'!$G$4:$K$8,AP161,AQ161)),IF(S161="FAIL",S161,INDEX('AUX TABLES'!$G$4:$K$8,AP161,AQ161)))</f>
        <v>#VALUE!</v>
      </c>
      <c r="U161" s="150" t="e">
        <f>IF(AJ$11=FALSE,IF(AJ161="NA",S161,INDEX('AUX TABLES'!$G$4:$K$8,AS161,AT161)),IF(S161="FAIL",S161,INDEX('AUX TABLES'!$G$4:$K$8,AS161,AT161)))</f>
        <v>#VALUE!</v>
      </c>
      <c r="V161" s="150" t="str">
        <f t="shared" si="68"/>
        <v/>
      </c>
      <c r="W161" s="74">
        <f t="shared" si="69"/>
        <v>1E-4</v>
      </c>
      <c r="X161" s="74" t="str">
        <f t="shared" si="70"/>
        <v>NA</v>
      </c>
      <c r="Y161" s="74" t="str">
        <f t="shared" si="71"/>
        <v>NA</v>
      </c>
      <c r="Z161" s="74" t="str">
        <f t="shared" si="72"/>
        <v>NA</v>
      </c>
      <c r="AA161" s="74" t="str">
        <f t="shared" si="73"/>
        <v>NA</v>
      </c>
      <c r="AB161" s="74">
        <f t="shared" si="74"/>
        <v>0</v>
      </c>
      <c r="AC161" s="69" t="str">
        <f>IF(ISTEXT('TECH DATA ENTRY'!L178)=TRUE,"NA",'TECH DATA ENTRY'!H178)</f>
        <v>NA</v>
      </c>
      <c r="AD161" s="69" t="str">
        <f t="shared" si="75"/>
        <v>NA</v>
      </c>
      <c r="AE161" s="69" t="str">
        <f t="shared" si="76"/>
        <v>NA</v>
      </c>
      <c r="AF161" s="69" t="e">
        <f t="shared" si="77"/>
        <v>#VALUE!</v>
      </c>
      <c r="AG161" s="69" t="e">
        <f t="shared" si="78"/>
        <v>#VALUE!</v>
      </c>
      <c r="AH161" s="69" t="e">
        <f t="shared" si="79"/>
        <v>#VALUE!</v>
      </c>
      <c r="AI161" s="69" t="e">
        <f t="shared" si="80"/>
        <v>#VALUE!</v>
      </c>
      <c r="AJ161" s="70" t="str">
        <f>IF(OR(ISTEXT('TECH DATA ENTRY'!L178)=TRUE,ISTEXT('TECH DATA ENTRY'!F178)=TRUE,ISTEXT('TECH DATA ENTRY'!G178)=TRUE),"NA",(W161-AB161)/(2*MAX(M161,L161)))</f>
        <v>NA</v>
      </c>
      <c r="AK161" s="69" t="str">
        <f t="shared" si="81"/>
        <v>NA</v>
      </c>
      <c r="AM161" s="73" t="e">
        <f t="shared" si="82"/>
        <v>#VALUE!</v>
      </c>
      <c r="AN161" s="73" t="e">
        <f t="shared" si="83"/>
        <v>#VALUE!</v>
      </c>
      <c r="AO161" s="87"/>
      <c r="AP161" s="73" t="e">
        <f t="shared" si="84"/>
        <v>#VALUE!</v>
      </c>
      <c r="AQ161" s="73" t="e">
        <f t="shared" si="85"/>
        <v>#VALUE!</v>
      </c>
      <c r="AR161" s="87"/>
      <c r="AS161" s="73" t="e">
        <f t="shared" si="86"/>
        <v>#VALUE!</v>
      </c>
      <c r="AT161" s="73" t="e">
        <f t="shared" si="87"/>
        <v>#VALUE!</v>
      </c>
      <c r="AV161" s="73" t="e">
        <f t="shared" si="88"/>
        <v>#VALUE!</v>
      </c>
      <c r="AW161" s="73" t="e">
        <f t="shared" si="89"/>
        <v>#VALUE!</v>
      </c>
      <c r="AX161" s="87"/>
      <c r="AY161" s="73" t="e">
        <f t="shared" si="90"/>
        <v>#VALUE!</v>
      </c>
      <c r="AZ161" s="73" t="e">
        <f t="shared" si="91"/>
        <v>#VALUE!</v>
      </c>
      <c r="BA161" s="87"/>
      <c r="BB161" s="73" t="e">
        <f t="shared" si="92"/>
        <v>#VALUE!</v>
      </c>
      <c r="BC161" s="73" t="e">
        <f t="shared" si="93"/>
        <v>#VALUE!</v>
      </c>
    </row>
    <row r="162" spans="1:55" s="86" customFormat="1" ht="25" customHeight="1" thickBot="1">
      <c r="A162" s="666" t="str">
        <f>IF('TECH DATA ENTRY'!A179="","",'TECH DATA ENTRY'!A179)</f>
        <v/>
      </c>
      <c r="B162" s="487">
        <f>IF('TECH DATA ENTRY'!B179="","",'TECH DATA ENTRY'!B179)</f>
        <v>1</v>
      </c>
      <c r="C162" s="487">
        <f>IF(B162="","",IFERROR('TECH DATA ENTRY'!F179,"NA"))</f>
        <v>0.97989999999999999</v>
      </c>
      <c r="D162" s="487" t="str">
        <f>IF('TECH DATA ENTRY'!L179="","",'TECH DATA ENTRY'!L179)</f>
        <v/>
      </c>
      <c r="E162" s="487" t="str">
        <f t="shared" si="65"/>
        <v/>
      </c>
      <c r="F162" s="487">
        <f>IF(B162="","",IFERROR('TECH DATA ENTRY'!G179,"NA"))</f>
        <v>1.0201</v>
      </c>
      <c r="G162" s="539" t="str">
        <f t="shared" si="66"/>
        <v/>
      </c>
      <c r="H162" s="487" t="str">
        <f>IF(OR(ISTEXT(B162)=TRUE, D162="NA",D162=""),"NA", roundsf(MAX(L162,M162),C162))</f>
        <v>NA</v>
      </c>
      <c r="I162" s="486" t="str">
        <f t="shared" si="67"/>
        <v>NA</v>
      </c>
      <c r="J162" s="299"/>
      <c r="K162" s="245"/>
      <c r="L162" s="506">
        <f>(15/1000)*B162+(500/1000000)</f>
        <v>1.55E-2</v>
      </c>
      <c r="M162" s="244" t="str">
        <f>UNC_CALCULATION!AM151</f>
        <v>NA</v>
      </c>
      <c r="N162" s="85"/>
      <c r="O162" s="58"/>
      <c r="P162" s="69" t="e">
        <f>IF(B162="","",INDEX('AUX TABLES'!$G$4:$K$8,AV162,AW162))</f>
        <v>#VALUE!</v>
      </c>
      <c r="Q162" s="150" t="e">
        <f>IF(AJ$11=FALSE,IF(B162="","",IF(AJ162="NA",P162,INDEX('AUX TABLES'!$G$4:$K$8,AY162,AZ162))),IF(P162="FAIL",P162,INDEX('AUX TABLES'!$G$4:$K$8,AY162,AZ162)))</f>
        <v>#VALUE!</v>
      </c>
      <c r="R162" s="150" t="e">
        <f>IF(AJ$11=FALSE,IF(B162="","",IF(AJ162="NA",P162,INDEX('AUX TABLES'!$G$4:$K$8,BB162,BC162))),IF(P162="FAIL",P162,INDEX('AUX TABLES'!$G$4:$K$8,BB162,BC162)))</f>
        <v>#VALUE!</v>
      </c>
      <c r="S162" s="69" t="e">
        <f>INDEX('AUX TABLES'!$G$4:$K$8,AM162,AN162)</f>
        <v>#VALUE!</v>
      </c>
      <c r="T162" s="69" t="e">
        <f>IF(AJ$11=FALSE,IF(AJ162="NA",S162,INDEX('AUX TABLES'!$G$4:$K$8,AP162,AQ162)),IF(S162="FAIL",S162,INDEX('AUX TABLES'!$G$4:$K$8,AP162,AQ162)))</f>
        <v>#VALUE!</v>
      </c>
      <c r="U162" s="150" t="e">
        <f>IF(AJ$11=FALSE,IF(AJ162="NA",S162,INDEX('AUX TABLES'!$G$4:$K$8,AS162,AT162)),IF(S162="FAIL",S162,INDEX('AUX TABLES'!$G$4:$K$8,AS162,AT162)))</f>
        <v>#VALUE!</v>
      </c>
      <c r="V162" s="150" t="str">
        <f t="shared" si="68"/>
        <v/>
      </c>
      <c r="W162" s="74">
        <f t="shared" si="69"/>
        <v>1.0201</v>
      </c>
      <c r="X162" s="74" t="str">
        <f t="shared" si="70"/>
        <v>NA</v>
      </c>
      <c r="Y162" s="74" t="str">
        <f t="shared" si="71"/>
        <v>NA</v>
      </c>
      <c r="Z162" s="74" t="str">
        <f t="shared" si="72"/>
        <v>NA</v>
      </c>
      <c r="AA162" s="74" t="str">
        <f t="shared" si="73"/>
        <v>NA</v>
      </c>
      <c r="AB162" s="74">
        <f t="shared" si="74"/>
        <v>0.97989999999999999</v>
      </c>
      <c r="AC162" s="69" t="str">
        <f>IF(ISTEXT('TECH DATA ENTRY'!L179)=TRUE,"NA",'TECH DATA ENTRY'!H179)</f>
        <v>NA</v>
      </c>
      <c r="AD162" s="69" t="str">
        <f t="shared" si="75"/>
        <v>NA</v>
      </c>
      <c r="AE162" s="69" t="str">
        <f t="shared" si="76"/>
        <v>NA</v>
      </c>
      <c r="AF162" s="69" t="e">
        <f t="shared" si="77"/>
        <v>#VALUE!</v>
      </c>
      <c r="AG162" s="69" t="e">
        <f t="shared" si="78"/>
        <v>#VALUE!</v>
      </c>
      <c r="AH162" s="69" t="e">
        <f t="shared" si="79"/>
        <v>#VALUE!</v>
      </c>
      <c r="AI162" s="69" t="e">
        <f t="shared" si="80"/>
        <v>#VALUE!</v>
      </c>
      <c r="AJ162" s="70" t="str">
        <f>IF(OR(ISTEXT('TECH DATA ENTRY'!L179)=TRUE,ISTEXT('TECH DATA ENTRY'!F179)=TRUE,ISTEXT('TECH DATA ENTRY'!G179)=TRUE),"NA",(W162-AB162)/(2*MAX(M162,L162)))</f>
        <v>NA</v>
      </c>
      <c r="AK162" s="69" t="str">
        <f t="shared" si="81"/>
        <v>NA</v>
      </c>
      <c r="AM162" s="73" t="e">
        <f t="shared" si="82"/>
        <v>#VALUE!</v>
      </c>
      <c r="AN162" s="73" t="e">
        <f t="shared" si="83"/>
        <v>#VALUE!</v>
      </c>
      <c r="AO162" s="87"/>
      <c r="AP162" s="73" t="e">
        <f t="shared" si="84"/>
        <v>#VALUE!</v>
      </c>
      <c r="AQ162" s="73" t="e">
        <f t="shared" si="85"/>
        <v>#VALUE!</v>
      </c>
      <c r="AR162" s="87"/>
      <c r="AS162" s="73" t="e">
        <f t="shared" si="86"/>
        <v>#VALUE!</v>
      </c>
      <c r="AT162" s="73" t="e">
        <f t="shared" si="87"/>
        <v>#VALUE!</v>
      </c>
      <c r="AV162" s="73" t="e">
        <f t="shared" si="88"/>
        <v>#VALUE!</v>
      </c>
      <c r="AW162" s="73" t="e">
        <f t="shared" si="89"/>
        <v>#VALUE!</v>
      </c>
      <c r="AX162" s="87"/>
      <c r="AY162" s="73" t="e">
        <f t="shared" si="90"/>
        <v>#VALUE!</v>
      </c>
      <c r="AZ162" s="73" t="e">
        <f t="shared" si="91"/>
        <v>#VALUE!</v>
      </c>
      <c r="BA162" s="87"/>
      <c r="BB162" s="73" t="e">
        <f t="shared" si="92"/>
        <v>#VALUE!</v>
      </c>
      <c r="BC162" s="73" t="e">
        <f t="shared" si="93"/>
        <v>#VALUE!</v>
      </c>
    </row>
    <row r="163" spans="1:55" s="1" customFormat="1" ht="34.9" customHeight="1">
      <c r="A163" s="64"/>
      <c r="B163" s="554"/>
      <c r="C163" s="554"/>
      <c r="D163" s="554"/>
      <c r="E163" s="554"/>
      <c r="F163" s="554"/>
      <c r="G163" s="554"/>
      <c r="H163" s="554"/>
      <c r="I163" s="555"/>
      <c r="J163" s="56"/>
      <c r="K163" s="56"/>
      <c r="L163" s="58"/>
      <c r="M163" s="58"/>
      <c r="N163" s="31"/>
      <c r="O163" s="77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AP163" s="267"/>
    </row>
    <row r="164" spans="1:55" s="296" customFormat="1" ht="28.15" customHeight="1">
      <c r="A164" s="289" t="str">
        <f>IF('TECH DATA ENTRY'!A181="","",'TECH DATA ENTRY'!A181)</f>
        <v>Rear-Panel Terminal Accuracy</v>
      </c>
      <c r="B164" s="293"/>
      <c r="C164" s="294"/>
      <c r="D164" s="293"/>
      <c r="E164" s="293"/>
      <c r="F164" s="293"/>
      <c r="G164" s="294"/>
      <c r="H164" s="293"/>
      <c r="I164" s="295"/>
      <c r="J164" s="224"/>
      <c r="K164" s="224"/>
      <c r="L164" s="224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AK164" s="297"/>
    </row>
    <row r="165" spans="1:55" s="31" customFormat="1" ht="4.9000000000000004" customHeight="1">
      <c r="A165" s="76" t="str">
        <f>IF('TECH DATA ENTRY'!A182="","",'TECH DATA ENTRY'!A182)</f>
        <v/>
      </c>
      <c r="H165" s="321"/>
      <c r="O165" s="77"/>
      <c r="AK165" s="1"/>
      <c r="AM165" s="637" t="s">
        <v>116</v>
      </c>
      <c r="AN165" s="637"/>
      <c r="AO165" s="637"/>
      <c r="AP165" s="637"/>
      <c r="AQ165" s="637"/>
      <c r="AR165" s="637"/>
      <c r="AS165" s="637"/>
      <c r="AT165" s="637"/>
      <c r="AV165" s="637" t="s">
        <v>117</v>
      </c>
      <c r="AW165" s="637"/>
      <c r="AX165" s="637"/>
      <c r="AY165" s="637"/>
      <c r="AZ165" s="637"/>
      <c r="BA165" s="637"/>
      <c r="BB165" s="637"/>
      <c r="BC165" s="637"/>
    </row>
    <row r="166" spans="1:55" s="225" customFormat="1" ht="4.9000000000000004" customHeight="1" thickBot="1">
      <c r="A166" s="288" t="str">
        <f>IF('TECH DATA ENTRY'!A183="","",'TECH DATA ENTRY'!A183)</f>
        <v/>
      </c>
      <c r="K166" s="239"/>
      <c r="L166" s="239"/>
      <c r="AK166" s="240"/>
    </row>
    <row r="167" spans="1:55" s="285" customFormat="1" ht="20.149999999999999" customHeight="1">
      <c r="A167" s="644" t="str">
        <f>IF('TECH DATA ENTRY'!A184="","",'TECH DATA ENTRY'!A184)</f>
        <v>Range</v>
      </c>
      <c r="B167" s="646" t="str">
        <f>IF('TECH DATA ENTRY'!B184="","",'TECH DATA ENTRY'!B184)</f>
        <v>Nominal</v>
      </c>
      <c r="C167" s="648" t="s">
        <v>2</v>
      </c>
      <c r="D167" s="648" t="str">
        <f>IF(LEFT(P$11,3)="ROV", "Measured Value", "As Found")</f>
        <v>As Found</v>
      </c>
      <c r="E167" s="648" t="str">
        <f>IF(LEFT(P$11,3)="ROV", "Correction", "As Left")</f>
        <v>As Left</v>
      </c>
      <c r="F167" s="648" t="s">
        <v>3</v>
      </c>
      <c r="G167" s="653" t="s">
        <v>4</v>
      </c>
      <c r="H167" s="659" t="s">
        <v>30</v>
      </c>
      <c r="I167" s="661" t="s">
        <v>28</v>
      </c>
      <c r="J167" s="284"/>
      <c r="L167" s="658" t="s">
        <v>38</v>
      </c>
      <c r="M167" s="616" t="s">
        <v>31</v>
      </c>
      <c r="N167" s="281"/>
      <c r="O167" s="286"/>
      <c r="P167" s="640" t="s">
        <v>136</v>
      </c>
      <c r="Q167" s="641"/>
      <c r="R167" s="642"/>
      <c r="S167" s="638" t="s">
        <v>115</v>
      </c>
      <c r="T167" s="638"/>
      <c r="U167" s="638"/>
      <c r="V167" s="638"/>
      <c r="W167" s="640" t="s">
        <v>64</v>
      </c>
      <c r="X167" s="641"/>
      <c r="Y167" s="641"/>
      <c r="Z167" s="641"/>
      <c r="AA167" s="641"/>
      <c r="AB167" s="642"/>
      <c r="AC167" s="638" t="s">
        <v>97</v>
      </c>
      <c r="AD167" s="638"/>
      <c r="AE167" s="638"/>
      <c r="AF167" s="638" t="s">
        <v>127</v>
      </c>
      <c r="AG167" s="638"/>
      <c r="AH167" s="638" t="s">
        <v>128</v>
      </c>
      <c r="AI167" s="638"/>
      <c r="AJ167" s="638" t="s">
        <v>28</v>
      </c>
      <c r="AK167" s="638" t="s">
        <v>121</v>
      </c>
      <c r="AL167" s="308"/>
      <c r="AM167" s="639" t="s">
        <v>122</v>
      </c>
      <c r="AN167" s="639"/>
      <c r="AO167" s="308"/>
      <c r="AP167" s="639" t="s">
        <v>119</v>
      </c>
      <c r="AQ167" s="639"/>
      <c r="AR167" s="308"/>
      <c r="AS167" s="639" t="s">
        <v>120</v>
      </c>
      <c r="AT167" s="639"/>
      <c r="AU167" s="308"/>
      <c r="AV167" s="639" t="s">
        <v>122</v>
      </c>
      <c r="AW167" s="639"/>
      <c r="AX167" s="308"/>
      <c r="AY167" s="639" t="s">
        <v>119</v>
      </c>
      <c r="AZ167" s="639"/>
      <c r="BA167" s="308"/>
      <c r="BB167" s="639" t="s">
        <v>120</v>
      </c>
      <c r="BC167" s="639"/>
    </row>
    <row r="168" spans="1:55" s="285" customFormat="1" ht="20.149999999999999" customHeight="1" thickBot="1">
      <c r="A168" s="645"/>
      <c r="B168" s="647"/>
      <c r="C168" s="649"/>
      <c r="D168" s="649"/>
      <c r="E168" s="649"/>
      <c r="F168" s="649"/>
      <c r="G168" s="654"/>
      <c r="H168" s="660"/>
      <c r="I168" s="662"/>
      <c r="J168" s="284"/>
      <c r="L168" s="649"/>
      <c r="M168" s="617"/>
      <c r="O168" s="281"/>
      <c r="P168" s="309" t="s">
        <v>122</v>
      </c>
      <c r="Q168" s="309" t="s">
        <v>119</v>
      </c>
      <c r="R168" s="309" t="s">
        <v>120</v>
      </c>
      <c r="S168" s="309" t="s">
        <v>122</v>
      </c>
      <c r="T168" s="309" t="s">
        <v>119</v>
      </c>
      <c r="U168" s="309" t="s">
        <v>120</v>
      </c>
      <c r="V168" s="309" t="s">
        <v>118</v>
      </c>
      <c r="W168" s="309" t="s">
        <v>63</v>
      </c>
      <c r="X168" s="309" t="s">
        <v>69</v>
      </c>
      <c r="Y168" s="309" t="s">
        <v>71</v>
      </c>
      <c r="Z168" s="309" t="s">
        <v>72</v>
      </c>
      <c r="AA168" s="309" t="s">
        <v>70</v>
      </c>
      <c r="AB168" s="309" t="s">
        <v>75</v>
      </c>
      <c r="AC168" s="309" t="s">
        <v>78</v>
      </c>
      <c r="AD168" s="309" t="s">
        <v>119</v>
      </c>
      <c r="AE168" s="309" t="s">
        <v>120</v>
      </c>
      <c r="AF168" s="309" t="s">
        <v>129</v>
      </c>
      <c r="AG168" s="309" t="s">
        <v>130</v>
      </c>
      <c r="AH168" s="309" t="s">
        <v>129</v>
      </c>
      <c r="AI168" s="309" t="s">
        <v>130</v>
      </c>
      <c r="AJ168" s="652"/>
      <c r="AK168" s="652"/>
      <c r="AL168" s="308"/>
      <c r="AM168" s="310" t="s">
        <v>67</v>
      </c>
      <c r="AN168" s="310" t="s">
        <v>68</v>
      </c>
      <c r="AO168" s="308"/>
      <c r="AP168" s="310" t="s">
        <v>67</v>
      </c>
      <c r="AQ168" s="310" t="s">
        <v>68</v>
      </c>
      <c r="AR168" s="308"/>
      <c r="AS168" s="310" t="s">
        <v>67</v>
      </c>
      <c r="AT168" s="310" t="s">
        <v>68</v>
      </c>
      <c r="AU168" s="308"/>
      <c r="AV168" s="310" t="s">
        <v>67</v>
      </c>
      <c r="AW168" s="310" t="s">
        <v>68</v>
      </c>
      <c r="AX168" s="308"/>
      <c r="AY168" s="310" t="s">
        <v>67</v>
      </c>
      <c r="AZ168" s="310" t="s">
        <v>68</v>
      </c>
      <c r="BA168" s="308"/>
      <c r="BB168" s="310" t="s">
        <v>67</v>
      </c>
      <c r="BC168" s="310" t="s">
        <v>68</v>
      </c>
    </row>
    <row r="169" spans="1:55" s="86" customFormat="1" ht="25" customHeight="1" thickTop="1">
      <c r="A169" s="466" t="str">
        <f>IF('TECH DATA ENTRY'!A186="","",'TECH DATA ENTRY'!A186)</f>
        <v>10 V DC</v>
      </c>
      <c r="B169" s="350">
        <f>IF('TECH DATA ENTRY'!B186="","",'TECH DATA ENTRY'!B186)</f>
        <v>10</v>
      </c>
      <c r="C169" s="350">
        <f>IF(B169="","",IFERROR('TECH DATA ENTRY'!F186,"NA"))</f>
        <v>9.9997100000000003</v>
      </c>
      <c r="D169" s="350" t="str">
        <f>IF('TECH DATA ENTRY'!L186="","",'TECH DATA ENTRY'!L186)</f>
        <v/>
      </c>
      <c r="E169" s="350" t="str">
        <f t="shared" si="65"/>
        <v/>
      </c>
      <c r="F169" s="350">
        <f>IF(B169="","",IFERROR('TECH DATA ENTRY'!G186,"NA"))</f>
        <v>10.00029</v>
      </c>
      <c r="G169" s="516" t="str">
        <f t="shared" si="66"/>
        <v/>
      </c>
      <c r="H169" s="350" t="str">
        <f>IF(OR(ISTEXT(B169)=TRUE, D169="NA",D169=""),"NA", roundsf(MAX(L169,M169),C169))</f>
        <v>NA</v>
      </c>
      <c r="I169" s="325" t="str">
        <f t="shared" si="67"/>
        <v>NA</v>
      </c>
      <c r="J169" s="299"/>
      <c r="K169" s="245"/>
      <c r="L169" s="506">
        <f>0.000003*B169+0.0000025</f>
        <v>3.2500000000000004E-5</v>
      </c>
      <c r="M169" s="244" t="str">
        <f>UNC_CALCULATION!AM158</f>
        <v>NA</v>
      </c>
      <c r="N169" s="85"/>
      <c r="O169" s="58"/>
      <c r="P169" s="69" t="e">
        <f>IF(B169="","",INDEX('AUX TABLES'!$G$4:$K$8,AV169,AW169))</f>
        <v>#VALUE!</v>
      </c>
      <c r="Q169" s="150" t="e">
        <f>IF(AJ$11=FALSE,IF(B169="","",IF(AJ169="NA",P169,INDEX('AUX TABLES'!$G$4:$K$8,AY169,AZ169))),IF(P169="FAIL",P169,INDEX('AUX TABLES'!$G$4:$K$8,AY169,AZ169)))</f>
        <v>#VALUE!</v>
      </c>
      <c r="R169" s="150" t="e">
        <f>IF(AJ$11=FALSE,IF(B169="","",IF(AJ169="NA",P169,INDEX('AUX TABLES'!$G$4:$K$8,BB169,BC169))),IF(P169="FAIL",P169,INDEX('AUX TABLES'!$G$4:$K$8,BB169,BC169)))</f>
        <v>#VALUE!</v>
      </c>
      <c r="S169" s="69" t="e">
        <f>INDEX('AUX TABLES'!$G$4:$K$8,AM169,AN169)</f>
        <v>#VALUE!</v>
      </c>
      <c r="T169" s="69" t="e">
        <f>IF(AJ$11=FALSE,IF(AJ169="NA",S169,INDEX('AUX TABLES'!$G$4:$K$8,AP169,AQ169)),IF(S169="FAIL",S169,INDEX('AUX TABLES'!$G$4:$K$8,AP169,AQ169)))</f>
        <v>#VALUE!</v>
      </c>
      <c r="U169" s="150" t="e">
        <f>IF(AJ$11=FALSE,IF(AJ169="NA",S169,INDEX('AUX TABLES'!$G$4:$K$8,AS169,AT169)),IF(S169="FAIL",S169,INDEX('AUX TABLES'!$G$4:$K$8,AS169,AT169)))</f>
        <v>#VALUE!</v>
      </c>
      <c r="V169" s="150" t="str">
        <f t="shared" si="68"/>
        <v/>
      </c>
      <c r="W169" s="74">
        <f t="shared" si="69"/>
        <v>10.00029</v>
      </c>
      <c r="X169" s="74" t="str">
        <f t="shared" si="70"/>
        <v>NA</v>
      </c>
      <c r="Y169" s="74" t="str">
        <f t="shared" si="71"/>
        <v>NA</v>
      </c>
      <c r="Z169" s="74" t="str">
        <f t="shared" si="72"/>
        <v>NA</v>
      </c>
      <c r="AA169" s="74" t="str">
        <f t="shared" si="73"/>
        <v>NA</v>
      </c>
      <c r="AB169" s="74">
        <f t="shared" si="74"/>
        <v>9.9997100000000003</v>
      </c>
      <c r="AC169" s="69" t="str">
        <f>IF(ISTEXT('TECH DATA ENTRY'!L186)=TRUE,"NA",'TECH DATA ENTRY'!H186)</f>
        <v>NA</v>
      </c>
      <c r="AD169" s="69" t="str">
        <f t="shared" si="75"/>
        <v>NA</v>
      </c>
      <c r="AE169" s="69" t="str">
        <f t="shared" si="76"/>
        <v>NA</v>
      </c>
      <c r="AF169" s="69" t="e">
        <f t="shared" si="77"/>
        <v>#VALUE!</v>
      </c>
      <c r="AG169" s="69" t="e">
        <f t="shared" si="78"/>
        <v>#VALUE!</v>
      </c>
      <c r="AH169" s="69" t="e">
        <f t="shared" si="79"/>
        <v>#VALUE!</v>
      </c>
      <c r="AI169" s="69" t="e">
        <f t="shared" si="80"/>
        <v>#VALUE!</v>
      </c>
      <c r="AJ169" s="70" t="str">
        <f>IF(OR(ISTEXT('TECH DATA ENTRY'!L186)=TRUE,ISTEXT('TECH DATA ENTRY'!F186)=TRUE,ISTEXT('TECH DATA ENTRY'!G186)=TRUE),"NA",(W169-AB169)/(2*MAX(M169,L169)))</f>
        <v>NA</v>
      </c>
      <c r="AK169" s="69" t="str">
        <f t="shared" si="81"/>
        <v>NA</v>
      </c>
      <c r="AM169" s="73" t="e">
        <f t="shared" si="82"/>
        <v>#VALUE!</v>
      </c>
      <c r="AN169" s="73" t="e">
        <f t="shared" si="83"/>
        <v>#VALUE!</v>
      </c>
      <c r="AO169" s="87"/>
      <c r="AP169" s="73" t="e">
        <f t="shared" si="84"/>
        <v>#VALUE!</v>
      </c>
      <c r="AQ169" s="73" t="e">
        <f t="shared" si="85"/>
        <v>#VALUE!</v>
      </c>
      <c r="AR169" s="87"/>
      <c r="AS169" s="73" t="e">
        <f t="shared" si="86"/>
        <v>#VALUE!</v>
      </c>
      <c r="AT169" s="73" t="e">
        <f t="shared" si="87"/>
        <v>#VALUE!</v>
      </c>
      <c r="AV169" s="73" t="e">
        <f t="shared" si="88"/>
        <v>#VALUE!</v>
      </c>
      <c r="AW169" s="73" t="e">
        <f t="shared" si="89"/>
        <v>#VALUE!</v>
      </c>
      <c r="AX169" s="87"/>
      <c r="AY169" s="73" t="e">
        <f t="shared" si="90"/>
        <v>#VALUE!</v>
      </c>
      <c r="AZ169" s="73" t="e">
        <f t="shared" si="91"/>
        <v>#VALUE!</v>
      </c>
      <c r="BA169" s="87"/>
      <c r="BB169" s="73" t="e">
        <f t="shared" si="92"/>
        <v>#VALUE!</v>
      </c>
      <c r="BC169" s="73" t="e">
        <f t="shared" si="93"/>
        <v>#VALUE!</v>
      </c>
    </row>
    <row r="170" spans="1:55" s="86" customFormat="1" ht="25" customHeight="1">
      <c r="A170" s="466" t="str">
        <f>IF('TECH DATA ENTRY'!A187="","",'TECH DATA ENTRY'!A187)</f>
        <v>4-W, 1 kΩ</v>
      </c>
      <c r="B170" s="384">
        <f>IF('TECH DATA ENTRY'!B187="","",'TECH DATA ENTRY'!B187)</f>
        <v>1</v>
      </c>
      <c r="C170" s="384">
        <f>IF(B170="","",IFERROR('TECH DATA ENTRY'!F187,"NA"))</f>
        <v>0.99988999999999995</v>
      </c>
      <c r="D170" s="384" t="str">
        <f>IF('TECH DATA ENTRY'!L187="","",'TECH DATA ENTRY'!L187)</f>
        <v/>
      </c>
      <c r="E170" s="384" t="str">
        <f t="shared" si="65"/>
        <v/>
      </c>
      <c r="F170" s="384">
        <f>IF(B170="","",IFERROR('TECH DATA ENTRY'!G187,"NA"))</f>
        <v>1.0001100000000001</v>
      </c>
      <c r="G170" s="531" t="str">
        <f t="shared" si="66"/>
        <v/>
      </c>
      <c r="H170" s="384" t="str">
        <f>IF(OR(ISTEXT(B170)=TRUE, D170="NA",D170=""),"NA", roundsf(MAX(L170,M170),C170))</f>
        <v>NA</v>
      </c>
      <c r="I170" s="325" t="str">
        <f t="shared" si="67"/>
        <v>NA</v>
      </c>
      <c r="J170" s="299"/>
      <c r="K170" s="245"/>
      <c r="L170" s="506">
        <f>0.000031*B170+0.000002</f>
        <v>3.3000000000000003E-5</v>
      </c>
      <c r="M170" s="244" t="str">
        <f>UNC_CALCULATION!AM159</f>
        <v>NA</v>
      </c>
      <c r="N170" s="85"/>
      <c r="O170" s="58"/>
      <c r="P170" s="69" t="e">
        <f>IF(B170="","",INDEX('AUX TABLES'!$G$4:$K$8,AV170,AW170))</f>
        <v>#VALUE!</v>
      </c>
      <c r="Q170" s="150" t="e">
        <f>IF(AJ$11=FALSE,IF(B170="","",IF(AJ170="NA",P170,INDEX('AUX TABLES'!$G$4:$K$8,AY170,AZ170))),IF(P170="FAIL",P170,INDEX('AUX TABLES'!$G$4:$K$8,AY170,AZ170)))</f>
        <v>#VALUE!</v>
      </c>
      <c r="R170" s="150" t="e">
        <f>IF(AJ$11=FALSE,IF(B170="","",IF(AJ170="NA",P170,INDEX('AUX TABLES'!$G$4:$K$8,BB170,BC170))),IF(P170="FAIL",P170,INDEX('AUX TABLES'!$G$4:$K$8,BB170,BC170)))</f>
        <v>#VALUE!</v>
      </c>
      <c r="S170" s="69" t="e">
        <f>INDEX('AUX TABLES'!$G$4:$K$8,AM170,AN170)</f>
        <v>#VALUE!</v>
      </c>
      <c r="T170" s="69" t="e">
        <f>IF(AJ$11=FALSE,IF(AJ170="NA",S170,INDEX('AUX TABLES'!$G$4:$K$8,AP170,AQ170)),IF(S170="FAIL",S170,INDEX('AUX TABLES'!$G$4:$K$8,AP170,AQ170)))</f>
        <v>#VALUE!</v>
      </c>
      <c r="U170" s="150" t="e">
        <f>IF(AJ$11=FALSE,IF(AJ170="NA",S170,INDEX('AUX TABLES'!$G$4:$K$8,AS170,AT170)),IF(S170="FAIL",S170,INDEX('AUX TABLES'!$G$4:$K$8,AS170,AT170)))</f>
        <v>#VALUE!</v>
      </c>
      <c r="V170" s="150" t="str">
        <f t="shared" si="68"/>
        <v/>
      </c>
      <c r="W170" s="74">
        <f t="shared" si="69"/>
        <v>1.0001100000000001</v>
      </c>
      <c r="X170" s="74" t="str">
        <f t="shared" si="70"/>
        <v>NA</v>
      </c>
      <c r="Y170" s="74" t="str">
        <f t="shared" si="71"/>
        <v>NA</v>
      </c>
      <c r="Z170" s="74" t="str">
        <f t="shared" si="72"/>
        <v>NA</v>
      </c>
      <c r="AA170" s="74" t="str">
        <f t="shared" si="73"/>
        <v>NA</v>
      </c>
      <c r="AB170" s="74">
        <f t="shared" si="74"/>
        <v>0.99988999999999995</v>
      </c>
      <c r="AC170" s="69" t="str">
        <f>IF(ISTEXT('TECH DATA ENTRY'!L187)=TRUE,"NA",'TECH DATA ENTRY'!H187)</f>
        <v>NA</v>
      </c>
      <c r="AD170" s="69" t="str">
        <f t="shared" si="75"/>
        <v>NA</v>
      </c>
      <c r="AE170" s="69" t="str">
        <f t="shared" si="76"/>
        <v>NA</v>
      </c>
      <c r="AF170" s="69" t="e">
        <f t="shared" si="77"/>
        <v>#VALUE!</v>
      </c>
      <c r="AG170" s="69" t="e">
        <f t="shared" si="78"/>
        <v>#VALUE!</v>
      </c>
      <c r="AH170" s="69" t="e">
        <f t="shared" si="79"/>
        <v>#VALUE!</v>
      </c>
      <c r="AI170" s="69" t="e">
        <f t="shared" si="80"/>
        <v>#VALUE!</v>
      </c>
      <c r="AJ170" s="70" t="str">
        <f>IF(OR(ISTEXT('TECH DATA ENTRY'!L187)=TRUE,ISTEXT('TECH DATA ENTRY'!F187)=TRUE,ISTEXT('TECH DATA ENTRY'!G187)=TRUE),"NA",(W170-AB170)/(2*MAX(M170,L170)))</f>
        <v>NA</v>
      </c>
      <c r="AK170" s="69" t="str">
        <f t="shared" si="81"/>
        <v>NA</v>
      </c>
      <c r="AM170" s="73" t="e">
        <f t="shared" si="82"/>
        <v>#VALUE!</v>
      </c>
      <c r="AN170" s="73" t="e">
        <f t="shared" si="83"/>
        <v>#VALUE!</v>
      </c>
      <c r="AO170" s="87"/>
      <c r="AP170" s="73" t="e">
        <f t="shared" si="84"/>
        <v>#VALUE!</v>
      </c>
      <c r="AQ170" s="73" t="e">
        <f t="shared" si="85"/>
        <v>#VALUE!</v>
      </c>
      <c r="AR170" s="87"/>
      <c r="AS170" s="73" t="e">
        <f t="shared" si="86"/>
        <v>#VALUE!</v>
      </c>
      <c r="AT170" s="73" t="e">
        <f t="shared" si="87"/>
        <v>#VALUE!</v>
      </c>
      <c r="AV170" s="73" t="e">
        <f t="shared" si="88"/>
        <v>#VALUE!</v>
      </c>
      <c r="AW170" s="73" t="e">
        <f t="shared" si="89"/>
        <v>#VALUE!</v>
      </c>
      <c r="AX170" s="87"/>
      <c r="AY170" s="73" t="e">
        <f t="shared" si="90"/>
        <v>#VALUE!</v>
      </c>
      <c r="AZ170" s="73" t="e">
        <f t="shared" si="91"/>
        <v>#VALUE!</v>
      </c>
      <c r="BA170" s="87"/>
      <c r="BB170" s="73" t="e">
        <f t="shared" si="92"/>
        <v>#VALUE!</v>
      </c>
      <c r="BC170" s="73" t="e">
        <f t="shared" si="93"/>
        <v>#VALUE!</v>
      </c>
    </row>
    <row r="171" spans="1:55" s="86" customFormat="1" ht="25" customHeight="1" thickBot="1">
      <c r="A171" s="467" t="str">
        <f>IF('TECH DATA ENTRY'!A188="","",'TECH DATA ENTRY'!A188)</f>
        <v>100 mA</v>
      </c>
      <c r="B171" s="471">
        <f>IF('TECH DATA ENTRY'!B188="","",'TECH DATA ENTRY'!B188)</f>
        <v>100</v>
      </c>
      <c r="C171" s="471">
        <f>IF(B171="","",IFERROR('TECH DATA ENTRY'!F188,"NA"))</f>
        <v>99.944999999999993</v>
      </c>
      <c r="D171" s="471" t="str">
        <f>IF('TECH DATA ENTRY'!L188="","",'TECH DATA ENTRY'!L188)</f>
        <v/>
      </c>
      <c r="E171" s="471" t="str">
        <f t="shared" si="65"/>
        <v/>
      </c>
      <c r="F171" s="471">
        <f>IF(B171="","",IFERROR('TECH DATA ENTRY'!G188,"NA"))</f>
        <v>100.05500000000001</v>
      </c>
      <c r="G171" s="540" t="str">
        <f t="shared" si="66"/>
        <v/>
      </c>
      <c r="H171" s="471" t="str">
        <f>IF(OR(ISTEXT(B171)=TRUE, D171="NA",D171=""),"NA", roundsf(MAX(L171,M171),C171))</f>
        <v>NA</v>
      </c>
      <c r="I171" s="486" t="str">
        <f t="shared" si="67"/>
        <v>NA</v>
      </c>
      <c r="J171" s="299"/>
      <c r="K171" s="245"/>
      <c r="L171" s="506">
        <f>0.000051*B171+0.0007</f>
        <v>5.8000000000000005E-3</v>
      </c>
      <c r="M171" s="244" t="str">
        <f>UNC_CALCULATION!AM160</f>
        <v>NA</v>
      </c>
      <c r="N171" s="85"/>
      <c r="O171" s="58"/>
      <c r="P171" s="69" t="e">
        <f>IF(B171="","",INDEX('AUX TABLES'!$G$4:$K$8,AV171,AW171))</f>
        <v>#VALUE!</v>
      </c>
      <c r="Q171" s="150" t="e">
        <f>IF(AJ$11=FALSE,IF(B171="","",IF(AJ171="NA",P171,INDEX('AUX TABLES'!$G$4:$K$8,AY171,AZ171))),IF(P171="FAIL",P171,INDEX('AUX TABLES'!$G$4:$K$8,AY171,AZ171)))</f>
        <v>#VALUE!</v>
      </c>
      <c r="R171" s="150" t="e">
        <f>IF(AJ$11=FALSE,IF(B171="","",IF(AJ171="NA",P171,INDEX('AUX TABLES'!$G$4:$K$8,BB171,BC171))),IF(P171="FAIL",P171,INDEX('AUX TABLES'!$G$4:$K$8,BB171,BC171)))</f>
        <v>#VALUE!</v>
      </c>
      <c r="S171" s="69" t="e">
        <f>INDEX('AUX TABLES'!$G$4:$K$8,AM171,AN171)</f>
        <v>#VALUE!</v>
      </c>
      <c r="T171" s="69" t="e">
        <f>IF(AJ$11=FALSE,IF(AJ171="NA",S171,INDEX('AUX TABLES'!$G$4:$K$8,AP171,AQ171)),IF(S171="FAIL",S171,INDEX('AUX TABLES'!$G$4:$K$8,AP171,AQ171)))</f>
        <v>#VALUE!</v>
      </c>
      <c r="U171" s="150" t="e">
        <f>IF(AJ$11=FALSE,IF(AJ171="NA",S171,INDEX('AUX TABLES'!$G$4:$K$8,AS171,AT171)),IF(S171="FAIL",S171,INDEX('AUX TABLES'!$G$4:$K$8,AS171,AT171)))</f>
        <v>#VALUE!</v>
      </c>
      <c r="V171" s="150" t="str">
        <f t="shared" si="68"/>
        <v/>
      </c>
      <c r="W171" s="74">
        <f t="shared" si="69"/>
        <v>100.05500000000001</v>
      </c>
      <c r="X171" s="74" t="str">
        <f t="shared" si="70"/>
        <v>NA</v>
      </c>
      <c r="Y171" s="74" t="str">
        <f t="shared" si="71"/>
        <v>NA</v>
      </c>
      <c r="Z171" s="74" t="str">
        <f t="shared" si="72"/>
        <v>NA</v>
      </c>
      <c r="AA171" s="74" t="str">
        <f t="shared" si="73"/>
        <v>NA</v>
      </c>
      <c r="AB171" s="74">
        <f t="shared" si="74"/>
        <v>99.944999999999993</v>
      </c>
      <c r="AC171" s="69" t="str">
        <f>IF(ISTEXT('TECH DATA ENTRY'!L188)=TRUE,"NA",'TECH DATA ENTRY'!H188)</f>
        <v>NA</v>
      </c>
      <c r="AD171" s="69" t="str">
        <f t="shared" si="75"/>
        <v>NA</v>
      </c>
      <c r="AE171" s="69" t="str">
        <f t="shared" si="76"/>
        <v>NA</v>
      </c>
      <c r="AF171" s="69" t="e">
        <f t="shared" si="77"/>
        <v>#VALUE!</v>
      </c>
      <c r="AG171" s="69" t="e">
        <f t="shared" si="78"/>
        <v>#VALUE!</v>
      </c>
      <c r="AH171" s="69" t="e">
        <f t="shared" si="79"/>
        <v>#VALUE!</v>
      </c>
      <c r="AI171" s="69" t="e">
        <f t="shared" si="80"/>
        <v>#VALUE!</v>
      </c>
      <c r="AJ171" s="70" t="str">
        <f>IF(OR(ISTEXT('TECH DATA ENTRY'!L188)=TRUE,ISTEXT('TECH DATA ENTRY'!F188)=TRUE,ISTEXT('TECH DATA ENTRY'!G188)=TRUE),"NA",(W171-AB171)/(2*MAX(M171,L171)))</f>
        <v>NA</v>
      </c>
      <c r="AK171" s="69" t="str">
        <f t="shared" si="81"/>
        <v>NA</v>
      </c>
      <c r="AM171" s="73" t="e">
        <f t="shared" si="82"/>
        <v>#VALUE!</v>
      </c>
      <c r="AN171" s="73" t="e">
        <f t="shared" si="83"/>
        <v>#VALUE!</v>
      </c>
      <c r="AO171" s="87"/>
      <c r="AP171" s="73" t="e">
        <f t="shared" si="84"/>
        <v>#VALUE!</v>
      </c>
      <c r="AQ171" s="73" t="e">
        <f t="shared" si="85"/>
        <v>#VALUE!</v>
      </c>
      <c r="AR171" s="87"/>
      <c r="AS171" s="73" t="e">
        <f t="shared" si="86"/>
        <v>#VALUE!</v>
      </c>
      <c r="AT171" s="73" t="e">
        <f t="shared" si="87"/>
        <v>#VALUE!</v>
      </c>
      <c r="AV171" s="73" t="e">
        <f t="shared" si="88"/>
        <v>#VALUE!</v>
      </c>
      <c r="AW171" s="73" t="e">
        <f t="shared" si="89"/>
        <v>#VALUE!</v>
      </c>
      <c r="AX171" s="87"/>
      <c r="AY171" s="73" t="e">
        <f t="shared" si="90"/>
        <v>#VALUE!</v>
      </c>
      <c r="AZ171" s="73" t="e">
        <f t="shared" si="91"/>
        <v>#VALUE!</v>
      </c>
      <c r="BA171" s="87"/>
      <c r="BB171" s="73" t="e">
        <f t="shared" si="92"/>
        <v>#VALUE!</v>
      </c>
      <c r="BC171" s="73" t="e">
        <f t="shared" si="93"/>
        <v>#VALUE!</v>
      </c>
    </row>
    <row r="172" spans="1:55" s="1" customFormat="1" ht="34.9" customHeight="1">
      <c r="A172" s="64"/>
      <c r="B172" s="554"/>
      <c r="C172" s="554"/>
      <c r="D172" s="554"/>
      <c r="E172" s="554"/>
      <c r="F172" s="554"/>
      <c r="G172" s="554"/>
      <c r="H172" s="554"/>
      <c r="I172" s="555"/>
      <c r="J172" s="56"/>
      <c r="K172" s="56"/>
      <c r="L172" s="58"/>
      <c r="M172" s="58"/>
      <c r="N172" s="31"/>
      <c r="O172" s="77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AP172" s="267"/>
    </row>
    <row r="173" spans="1:55" s="296" customFormat="1" ht="28.15" customHeight="1">
      <c r="A173" s="289" t="str">
        <f>IF('TECH DATA ENTRY'!A190="","",'TECH DATA ENTRY'!A190)</f>
        <v>Capacitance Accuracy</v>
      </c>
      <c r="B173" s="293"/>
      <c r="C173" s="294"/>
      <c r="D173" s="293"/>
      <c r="E173" s="293"/>
      <c r="F173" s="293"/>
      <c r="G173" s="294"/>
      <c r="H173" s="293"/>
      <c r="I173" s="295"/>
      <c r="J173" s="224"/>
      <c r="K173" s="224"/>
      <c r="L173" s="224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AK173" s="297"/>
    </row>
    <row r="174" spans="1:55" s="31" customFormat="1" ht="4.9000000000000004" customHeight="1">
      <c r="A174" s="76" t="str">
        <f>IF('TECH DATA ENTRY'!A191="","",'TECH DATA ENTRY'!A191)</f>
        <v/>
      </c>
      <c r="H174" s="321"/>
      <c r="O174" s="77"/>
      <c r="AK174" s="1"/>
      <c r="AM174" s="637" t="s">
        <v>116</v>
      </c>
      <c r="AN174" s="637"/>
      <c r="AO174" s="637"/>
      <c r="AP174" s="637"/>
      <c r="AQ174" s="637"/>
      <c r="AR174" s="637"/>
      <c r="AS174" s="637"/>
      <c r="AT174" s="637"/>
      <c r="AV174" s="637" t="s">
        <v>117</v>
      </c>
      <c r="AW174" s="637"/>
      <c r="AX174" s="637"/>
      <c r="AY174" s="637"/>
      <c r="AZ174" s="637"/>
      <c r="BA174" s="637"/>
      <c r="BB174" s="637"/>
      <c r="BC174" s="637"/>
    </row>
    <row r="175" spans="1:55" s="225" customFormat="1" ht="4.9000000000000004" customHeight="1" thickBot="1">
      <c r="A175" s="288" t="str">
        <f>IF('TECH DATA ENTRY'!A192="","",'TECH DATA ENTRY'!A192)</f>
        <v/>
      </c>
      <c r="K175" s="239"/>
      <c r="L175" s="239"/>
      <c r="AK175" s="240"/>
    </row>
    <row r="176" spans="1:55" s="285" customFormat="1" ht="20.149999999999999" customHeight="1">
      <c r="A176" s="644" t="str">
        <f>IF('TECH DATA ENTRY'!A193="","",'TECH DATA ENTRY'!A193)</f>
        <v>Range</v>
      </c>
      <c r="B176" s="646" t="str">
        <f>IF('TECH DATA ENTRY'!B193="","",'TECH DATA ENTRY'!B193)</f>
        <v>Nominal</v>
      </c>
      <c r="C176" s="648" t="s">
        <v>2</v>
      </c>
      <c r="D176" s="648" t="str">
        <f>IF(LEFT(P$11,3)="ROV", "Measured Value", "As Found")</f>
        <v>As Found</v>
      </c>
      <c r="E176" s="648" t="str">
        <f>IF(LEFT(P$11,3)="ROV", "Correction", "As Left")</f>
        <v>As Left</v>
      </c>
      <c r="F176" s="648" t="s">
        <v>3</v>
      </c>
      <c r="G176" s="653" t="s">
        <v>4</v>
      </c>
      <c r="H176" s="659" t="s">
        <v>30</v>
      </c>
      <c r="I176" s="661" t="s">
        <v>28</v>
      </c>
      <c r="J176" s="284"/>
      <c r="L176" s="658" t="s">
        <v>38</v>
      </c>
      <c r="M176" s="616" t="s">
        <v>31</v>
      </c>
      <c r="N176" s="281"/>
      <c r="O176" s="286"/>
      <c r="P176" s="640" t="s">
        <v>136</v>
      </c>
      <c r="Q176" s="641"/>
      <c r="R176" s="642"/>
      <c r="S176" s="638" t="s">
        <v>115</v>
      </c>
      <c r="T176" s="638"/>
      <c r="U176" s="638"/>
      <c r="V176" s="638"/>
      <c r="W176" s="640" t="s">
        <v>64</v>
      </c>
      <c r="X176" s="641"/>
      <c r="Y176" s="641"/>
      <c r="Z176" s="641"/>
      <c r="AA176" s="641"/>
      <c r="AB176" s="642"/>
      <c r="AC176" s="638" t="s">
        <v>97</v>
      </c>
      <c r="AD176" s="638"/>
      <c r="AE176" s="638"/>
      <c r="AF176" s="638" t="s">
        <v>127</v>
      </c>
      <c r="AG176" s="638"/>
      <c r="AH176" s="638" t="s">
        <v>128</v>
      </c>
      <c r="AI176" s="638"/>
      <c r="AJ176" s="638" t="s">
        <v>28</v>
      </c>
      <c r="AK176" s="638" t="s">
        <v>121</v>
      </c>
      <c r="AL176" s="308"/>
      <c r="AM176" s="639" t="s">
        <v>122</v>
      </c>
      <c r="AN176" s="639"/>
      <c r="AO176" s="308"/>
      <c r="AP176" s="639" t="s">
        <v>119</v>
      </c>
      <c r="AQ176" s="639"/>
      <c r="AR176" s="308"/>
      <c r="AS176" s="639" t="s">
        <v>120</v>
      </c>
      <c r="AT176" s="639"/>
      <c r="AU176" s="308"/>
      <c r="AV176" s="639" t="s">
        <v>122</v>
      </c>
      <c r="AW176" s="639"/>
      <c r="AX176" s="308"/>
      <c r="AY176" s="639" t="s">
        <v>119</v>
      </c>
      <c r="AZ176" s="639"/>
      <c r="BA176" s="308"/>
      <c r="BB176" s="639" t="s">
        <v>120</v>
      </c>
      <c r="BC176" s="639"/>
    </row>
    <row r="177" spans="1:55" s="285" customFormat="1" ht="20.149999999999999" customHeight="1" thickBot="1">
      <c r="A177" s="645"/>
      <c r="B177" s="647"/>
      <c r="C177" s="649"/>
      <c r="D177" s="649"/>
      <c r="E177" s="649"/>
      <c r="F177" s="649"/>
      <c r="G177" s="654"/>
      <c r="H177" s="660"/>
      <c r="I177" s="662"/>
      <c r="J177" s="284"/>
      <c r="L177" s="649"/>
      <c r="M177" s="617"/>
      <c r="O177" s="281"/>
      <c r="P177" s="309" t="s">
        <v>122</v>
      </c>
      <c r="Q177" s="309" t="s">
        <v>119</v>
      </c>
      <c r="R177" s="309" t="s">
        <v>120</v>
      </c>
      <c r="S177" s="309" t="s">
        <v>122</v>
      </c>
      <c r="T177" s="309" t="s">
        <v>119</v>
      </c>
      <c r="U177" s="309" t="s">
        <v>120</v>
      </c>
      <c r="V177" s="309" t="s">
        <v>118</v>
      </c>
      <c r="W177" s="309" t="s">
        <v>63</v>
      </c>
      <c r="X177" s="309" t="s">
        <v>69</v>
      </c>
      <c r="Y177" s="309" t="s">
        <v>71</v>
      </c>
      <c r="Z177" s="309" t="s">
        <v>72</v>
      </c>
      <c r="AA177" s="309" t="s">
        <v>70</v>
      </c>
      <c r="AB177" s="309" t="s">
        <v>75</v>
      </c>
      <c r="AC177" s="309" t="s">
        <v>78</v>
      </c>
      <c r="AD177" s="309" t="s">
        <v>119</v>
      </c>
      <c r="AE177" s="309" t="s">
        <v>120</v>
      </c>
      <c r="AF177" s="309" t="s">
        <v>129</v>
      </c>
      <c r="AG177" s="309" t="s">
        <v>130</v>
      </c>
      <c r="AH177" s="309" t="s">
        <v>129</v>
      </c>
      <c r="AI177" s="309" t="s">
        <v>130</v>
      </c>
      <c r="AJ177" s="652"/>
      <c r="AK177" s="652"/>
      <c r="AL177" s="308"/>
      <c r="AM177" s="310" t="s">
        <v>67</v>
      </c>
      <c r="AN177" s="310" t="s">
        <v>68</v>
      </c>
      <c r="AO177" s="308"/>
      <c r="AP177" s="310" t="s">
        <v>67</v>
      </c>
      <c r="AQ177" s="310" t="s">
        <v>68</v>
      </c>
      <c r="AR177" s="308"/>
      <c r="AS177" s="310" t="s">
        <v>67</v>
      </c>
      <c r="AT177" s="310" t="s">
        <v>68</v>
      </c>
      <c r="AU177" s="308"/>
      <c r="AV177" s="310" t="s">
        <v>67</v>
      </c>
      <c r="AW177" s="310" t="s">
        <v>68</v>
      </c>
      <c r="AX177" s="308"/>
      <c r="AY177" s="310" t="s">
        <v>67</v>
      </c>
      <c r="AZ177" s="310" t="s">
        <v>68</v>
      </c>
      <c r="BA177" s="308"/>
      <c r="BB177" s="310" t="s">
        <v>67</v>
      </c>
      <c r="BC177" s="310" t="s">
        <v>68</v>
      </c>
    </row>
    <row r="178" spans="1:55" s="86" customFormat="1" ht="25" customHeight="1" thickTop="1">
      <c r="A178" s="670" t="str">
        <f>IF('TECH DATA ENTRY'!A195="","",'TECH DATA ENTRY'!A195)</f>
        <v>1.000 nF</v>
      </c>
      <c r="B178" s="410">
        <f>IF('TECH DATA ENTRY'!B195="","",'TECH DATA ENTRY'!B195)</f>
        <v>0</v>
      </c>
      <c r="C178" s="410">
        <f>IF(B178="","",IFERROR('TECH DATA ENTRY'!F195,"NA"))</f>
        <v>0</v>
      </c>
      <c r="D178" s="410" t="str">
        <f>IF('TECH DATA ENTRY'!L195="","",'TECH DATA ENTRY'!L195)</f>
        <v/>
      </c>
      <c r="E178" s="410" t="str">
        <f t="shared" si="65"/>
        <v/>
      </c>
      <c r="F178" s="410">
        <f>IF(B178="","",IFERROR('TECH DATA ENTRY'!G195,"NA"))</f>
        <v>2.5000000000000001E-2</v>
      </c>
      <c r="G178" s="541" t="str">
        <f t="shared" si="66"/>
        <v/>
      </c>
      <c r="H178" s="410" t="str">
        <f>IF(OR(ISTEXT(B178)=TRUE, D178="NA",D178=""),"NA", roundsf(MAX(L178,M178),C178))</f>
        <v>NA</v>
      </c>
      <c r="I178" s="325" t="str">
        <f t="shared" si="67"/>
        <v>NA</v>
      </c>
      <c r="J178" s="299"/>
      <c r="K178" s="245"/>
      <c r="L178" s="506"/>
      <c r="M178" s="244" t="str">
        <f>UNC_CALCULATION!AM167</f>
        <v>NA</v>
      </c>
      <c r="N178" s="85"/>
      <c r="O178" s="58"/>
      <c r="P178" s="69" t="e">
        <f>IF(B178="","",INDEX('AUX TABLES'!$G$4:$K$8,AV178,AW178))</f>
        <v>#VALUE!</v>
      </c>
      <c r="Q178" s="150" t="e">
        <f>IF(AJ$11=FALSE,IF(B178="","",IF(AJ178="NA",P178,INDEX('AUX TABLES'!$G$4:$K$8,AY178,AZ178))),IF(P178="FAIL",P178,INDEX('AUX TABLES'!$G$4:$K$8,AY178,AZ178)))</f>
        <v>#VALUE!</v>
      </c>
      <c r="R178" s="150" t="e">
        <f>IF(AJ$11=FALSE,IF(B178="","",IF(AJ178="NA",P178,INDEX('AUX TABLES'!$G$4:$K$8,BB178,BC178))),IF(P178="FAIL",P178,INDEX('AUX TABLES'!$G$4:$K$8,BB178,BC178)))</f>
        <v>#VALUE!</v>
      </c>
      <c r="S178" s="69" t="e">
        <f>INDEX('AUX TABLES'!$G$4:$K$8,AM178,AN178)</f>
        <v>#VALUE!</v>
      </c>
      <c r="T178" s="69" t="e">
        <f>IF(AJ$11=FALSE,IF(AJ178="NA",S178,INDEX('AUX TABLES'!$G$4:$K$8,AP178,AQ178)),IF(S178="FAIL",S178,INDEX('AUX TABLES'!$G$4:$K$8,AP178,AQ178)))</f>
        <v>#VALUE!</v>
      </c>
      <c r="U178" s="150" t="e">
        <f>IF(AJ$11=FALSE,IF(AJ178="NA",S178,INDEX('AUX TABLES'!$G$4:$K$8,AS178,AT178)),IF(S178="FAIL",S178,INDEX('AUX TABLES'!$G$4:$K$8,AS178,AT178)))</f>
        <v>#VALUE!</v>
      </c>
      <c r="V178" s="150" t="str">
        <f t="shared" si="68"/>
        <v/>
      </c>
      <c r="W178" s="74">
        <f t="shared" si="69"/>
        <v>2.5000000000000001E-2</v>
      </c>
      <c r="X178" s="74" t="str">
        <f t="shared" si="70"/>
        <v>NA</v>
      </c>
      <c r="Y178" s="74" t="str">
        <f t="shared" si="71"/>
        <v>NA</v>
      </c>
      <c r="Z178" s="74" t="str">
        <f t="shared" si="72"/>
        <v>NA</v>
      </c>
      <c r="AA178" s="74" t="str">
        <f t="shared" si="73"/>
        <v>NA</v>
      </c>
      <c r="AB178" s="74">
        <f t="shared" si="74"/>
        <v>0</v>
      </c>
      <c r="AC178" s="69" t="str">
        <f>IF(ISTEXT('TECH DATA ENTRY'!L195)=TRUE,"NA",'TECH DATA ENTRY'!H195)</f>
        <v>NA</v>
      </c>
      <c r="AD178" s="69" t="str">
        <f t="shared" si="75"/>
        <v>NA</v>
      </c>
      <c r="AE178" s="69" t="str">
        <f t="shared" si="76"/>
        <v>NA</v>
      </c>
      <c r="AF178" s="69" t="e">
        <f t="shared" si="77"/>
        <v>#VALUE!</v>
      </c>
      <c r="AG178" s="69" t="e">
        <f t="shared" si="78"/>
        <v>#VALUE!</v>
      </c>
      <c r="AH178" s="69" t="e">
        <f t="shared" si="79"/>
        <v>#VALUE!</v>
      </c>
      <c r="AI178" s="69" t="e">
        <f t="shared" si="80"/>
        <v>#VALUE!</v>
      </c>
      <c r="AJ178" s="70" t="str">
        <f>IF(OR(ISTEXT('TECH DATA ENTRY'!L195)=TRUE,ISTEXT('TECH DATA ENTRY'!F195)=TRUE,ISTEXT('TECH DATA ENTRY'!G195)=TRUE),"NA",(W178-AB178)/(2*MAX(M178,L178)))</f>
        <v>NA</v>
      </c>
      <c r="AK178" s="69" t="str">
        <f t="shared" si="81"/>
        <v>NA</v>
      </c>
      <c r="AM178" s="73" t="e">
        <f t="shared" si="82"/>
        <v>#VALUE!</v>
      </c>
      <c r="AN178" s="73" t="e">
        <f t="shared" si="83"/>
        <v>#VALUE!</v>
      </c>
      <c r="AO178" s="87"/>
      <c r="AP178" s="73" t="e">
        <f t="shared" si="84"/>
        <v>#VALUE!</v>
      </c>
      <c r="AQ178" s="73" t="e">
        <f t="shared" si="85"/>
        <v>#VALUE!</v>
      </c>
      <c r="AR178" s="87"/>
      <c r="AS178" s="73" t="e">
        <f t="shared" si="86"/>
        <v>#VALUE!</v>
      </c>
      <c r="AT178" s="73" t="e">
        <f t="shared" si="87"/>
        <v>#VALUE!</v>
      </c>
      <c r="AV178" s="73" t="e">
        <f t="shared" si="88"/>
        <v>#VALUE!</v>
      </c>
      <c r="AW178" s="73" t="e">
        <f t="shared" si="89"/>
        <v>#VALUE!</v>
      </c>
      <c r="AX178" s="87"/>
      <c r="AY178" s="73" t="e">
        <f t="shared" si="90"/>
        <v>#VALUE!</v>
      </c>
      <c r="AZ178" s="73" t="e">
        <f t="shared" si="91"/>
        <v>#VALUE!</v>
      </c>
      <c r="BA178" s="87"/>
      <c r="BB178" s="73" t="e">
        <f t="shared" si="92"/>
        <v>#VALUE!</v>
      </c>
      <c r="BC178" s="73" t="e">
        <f t="shared" si="93"/>
        <v>#VALUE!</v>
      </c>
    </row>
    <row r="179" spans="1:55" s="86" customFormat="1" ht="25" customHeight="1">
      <c r="A179" s="669" t="str">
        <f>IF('TECH DATA ENTRY'!A196="","",'TECH DATA ENTRY'!A196)</f>
        <v/>
      </c>
      <c r="B179" s="410">
        <f>IF('TECH DATA ENTRY'!B196="","",'TECH DATA ENTRY'!B196)</f>
        <v>1</v>
      </c>
      <c r="C179" s="410">
        <f>IF(B179="","",IFERROR('TECH DATA ENTRY'!F196,"NA"))</f>
        <v>0.95499999999999996</v>
      </c>
      <c r="D179" s="410" t="str">
        <f>IF('TECH DATA ENTRY'!L196="","",'TECH DATA ENTRY'!L196)</f>
        <v/>
      </c>
      <c r="E179" s="410" t="str">
        <f t="shared" si="65"/>
        <v/>
      </c>
      <c r="F179" s="410">
        <f>IF(B179="","",IFERROR('TECH DATA ENTRY'!G196,"NA"))</f>
        <v>1.0449999999999999</v>
      </c>
      <c r="G179" s="541" t="str">
        <f t="shared" si="66"/>
        <v/>
      </c>
      <c r="H179" s="410" t="str">
        <f>IF(OR(ISTEXT(B179)=TRUE, D179="NA",D179=""),"NA", roundsf(MAX(L179,M179),C179))</f>
        <v>NA</v>
      </c>
      <c r="I179" s="325" t="str">
        <f t="shared" si="67"/>
        <v>NA</v>
      </c>
      <c r="J179" s="299"/>
      <c r="K179" s="245"/>
      <c r="L179" s="506">
        <f>0.0066*B179</f>
        <v>6.6E-3</v>
      </c>
      <c r="M179" s="244" t="str">
        <f>UNC_CALCULATION!AM168</f>
        <v>NA</v>
      </c>
      <c r="N179" s="85"/>
      <c r="O179" s="58"/>
      <c r="P179" s="69" t="e">
        <f>IF(B179="","",INDEX('AUX TABLES'!$G$4:$K$8,AV179,AW179))</f>
        <v>#VALUE!</v>
      </c>
      <c r="Q179" s="150" t="e">
        <f>IF(AJ$11=FALSE,IF(B179="","",IF(AJ179="NA",P179,INDEX('AUX TABLES'!$G$4:$K$8,AY179,AZ179))),IF(P179="FAIL",P179,INDEX('AUX TABLES'!$G$4:$K$8,AY179,AZ179)))</f>
        <v>#VALUE!</v>
      </c>
      <c r="R179" s="150" t="e">
        <f>IF(AJ$11=FALSE,IF(B179="","",IF(AJ179="NA",P179,INDEX('AUX TABLES'!$G$4:$K$8,BB179,BC179))),IF(P179="FAIL",P179,INDEX('AUX TABLES'!$G$4:$K$8,BB179,BC179)))</f>
        <v>#VALUE!</v>
      </c>
      <c r="S179" s="69" t="e">
        <f>INDEX('AUX TABLES'!$G$4:$K$8,AM179,AN179)</f>
        <v>#VALUE!</v>
      </c>
      <c r="T179" s="69" t="e">
        <f>IF(AJ$11=FALSE,IF(AJ179="NA",S179,INDEX('AUX TABLES'!$G$4:$K$8,AP179,AQ179)),IF(S179="FAIL",S179,INDEX('AUX TABLES'!$G$4:$K$8,AP179,AQ179)))</f>
        <v>#VALUE!</v>
      </c>
      <c r="U179" s="150" t="e">
        <f>IF(AJ$11=FALSE,IF(AJ179="NA",S179,INDEX('AUX TABLES'!$G$4:$K$8,AS179,AT179)),IF(S179="FAIL",S179,INDEX('AUX TABLES'!$G$4:$K$8,AS179,AT179)))</f>
        <v>#VALUE!</v>
      </c>
      <c r="V179" s="150" t="str">
        <f t="shared" si="68"/>
        <v/>
      </c>
      <c r="W179" s="74">
        <f t="shared" si="69"/>
        <v>1.0449999999999999</v>
      </c>
      <c r="X179" s="74" t="str">
        <f t="shared" si="70"/>
        <v>NA</v>
      </c>
      <c r="Y179" s="74" t="str">
        <f t="shared" si="71"/>
        <v>NA</v>
      </c>
      <c r="Z179" s="74" t="str">
        <f t="shared" si="72"/>
        <v>NA</v>
      </c>
      <c r="AA179" s="74" t="str">
        <f t="shared" si="73"/>
        <v>NA</v>
      </c>
      <c r="AB179" s="74">
        <f t="shared" si="74"/>
        <v>0.95499999999999996</v>
      </c>
      <c r="AC179" s="69" t="str">
        <f>IF(ISTEXT('TECH DATA ENTRY'!L196)=TRUE,"NA",'TECH DATA ENTRY'!H196)</f>
        <v>NA</v>
      </c>
      <c r="AD179" s="69" t="str">
        <f t="shared" si="75"/>
        <v>NA</v>
      </c>
      <c r="AE179" s="69" t="str">
        <f t="shared" si="76"/>
        <v>NA</v>
      </c>
      <c r="AF179" s="69" t="e">
        <f t="shared" si="77"/>
        <v>#VALUE!</v>
      </c>
      <c r="AG179" s="69" t="e">
        <f t="shared" si="78"/>
        <v>#VALUE!</v>
      </c>
      <c r="AH179" s="69" t="e">
        <f t="shared" si="79"/>
        <v>#VALUE!</v>
      </c>
      <c r="AI179" s="69" t="e">
        <f t="shared" si="80"/>
        <v>#VALUE!</v>
      </c>
      <c r="AJ179" s="70" t="str">
        <f>IF(OR(ISTEXT('TECH DATA ENTRY'!L196)=TRUE,ISTEXT('TECH DATA ENTRY'!F196)=TRUE,ISTEXT('TECH DATA ENTRY'!G196)=TRUE),"NA",(W179-AB179)/(2*MAX(M179,L179)))</f>
        <v>NA</v>
      </c>
      <c r="AK179" s="69" t="str">
        <f t="shared" si="81"/>
        <v>NA</v>
      </c>
      <c r="AM179" s="73" t="e">
        <f t="shared" si="82"/>
        <v>#VALUE!</v>
      </c>
      <c r="AN179" s="73" t="e">
        <f t="shared" si="83"/>
        <v>#VALUE!</v>
      </c>
      <c r="AO179" s="87"/>
      <c r="AP179" s="73" t="e">
        <f t="shared" si="84"/>
        <v>#VALUE!</v>
      </c>
      <c r="AQ179" s="73" t="e">
        <f t="shared" si="85"/>
        <v>#VALUE!</v>
      </c>
      <c r="AR179" s="87"/>
      <c r="AS179" s="73" t="e">
        <f t="shared" si="86"/>
        <v>#VALUE!</v>
      </c>
      <c r="AT179" s="73" t="e">
        <f t="shared" si="87"/>
        <v>#VALUE!</v>
      </c>
      <c r="AV179" s="73" t="e">
        <f t="shared" si="88"/>
        <v>#VALUE!</v>
      </c>
      <c r="AW179" s="73" t="e">
        <f t="shared" si="89"/>
        <v>#VALUE!</v>
      </c>
      <c r="AX179" s="87"/>
      <c r="AY179" s="73" t="e">
        <f t="shared" si="90"/>
        <v>#VALUE!</v>
      </c>
      <c r="AZ179" s="73" t="e">
        <f t="shared" si="91"/>
        <v>#VALUE!</v>
      </c>
      <c r="BA179" s="87"/>
      <c r="BB179" s="73" t="e">
        <f t="shared" si="92"/>
        <v>#VALUE!</v>
      </c>
      <c r="BC179" s="73" t="e">
        <f t="shared" si="93"/>
        <v>#VALUE!</v>
      </c>
    </row>
    <row r="180" spans="1:55" s="86" customFormat="1" ht="25" customHeight="1">
      <c r="A180" s="466" t="str">
        <f>IF('TECH DATA ENTRY'!A197="","",'TECH DATA ENTRY'!A197)</f>
        <v>10.00 nF</v>
      </c>
      <c r="B180" s="414">
        <f>IF('TECH DATA ENTRY'!B197="","",'TECH DATA ENTRY'!B197)</f>
        <v>10</v>
      </c>
      <c r="C180" s="414">
        <f>IF(B180="","",IFERROR('TECH DATA ENTRY'!F197,"NA"))</f>
        <v>9.85</v>
      </c>
      <c r="D180" s="414" t="str">
        <f>IF('TECH DATA ENTRY'!L197="","",'TECH DATA ENTRY'!L197)</f>
        <v/>
      </c>
      <c r="E180" s="414" t="str">
        <f t="shared" si="65"/>
        <v/>
      </c>
      <c r="F180" s="414">
        <f>IF(B180="","",IFERROR('TECH DATA ENTRY'!G197,"NA"))</f>
        <v>10.15</v>
      </c>
      <c r="G180" s="542" t="str">
        <f t="shared" si="66"/>
        <v/>
      </c>
      <c r="H180" s="414" t="str">
        <f>IF(OR(ISTEXT(B180)=TRUE, D180="NA",D180=""),"NA", roundsf(MAX(L180,M180),C180))</f>
        <v>NA</v>
      </c>
      <c r="I180" s="325" t="str">
        <f t="shared" si="67"/>
        <v>NA</v>
      </c>
      <c r="J180" s="299"/>
      <c r="K180" s="245"/>
      <c r="L180" s="506">
        <f>0.0024*B180</f>
        <v>2.3999999999999997E-2</v>
      </c>
      <c r="M180" s="244" t="str">
        <f>UNC_CALCULATION!AM169</f>
        <v>NA</v>
      </c>
      <c r="N180" s="85"/>
      <c r="O180" s="58"/>
      <c r="P180" s="69" t="e">
        <f>IF(B180="","",INDEX('AUX TABLES'!$G$4:$K$8,AV180,AW180))</f>
        <v>#VALUE!</v>
      </c>
      <c r="Q180" s="150" t="e">
        <f>IF(AJ$11=FALSE,IF(B180="","",IF(AJ180="NA",P180,INDEX('AUX TABLES'!$G$4:$K$8,AY180,AZ180))),IF(P180="FAIL",P180,INDEX('AUX TABLES'!$G$4:$K$8,AY180,AZ180)))</f>
        <v>#VALUE!</v>
      </c>
      <c r="R180" s="150" t="e">
        <f>IF(AJ$11=FALSE,IF(B180="","",IF(AJ180="NA",P180,INDEX('AUX TABLES'!$G$4:$K$8,BB180,BC180))),IF(P180="FAIL",P180,INDEX('AUX TABLES'!$G$4:$K$8,BB180,BC180)))</f>
        <v>#VALUE!</v>
      </c>
      <c r="S180" s="69" t="e">
        <f>INDEX('AUX TABLES'!$G$4:$K$8,AM180,AN180)</f>
        <v>#VALUE!</v>
      </c>
      <c r="T180" s="69" t="e">
        <f>IF(AJ$11=FALSE,IF(AJ180="NA",S180,INDEX('AUX TABLES'!$G$4:$K$8,AP180,AQ180)),IF(S180="FAIL",S180,INDEX('AUX TABLES'!$G$4:$K$8,AP180,AQ180)))</f>
        <v>#VALUE!</v>
      </c>
      <c r="U180" s="150" t="e">
        <f>IF(AJ$11=FALSE,IF(AJ180="NA",S180,INDEX('AUX TABLES'!$G$4:$K$8,AS180,AT180)),IF(S180="FAIL",S180,INDEX('AUX TABLES'!$G$4:$K$8,AS180,AT180)))</f>
        <v>#VALUE!</v>
      </c>
      <c r="V180" s="150" t="str">
        <f t="shared" si="68"/>
        <v/>
      </c>
      <c r="W180" s="74">
        <f t="shared" si="69"/>
        <v>10.15</v>
      </c>
      <c r="X180" s="74" t="str">
        <f t="shared" si="70"/>
        <v>NA</v>
      </c>
      <c r="Y180" s="74" t="str">
        <f t="shared" si="71"/>
        <v>NA</v>
      </c>
      <c r="Z180" s="74" t="str">
        <f t="shared" si="72"/>
        <v>NA</v>
      </c>
      <c r="AA180" s="74" t="str">
        <f t="shared" si="73"/>
        <v>NA</v>
      </c>
      <c r="AB180" s="74">
        <f t="shared" si="74"/>
        <v>9.85</v>
      </c>
      <c r="AC180" s="69" t="str">
        <f>IF(ISTEXT('TECH DATA ENTRY'!L197)=TRUE,"NA",'TECH DATA ENTRY'!H197)</f>
        <v>NA</v>
      </c>
      <c r="AD180" s="69" t="str">
        <f t="shared" si="75"/>
        <v>NA</v>
      </c>
      <c r="AE180" s="69" t="str">
        <f t="shared" si="76"/>
        <v>NA</v>
      </c>
      <c r="AF180" s="69" t="e">
        <f t="shared" si="77"/>
        <v>#VALUE!</v>
      </c>
      <c r="AG180" s="69" t="e">
        <f t="shared" si="78"/>
        <v>#VALUE!</v>
      </c>
      <c r="AH180" s="69" t="e">
        <f t="shared" si="79"/>
        <v>#VALUE!</v>
      </c>
      <c r="AI180" s="69" t="e">
        <f t="shared" si="80"/>
        <v>#VALUE!</v>
      </c>
      <c r="AJ180" s="70" t="str">
        <f>IF(OR(ISTEXT('TECH DATA ENTRY'!L197)=TRUE,ISTEXT('TECH DATA ENTRY'!F197)=TRUE,ISTEXT('TECH DATA ENTRY'!G197)=TRUE),"NA",(W180-AB180)/(2*MAX(M180,L180)))</f>
        <v>NA</v>
      </c>
      <c r="AK180" s="69" t="str">
        <f t="shared" si="81"/>
        <v>NA</v>
      </c>
      <c r="AM180" s="73" t="e">
        <f t="shared" si="82"/>
        <v>#VALUE!</v>
      </c>
      <c r="AN180" s="73" t="e">
        <f t="shared" si="83"/>
        <v>#VALUE!</v>
      </c>
      <c r="AO180" s="87"/>
      <c r="AP180" s="73" t="e">
        <f t="shared" si="84"/>
        <v>#VALUE!</v>
      </c>
      <c r="AQ180" s="73" t="e">
        <f t="shared" si="85"/>
        <v>#VALUE!</v>
      </c>
      <c r="AR180" s="87"/>
      <c r="AS180" s="73" t="e">
        <f t="shared" si="86"/>
        <v>#VALUE!</v>
      </c>
      <c r="AT180" s="73" t="e">
        <f t="shared" si="87"/>
        <v>#VALUE!</v>
      </c>
      <c r="AV180" s="73" t="e">
        <f t="shared" si="88"/>
        <v>#VALUE!</v>
      </c>
      <c r="AW180" s="73" t="e">
        <f t="shared" si="89"/>
        <v>#VALUE!</v>
      </c>
      <c r="AX180" s="87"/>
      <c r="AY180" s="73" t="e">
        <f t="shared" si="90"/>
        <v>#VALUE!</v>
      </c>
      <c r="AZ180" s="73" t="e">
        <f t="shared" si="91"/>
        <v>#VALUE!</v>
      </c>
      <c r="BA180" s="87"/>
      <c r="BB180" s="73" t="e">
        <f t="shared" si="92"/>
        <v>#VALUE!</v>
      </c>
      <c r="BC180" s="73" t="e">
        <f t="shared" si="93"/>
        <v>#VALUE!</v>
      </c>
    </row>
    <row r="181" spans="1:55" s="86" customFormat="1" ht="25" customHeight="1">
      <c r="A181" s="466" t="str">
        <f>IF('TECH DATA ENTRY'!A198="","",'TECH DATA ENTRY'!A198)</f>
        <v>100.0 nF</v>
      </c>
      <c r="B181" s="417">
        <f>IF('TECH DATA ENTRY'!B198="","",'TECH DATA ENTRY'!B198)</f>
        <v>100</v>
      </c>
      <c r="C181" s="417">
        <f>IF(B181="","",IFERROR('TECH DATA ENTRY'!F198,"NA"))</f>
        <v>98.5</v>
      </c>
      <c r="D181" s="417" t="str">
        <f>IF('TECH DATA ENTRY'!L198="","",'TECH DATA ENTRY'!L198)</f>
        <v/>
      </c>
      <c r="E181" s="417" t="str">
        <f t="shared" si="65"/>
        <v/>
      </c>
      <c r="F181" s="417">
        <f>IF(B181="","",IFERROR('TECH DATA ENTRY'!G198,"NA"))</f>
        <v>101.5</v>
      </c>
      <c r="G181" s="543" t="str">
        <f t="shared" si="66"/>
        <v/>
      </c>
      <c r="H181" s="417" t="str">
        <f>IF(OR(ISTEXT(B181)=TRUE, D181="NA",D181=""),"NA", roundsf(MAX(L181,M181),C181))</f>
        <v>NA</v>
      </c>
      <c r="I181" s="325" t="str">
        <f t="shared" si="67"/>
        <v>NA</v>
      </c>
      <c r="J181" s="299"/>
      <c r="K181" s="245"/>
      <c r="L181" s="506">
        <f>0.0018*B181</f>
        <v>0.18</v>
      </c>
      <c r="M181" s="244" t="str">
        <f>UNC_CALCULATION!AM170</f>
        <v>NA</v>
      </c>
      <c r="N181" s="85"/>
      <c r="O181" s="58"/>
      <c r="P181" s="69" t="e">
        <f>IF(B181="","",INDEX('AUX TABLES'!$G$4:$K$8,AV181,AW181))</f>
        <v>#VALUE!</v>
      </c>
      <c r="Q181" s="150" t="e">
        <f>IF(AJ$11=FALSE,IF(B181="","",IF(AJ181="NA",P181,INDEX('AUX TABLES'!$G$4:$K$8,AY181,AZ181))),IF(P181="FAIL",P181,INDEX('AUX TABLES'!$G$4:$K$8,AY181,AZ181)))</f>
        <v>#VALUE!</v>
      </c>
      <c r="R181" s="150" t="e">
        <f>IF(AJ$11=FALSE,IF(B181="","",IF(AJ181="NA",P181,INDEX('AUX TABLES'!$G$4:$K$8,BB181,BC181))),IF(P181="FAIL",P181,INDEX('AUX TABLES'!$G$4:$K$8,BB181,BC181)))</f>
        <v>#VALUE!</v>
      </c>
      <c r="S181" s="69" t="e">
        <f>INDEX('AUX TABLES'!$G$4:$K$8,AM181,AN181)</f>
        <v>#VALUE!</v>
      </c>
      <c r="T181" s="69" t="e">
        <f>IF(AJ$11=FALSE,IF(AJ181="NA",S181,INDEX('AUX TABLES'!$G$4:$K$8,AP181,AQ181)),IF(S181="FAIL",S181,INDEX('AUX TABLES'!$G$4:$K$8,AP181,AQ181)))</f>
        <v>#VALUE!</v>
      </c>
      <c r="U181" s="150" t="e">
        <f>IF(AJ$11=FALSE,IF(AJ181="NA",S181,INDEX('AUX TABLES'!$G$4:$K$8,AS181,AT181)),IF(S181="FAIL",S181,INDEX('AUX TABLES'!$G$4:$K$8,AS181,AT181)))</f>
        <v>#VALUE!</v>
      </c>
      <c r="V181" s="150" t="str">
        <f t="shared" si="68"/>
        <v/>
      </c>
      <c r="W181" s="74">
        <f t="shared" si="69"/>
        <v>101.5</v>
      </c>
      <c r="X181" s="74" t="str">
        <f t="shared" si="70"/>
        <v>NA</v>
      </c>
      <c r="Y181" s="74" t="str">
        <f t="shared" si="71"/>
        <v>NA</v>
      </c>
      <c r="Z181" s="74" t="str">
        <f t="shared" si="72"/>
        <v>NA</v>
      </c>
      <c r="AA181" s="74" t="str">
        <f t="shared" si="73"/>
        <v>NA</v>
      </c>
      <c r="AB181" s="74">
        <f t="shared" si="74"/>
        <v>98.5</v>
      </c>
      <c r="AC181" s="69" t="str">
        <f>IF(ISTEXT('TECH DATA ENTRY'!L198)=TRUE,"NA",'TECH DATA ENTRY'!H198)</f>
        <v>NA</v>
      </c>
      <c r="AD181" s="69" t="str">
        <f t="shared" si="75"/>
        <v>NA</v>
      </c>
      <c r="AE181" s="69" t="str">
        <f t="shared" si="76"/>
        <v>NA</v>
      </c>
      <c r="AF181" s="69" t="e">
        <f t="shared" si="77"/>
        <v>#VALUE!</v>
      </c>
      <c r="AG181" s="69" t="e">
        <f t="shared" si="78"/>
        <v>#VALUE!</v>
      </c>
      <c r="AH181" s="69" t="e">
        <f t="shared" si="79"/>
        <v>#VALUE!</v>
      </c>
      <c r="AI181" s="69" t="e">
        <f t="shared" si="80"/>
        <v>#VALUE!</v>
      </c>
      <c r="AJ181" s="70" t="str">
        <f>IF(OR(ISTEXT('TECH DATA ENTRY'!L198)=TRUE,ISTEXT('TECH DATA ENTRY'!F198)=TRUE,ISTEXT('TECH DATA ENTRY'!G198)=TRUE),"NA",(W181-AB181)/(2*MAX(M181,L181)))</f>
        <v>NA</v>
      </c>
      <c r="AK181" s="69" t="str">
        <f t="shared" si="81"/>
        <v>NA</v>
      </c>
      <c r="AM181" s="73" t="e">
        <f t="shared" si="82"/>
        <v>#VALUE!</v>
      </c>
      <c r="AN181" s="73" t="e">
        <f t="shared" si="83"/>
        <v>#VALUE!</v>
      </c>
      <c r="AO181" s="87"/>
      <c r="AP181" s="73" t="e">
        <f t="shared" si="84"/>
        <v>#VALUE!</v>
      </c>
      <c r="AQ181" s="73" t="e">
        <f t="shared" si="85"/>
        <v>#VALUE!</v>
      </c>
      <c r="AR181" s="87"/>
      <c r="AS181" s="73" t="e">
        <f t="shared" si="86"/>
        <v>#VALUE!</v>
      </c>
      <c r="AT181" s="73" t="e">
        <f t="shared" si="87"/>
        <v>#VALUE!</v>
      </c>
      <c r="AV181" s="73" t="e">
        <f t="shared" si="88"/>
        <v>#VALUE!</v>
      </c>
      <c r="AW181" s="73" t="e">
        <f t="shared" si="89"/>
        <v>#VALUE!</v>
      </c>
      <c r="AX181" s="87"/>
      <c r="AY181" s="73" t="e">
        <f t="shared" si="90"/>
        <v>#VALUE!</v>
      </c>
      <c r="AZ181" s="73" t="e">
        <f t="shared" si="91"/>
        <v>#VALUE!</v>
      </c>
      <c r="BA181" s="87"/>
      <c r="BB181" s="73" t="e">
        <f t="shared" si="92"/>
        <v>#VALUE!</v>
      </c>
      <c r="BC181" s="73" t="e">
        <f t="shared" si="93"/>
        <v>#VALUE!</v>
      </c>
    </row>
    <row r="182" spans="1:55" s="86" customFormat="1" ht="25" customHeight="1">
      <c r="A182" s="484" t="str">
        <f>IF('TECH DATA ENTRY'!A199="","",'TECH DATA ENTRY'!A199)</f>
        <v>1.000 µF</v>
      </c>
      <c r="B182" s="421">
        <f>IF('TECH DATA ENTRY'!B199="","",'TECH DATA ENTRY'!B199)</f>
        <v>1</v>
      </c>
      <c r="C182" s="421">
        <f>IF(B182="","",IFERROR('TECH DATA ENTRY'!F199,"NA"))</f>
        <v>0.98499999999999999</v>
      </c>
      <c r="D182" s="421" t="str">
        <f>IF('TECH DATA ENTRY'!L199="","",'TECH DATA ENTRY'!L199)</f>
        <v/>
      </c>
      <c r="E182" s="421" t="str">
        <f t="shared" si="65"/>
        <v/>
      </c>
      <c r="F182" s="421">
        <f>IF(B182="","",IFERROR('TECH DATA ENTRY'!G199,"NA"))</f>
        <v>1.0149999999999999</v>
      </c>
      <c r="G182" s="544" t="str">
        <f t="shared" si="66"/>
        <v/>
      </c>
      <c r="H182" s="421" t="str">
        <f>IF(OR(ISTEXT(B182)=TRUE, D182="NA",D182=""),"NA", roundsf(MAX(L182,M182),C182))</f>
        <v>NA</v>
      </c>
      <c r="I182" s="325" t="str">
        <f t="shared" si="67"/>
        <v>NA</v>
      </c>
      <c r="J182" s="299"/>
      <c r="K182" s="245"/>
      <c r="L182" s="506">
        <f>0.0016*B182</f>
        <v>1.6000000000000001E-3</v>
      </c>
      <c r="M182" s="244" t="str">
        <f>UNC_CALCULATION!AM171</f>
        <v>NA</v>
      </c>
      <c r="N182" s="85"/>
      <c r="O182" s="58"/>
      <c r="P182" s="69" t="e">
        <f>IF(B182="","",INDEX('AUX TABLES'!$G$4:$K$8,AV182,AW182))</f>
        <v>#VALUE!</v>
      </c>
      <c r="Q182" s="150" t="e">
        <f>IF(AJ$11=FALSE,IF(B182="","",IF(AJ182="NA",P182,INDEX('AUX TABLES'!$G$4:$K$8,AY182,AZ182))),IF(P182="FAIL",P182,INDEX('AUX TABLES'!$G$4:$K$8,AY182,AZ182)))</f>
        <v>#VALUE!</v>
      </c>
      <c r="R182" s="150" t="e">
        <f>IF(AJ$11=FALSE,IF(B182="","",IF(AJ182="NA",P182,INDEX('AUX TABLES'!$G$4:$K$8,BB182,BC182))),IF(P182="FAIL",P182,INDEX('AUX TABLES'!$G$4:$K$8,BB182,BC182)))</f>
        <v>#VALUE!</v>
      </c>
      <c r="S182" s="69" t="e">
        <f>INDEX('AUX TABLES'!$G$4:$K$8,AM182,AN182)</f>
        <v>#VALUE!</v>
      </c>
      <c r="T182" s="69" t="e">
        <f>IF(AJ$11=FALSE,IF(AJ182="NA",S182,INDEX('AUX TABLES'!$G$4:$K$8,AP182,AQ182)),IF(S182="FAIL",S182,INDEX('AUX TABLES'!$G$4:$K$8,AP182,AQ182)))</f>
        <v>#VALUE!</v>
      </c>
      <c r="U182" s="150" t="e">
        <f>IF(AJ$11=FALSE,IF(AJ182="NA",S182,INDEX('AUX TABLES'!$G$4:$K$8,AS182,AT182)),IF(S182="FAIL",S182,INDEX('AUX TABLES'!$G$4:$K$8,AS182,AT182)))</f>
        <v>#VALUE!</v>
      </c>
      <c r="V182" s="150" t="str">
        <f t="shared" si="68"/>
        <v/>
      </c>
      <c r="W182" s="74">
        <f t="shared" si="69"/>
        <v>1.0149999999999999</v>
      </c>
      <c r="X182" s="74" t="str">
        <f t="shared" si="70"/>
        <v>NA</v>
      </c>
      <c r="Y182" s="74" t="str">
        <f t="shared" si="71"/>
        <v>NA</v>
      </c>
      <c r="Z182" s="74" t="str">
        <f t="shared" si="72"/>
        <v>NA</v>
      </c>
      <c r="AA182" s="74" t="str">
        <f t="shared" si="73"/>
        <v>NA</v>
      </c>
      <c r="AB182" s="74">
        <f t="shared" si="74"/>
        <v>0.98499999999999999</v>
      </c>
      <c r="AC182" s="69" t="str">
        <f>IF(ISTEXT('TECH DATA ENTRY'!L199)=TRUE,"NA",'TECH DATA ENTRY'!H199)</f>
        <v>NA</v>
      </c>
      <c r="AD182" s="69" t="str">
        <f t="shared" si="75"/>
        <v>NA</v>
      </c>
      <c r="AE182" s="69" t="str">
        <f t="shared" si="76"/>
        <v>NA</v>
      </c>
      <c r="AF182" s="69" t="e">
        <f t="shared" si="77"/>
        <v>#VALUE!</v>
      </c>
      <c r="AG182" s="69" t="e">
        <f t="shared" si="78"/>
        <v>#VALUE!</v>
      </c>
      <c r="AH182" s="69" t="e">
        <f t="shared" si="79"/>
        <v>#VALUE!</v>
      </c>
      <c r="AI182" s="69" t="e">
        <f t="shared" si="80"/>
        <v>#VALUE!</v>
      </c>
      <c r="AJ182" s="70" t="str">
        <f>IF(OR(ISTEXT('TECH DATA ENTRY'!L199)=TRUE,ISTEXT('TECH DATA ENTRY'!F199)=TRUE,ISTEXT('TECH DATA ENTRY'!G199)=TRUE),"NA",(W182-AB182)/(2*MAX(M182,L182)))</f>
        <v>NA</v>
      </c>
      <c r="AK182" s="69" t="str">
        <f t="shared" si="81"/>
        <v>NA</v>
      </c>
      <c r="AM182" s="73" t="e">
        <f t="shared" si="82"/>
        <v>#VALUE!</v>
      </c>
      <c r="AN182" s="73" t="e">
        <f t="shared" si="83"/>
        <v>#VALUE!</v>
      </c>
      <c r="AO182" s="87"/>
      <c r="AP182" s="73" t="e">
        <f t="shared" si="84"/>
        <v>#VALUE!</v>
      </c>
      <c r="AQ182" s="73" t="e">
        <f t="shared" si="85"/>
        <v>#VALUE!</v>
      </c>
      <c r="AR182" s="87"/>
      <c r="AS182" s="73" t="e">
        <f t="shared" si="86"/>
        <v>#VALUE!</v>
      </c>
      <c r="AT182" s="73" t="e">
        <f t="shared" si="87"/>
        <v>#VALUE!</v>
      </c>
      <c r="AV182" s="73" t="e">
        <f t="shared" si="88"/>
        <v>#VALUE!</v>
      </c>
      <c r="AW182" s="73" t="e">
        <f t="shared" si="89"/>
        <v>#VALUE!</v>
      </c>
      <c r="AX182" s="87"/>
      <c r="AY182" s="73" t="e">
        <f t="shared" si="90"/>
        <v>#VALUE!</v>
      </c>
      <c r="AZ182" s="73" t="e">
        <f t="shared" si="91"/>
        <v>#VALUE!</v>
      </c>
      <c r="BA182" s="87"/>
      <c r="BB182" s="73" t="e">
        <f t="shared" si="92"/>
        <v>#VALUE!</v>
      </c>
      <c r="BC182" s="73" t="e">
        <f t="shared" si="93"/>
        <v>#VALUE!</v>
      </c>
    </row>
    <row r="183" spans="1:55" s="86" customFormat="1" ht="25" customHeight="1">
      <c r="A183" s="484" t="str">
        <f>IF('TECH DATA ENTRY'!A200="","",'TECH DATA ENTRY'!A200)</f>
        <v>10.00 µF</v>
      </c>
      <c r="B183" s="424">
        <f>IF('TECH DATA ENTRY'!B200="","",'TECH DATA ENTRY'!B200)</f>
        <v>10</v>
      </c>
      <c r="C183" s="424">
        <f>IF(B183="","",IFERROR('TECH DATA ENTRY'!F200,"NA"))</f>
        <v>9.85</v>
      </c>
      <c r="D183" s="424" t="str">
        <f>IF('TECH DATA ENTRY'!L200="","",'TECH DATA ENTRY'!L200)</f>
        <v/>
      </c>
      <c r="E183" s="424" t="str">
        <f t="shared" si="65"/>
        <v/>
      </c>
      <c r="F183" s="424">
        <f>IF(B183="","",IFERROR('TECH DATA ENTRY'!G200,"NA"))</f>
        <v>10.15</v>
      </c>
      <c r="G183" s="545" t="str">
        <f t="shared" si="66"/>
        <v/>
      </c>
      <c r="H183" s="424" t="str">
        <f>IF(OR(ISTEXT(B183)=TRUE, D183="NA",D183=""),"NA", roundsf(MAX(L183,M183),C183))</f>
        <v>NA</v>
      </c>
      <c r="I183" s="325" t="str">
        <f t="shared" si="67"/>
        <v>NA</v>
      </c>
      <c r="J183" s="299"/>
      <c r="K183" s="245"/>
      <c r="L183" s="506">
        <f>0.0023*B183</f>
        <v>2.3E-2</v>
      </c>
      <c r="M183" s="244" t="str">
        <f>UNC_CALCULATION!AM172</f>
        <v>NA</v>
      </c>
      <c r="N183" s="85"/>
      <c r="O183" s="58"/>
      <c r="P183" s="69" t="e">
        <f>IF(B183="","",INDEX('AUX TABLES'!$G$4:$K$8,AV183,AW183))</f>
        <v>#VALUE!</v>
      </c>
      <c r="Q183" s="150" t="e">
        <f>IF(AJ$11=FALSE,IF(B183="","",IF(AJ183="NA",P183,INDEX('AUX TABLES'!$G$4:$K$8,AY183,AZ183))),IF(P183="FAIL",P183,INDEX('AUX TABLES'!$G$4:$K$8,AY183,AZ183)))</f>
        <v>#VALUE!</v>
      </c>
      <c r="R183" s="150" t="e">
        <f>IF(AJ$11=FALSE,IF(B183="","",IF(AJ183="NA",P183,INDEX('AUX TABLES'!$G$4:$K$8,BB183,BC183))),IF(P183="FAIL",P183,INDEX('AUX TABLES'!$G$4:$K$8,BB183,BC183)))</f>
        <v>#VALUE!</v>
      </c>
      <c r="S183" s="69" t="e">
        <f>INDEX('AUX TABLES'!$G$4:$K$8,AM183,AN183)</f>
        <v>#VALUE!</v>
      </c>
      <c r="T183" s="69" t="e">
        <f>IF(AJ$11=FALSE,IF(AJ183="NA",S183,INDEX('AUX TABLES'!$G$4:$K$8,AP183,AQ183)),IF(S183="FAIL",S183,INDEX('AUX TABLES'!$G$4:$K$8,AP183,AQ183)))</f>
        <v>#VALUE!</v>
      </c>
      <c r="U183" s="150" t="e">
        <f>IF(AJ$11=FALSE,IF(AJ183="NA",S183,INDEX('AUX TABLES'!$G$4:$K$8,AS183,AT183)),IF(S183="FAIL",S183,INDEX('AUX TABLES'!$G$4:$K$8,AS183,AT183)))</f>
        <v>#VALUE!</v>
      </c>
      <c r="V183" s="150" t="str">
        <f t="shared" si="68"/>
        <v/>
      </c>
      <c r="W183" s="74">
        <f t="shared" si="69"/>
        <v>10.15</v>
      </c>
      <c r="X183" s="74" t="str">
        <f t="shared" si="70"/>
        <v>NA</v>
      </c>
      <c r="Y183" s="74" t="str">
        <f t="shared" si="71"/>
        <v>NA</v>
      </c>
      <c r="Z183" s="74" t="str">
        <f t="shared" si="72"/>
        <v>NA</v>
      </c>
      <c r="AA183" s="74" t="str">
        <f t="shared" si="73"/>
        <v>NA</v>
      </c>
      <c r="AB183" s="74">
        <f t="shared" si="74"/>
        <v>9.85</v>
      </c>
      <c r="AC183" s="69" t="str">
        <f>IF(ISTEXT('TECH DATA ENTRY'!L200)=TRUE,"NA",'TECH DATA ENTRY'!H200)</f>
        <v>NA</v>
      </c>
      <c r="AD183" s="69" t="str">
        <f t="shared" si="75"/>
        <v>NA</v>
      </c>
      <c r="AE183" s="69" t="str">
        <f t="shared" si="76"/>
        <v>NA</v>
      </c>
      <c r="AF183" s="69" t="e">
        <f t="shared" si="77"/>
        <v>#VALUE!</v>
      </c>
      <c r="AG183" s="69" t="e">
        <f t="shared" si="78"/>
        <v>#VALUE!</v>
      </c>
      <c r="AH183" s="69" t="e">
        <f t="shared" si="79"/>
        <v>#VALUE!</v>
      </c>
      <c r="AI183" s="69" t="e">
        <f t="shared" si="80"/>
        <v>#VALUE!</v>
      </c>
      <c r="AJ183" s="70" t="str">
        <f>IF(OR(ISTEXT('TECH DATA ENTRY'!L200)=TRUE,ISTEXT('TECH DATA ENTRY'!F200)=TRUE,ISTEXT('TECH DATA ENTRY'!G200)=TRUE),"NA",(W183-AB183)/(2*MAX(M183,L183)))</f>
        <v>NA</v>
      </c>
      <c r="AK183" s="69" t="str">
        <f t="shared" si="81"/>
        <v>NA</v>
      </c>
      <c r="AM183" s="73" t="e">
        <f t="shared" si="82"/>
        <v>#VALUE!</v>
      </c>
      <c r="AN183" s="73" t="e">
        <f t="shared" si="83"/>
        <v>#VALUE!</v>
      </c>
      <c r="AO183" s="87"/>
      <c r="AP183" s="73" t="e">
        <f t="shared" si="84"/>
        <v>#VALUE!</v>
      </c>
      <c r="AQ183" s="73" t="e">
        <f t="shared" si="85"/>
        <v>#VALUE!</v>
      </c>
      <c r="AR183" s="87"/>
      <c r="AS183" s="73" t="e">
        <f t="shared" si="86"/>
        <v>#VALUE!</v>
      </c>
      <c r="AT183" s="73" t="e">
        <f t="shared" si="87"/>
        <v>#VALUE!</v>
      </c>
      <c r="AV183" s="73" t="e">
        <f t="shared" si="88"/>
        <v>#VALUE!</v>
      </c>
      <c r="AW183" s="73" t="e">
        <f t="shared" si="89"/>
        <v>#VALUE!</v>
      </c>
      <c r="AX183" s="87"/>
      <c r="AY183" s="73" t="e">
        <f t="shared" si="90"/>
        <v>#VALUE!</v>
      </c>
      <c r="AZ183" s="73" t="e">
        <f t="shared" si="91"/>
        <v>#VALUE!</v>
      </c>
      <c r="BA183" s="87"/>
      <c r="BB183" s="73" t="e">
        <f t="shared" si="92"/>
        <v>#VALUE!</v>
      </c>
      <c r="BC183" s="73" t="e">
        <f t="shared" si="93"/>
        <v>#VALUE!</v>
      </c>
    </row>
    <row r="184" spans="1:55" s="86" customFormat="1" ht="25" customHeight="1">
      <c r="A184" s="484" t="str">
        <f>IF('TECH DATA ENTRY'!A201="","",'TECH DATA ENTRY'!A201)</f>
        <v>100.0 µF</v>
      </c>
      <c r="B184" s="427">
        <f>IF('TECH DATA ENTRY'!B201="","",'TECH DATA ENTRY'!B201)</f>
        <v>100</v>
      </c>
      <c r="C184" s="427">
        <f>IF(B184="","",IFERROR('TECH DATA ENTRY'!F201,"NA"))</f>
        <v>98.5</v>
      </c>
      <c r="D184" s="427" t="str">
        <f>IF('TECH DATA ENTRY'!L201="","",'TECH DATA ENTRY'!L201)</f>
        <v/>
      </c>
      <c r="E184" s="427" t="str">
        <f t="shared" si="65"/>
        <v/>
      </c>
      <c r="F184" s="427">
        <f>IF(B184="","",IFERROR('TECH DATA ENTRY'!G201,"NA"))</f>
        <v>101.5</v>
      </c>
      <c r="G184" s="546" t="str">
        <f t="shared" si="66"/>
        <v/>
      </c>
      <c r="H184" s="427" t="str">
        <f>IF(OR(ISTEXT(B184)=TRUE, D184="NA",D184=""),"NA", roundsf(MAX(L184,M184),C184))</f>
        <v>NA</v>
      </c>
      <c r="I184" s="325" t="str">
        <f t="shared" si="67"/>
        <v>NA</v>
      </c>
      <c r="J184" s="299"/>
      <c r="K184" s="245"/>
      <c r="L184" s="506">
        <f>0.0018*B184</f>
        <v>0.18</v>
      </c>
      <c r="M184" s="244" t="str">
        <f>UNC_CALCULATION!AM173</f>
        <v>NA</v>
      </c>
      <c r="N184" s="85"/>
      <c r="O184" s="58"/>
      <c r="P184" s="69" t="e">
        <f>IF(B184="","",INDEX('AUX TABLES'!$G$4:$K$8,AV184,AW184))</f>
        <v>#VALUE!</v>
      </c>
      <c r="Q184" s="150" t="e">
        <f>IF(AJ$11=FALSE,IF(B184="","",IF(AJ184="NA",P184,INDEX('AUX TABLES'!$G$4:$K$8,AY184,AZ184))),IF(P184="FAIL",P184,INDEX('AUX TABLES'!$G$4:$K$8,AY184,AZ184)))</f>
        <v>#VALUE!</v>
      </c>
      <c r="R184" s="150" t="e">
        <f>IF(AJ$11=FALSE,IF(B184="","",IF(AJ184="NA",P184,INDEX('AUX TABLES'!$G$4:$K$8,BB184,BC184))),IF(P184="FAIL",P184,INDEX('AUX TABLES'!$G$4:$K$8,BB184,BC184)))</f>
        <v>#VALUE!</v>
      </c>
      <c r="S184" s="69" t="e">
        <f>INDEX('AUX TABLES'!$G$4:$K$8,AM184,AN184)</f>
        <v>#VALUE!</v>
      </c>
      <c r="T184" s="69" t="e">
        <f>IF(AJ$11=FALSE,IF(AJ184="NA",S184,INDEX('AUX TABLES'!$G$4:$K$8,AP184,AQ184)),IF(S184="FAIL",S184,INDEX('AUX TABLES'!$G$4:$K$8,AP184,AQ184)))</f>
        <v>#VALUE!</v>
      </c>
      <c r="U184" s="150" t="e">
        <f>IF(AJ$11=FALSE,IF(AJ184="NA",S184,INDEX('AUX TABLES'!$G$4:$K$8,AS184,AT184)),IF(S184="FAIL",S184,INDEX('AUX TABLES'!$G$4:$K$8,AS184,AT184)))</f>
        <v>#VALUE!</v>
      </c>
      <c r="V184" s="150" t="str">
        <f t="shared" si="68"/>
        <v/>
      </c>
      <c r="W184" s="74">
        <f t="shared" si="69"/>
        <v>101.5</v>
      </c>
      <c r="X184" s="74" t="str">
        <f t="shared" si="70"/>
        <v>NA</v>
      </c>
      <c r="Y184" s="74" t="str">
        <f t="shared" si="71"/>
        <v>NA</v>
      </c>
      <c r="Z184" s="74" t="str">
        <f t="shared" si="72"/>
        <v>NA</v>
      </c>
      <c r="AA184" s="74" t="str">
        <f t="shared" si="73"/>
        <v>NA</v>
      </c>
      <c r="AB184" s="74">
        <f t="shared" si="74"/>
        <v>98.5</v>
      </c>
      <c r="AC184" s="69" t="str">
        <f>IF(ISTEXT('TECH DATA ENTRY'!L201)=TRUE,"NA",'TECH DATA ENTRY'!H201)</f>
        <v>NA</v>
      </c>
      <c r="AD184" s="69" t="str">
        <f t="shared" si="75"/>
        <v>NA</v>
      </c>
      <c r="AE184" s="69" t="str">
        <f t="shared" si="76"/>
        <v>NA</v>
      </c>
      <c r="AF184" s="69" t="e">
        <f t="shared" si="77"/>
        <v>#VALUE!</v>
      </c>
      <c r="AG184" s="69" t="e">
        <f t="shared" si="78"/>
        <v>#VALUE!</v>
      </c>
      <c r="AH184" s="69" t="e">
        <f t="shared" si="79"/>
        <v>#VALUE!</v>
      </c>
      <c r="AI184" s="69" t="e">
        <f t="shared" si="80"/>
        <v>#VALUE!</v>
      </c>
      <c r="AJ184" s="70" t="str">
        <f>IF(OR(ISTEXT('TECH DATA ENTRY'!L201)=TRUE,ISTEXT('TECH DATA ENTRY'!F201)=TRUE,ISTEXT('TECH DATA ENTRY'!G201)=TRUE),"NA",(W184-AB184)/(2*MAX(M184,L184)))</f>
        <v>NA</v>
      </c>
      <c r="AK184" s="69" t="str">
        <f t="shared" si="81"/>
        <v>NA</v>
      </c>
      <c r="AM184" s="73" t="e">
        <f t="shared" si="82"/>
        <v>#VALUE!</v>
      </c>
      <c r="AN184" s="73" t="e">
        <f t="shared" si="83"/>
        <v>#VALUE!</v>
      </c>
      <c r="AO184" s="87"/>
      <c r="AP184" s="73" t="e">
        <f t="shared" si="84"/>
        <v>#VALUE!</v>
      </c>
      <c r="AQ184" s="73" t="e">
        <f t="shared" si="85"/>
        <v>#VALUE!</v>
      </c>
      <c r="AR184" s="87"/>
      <c r="AS184" s="73" t="e">
        <f t="shared" si="86"/>
        <v>#VALUE!</v>
      </c>
      <c r="AT184" s="73" t="e">
        <f t="shared" si="87"/>
        <v>#VALUE!</v>
      </c>
      <c r="AV184" s="73" t="e">
        <f t="shared" si="88"/>
        <v>#VALUE!</v>
      </c>
      <c r="AW184" s="73" t="e">
        <f t="shared" si="89"/>
        <v>#VALUE!</v>
      </c>
      <c r="AX184" s="87"/>
      <c r="AY184" s="73" t="e">
        <f t="shared" si="90"/>
        <v>#VALUE!</v>
      </c>
      <c r="AZ184" s="73" t="e">
        <f t="shared" si="91"/>
        <v>#VALUE!</v>
      </c>
      <c r="BA184" s="87"/>
      <c r="BB184" s="73" t="e">
        <f t="shared" si="92"/>
        <v>#VALUE!</v>
      </c>
      <c r="BC184" s="73" t="e">
        <f t="shared" si="93"/>
        <v>#VALUE!</v>
      </c>
    </row>
    <row r="185" spans="1:55" s="86" customFormat="1" ht="25" customHeight="1">
      <c r="A185" s="466" t="str">
        <f>IF('TECH DATA ENTRY'!A202="","",'TECH DATA ENTRY'!A202)</f>
        <v>1.000 mF</v>
      </c>
      <c r="B185" s="430">
        <f>IF('TECH DATA ENTRY'!B202="","",'TECH DATA ENTRY'!B202)</f>
        <v>1</v>
      </c>
      <c r="C185" s="430">
        <f>IF(B185="","",IFERROR('TECH DATA ENTRY'!F202,"NA"))</f>
        <v>0.98499999999999999</v>
      </c>
      <c r="D185" s="430" t="str">
        <f>IF('TECH DATA ENTRY'!L202="","",'TECH DATA ENTRY'!L202)</f>
        <v/>
      </c>
      <c r="E185" s="430" t="str">
        <f t="shared" si="65"/>
        <v/>
      </c>
      <c r="F185" s="430">
        <f>IF(B185="","",IFERROR('TECH DATA ENTRY'!G202,"NA"))</f>
        <v>1.0149999999999999</v>
      </c>
      <c r="G185" s="547" t="str">
        <f t="shared" si="66"/>
        <v/>
      </c>
      <c r="H185" s="430" t="str">
        <f>IF(OR(ISTEXT(B185)=TRUE, D185="NA",D185=""),"NA", roundsf(MAX(L185,M185),C185))</f>
        <v>NA</v>
      </c>
      <c r="I185" s="325" t="str">
        <f t="shared" si="67"/>
        <v>NA</v>
      </c>
      <c r="J185" s="299"/>
      <c r="K185" s="245"/>
      <c r="L185" s="506">
        <f>0.0029*B185</f>
        <v>2.8999999999999998E-3</v>
      </c>
      <c r="M185" s="244" t="str">
        <f>UNC_CALCULATION!AM174</f>
        <v>NA</v>
      </c>
      <c r="N185" s="85"/>
      <c r="O185" s="58"/>
      <c r="P185" s="69" t="e">
        <f>IF(B185="","",INDEX('AUX TABLES'!$G$4:$K$8,AV185,AW185))</f>
        <v>#VALUE!</v>
      </c>
      <c r="Q185" s="150" t="e">
        <f>IF(AJ$11=FALSE,IF(B185="","",IF(AJ185="NA",P185,INDEX('AUX TABLES'!$G$4:$K$8,AY185,AZ185))),IF(P185="FAIL",P185,INDEX('AUX TABLES'!$G$4:$K$8,AY185,AZ185)))</f>
        <v>#VALUE!</v>
      </c>
      <c r="R185" s="150" t="e">
        <f>IF(AJ$11=FALSE,IF(B185="","",IF(AJ185="NA",P185,INDEX('AUX TABLES'!$G$4:$K$8,BB185,BC185))),IF(P185="FAIL",P185,INDEX('AUX TABLES'!$G$4:$K$8,BB185,BC185)))</f>
        <v>#VALUE!</v>
      </c>
      <c r="S185" s="69" t="e">
        <f>INDEX('AUX TABLES'!$G$4:$K$8,AM185,AN185)</f>
        <v>#VALUE!</v>
      </c>
      <c r="T185" s="69" t="e">
        <f>IF(AJ$11=FALSE,IF(AJ185="NA",S185,INDEX('AUX TABLES'!$G$4:$K$8,AP185,AQ185)),IF(S185="FAIL",S185,INDEX('AUX TABLES'!$G$4:$K$8,AP185,AQ185)))</f>
        <v>#VALUE!</v>
      </c>
      <c r="U185" s="150" t="e">
        <f>IF(AJ$11=FALSE,IF(AJ185="NA",S185,INDEX('AUX TABLES'!$G$4:$K$8,AS185,AT185)),IF(S185="FAIL",S185,INDEX('AUX TABLES'!$G$4:$K$8,AS185,AT185)))</f>
        <v>#VALUE!</v>
      </c>
      <c r="V185" s="150" t="str">
        <f t="shared" si="68"/>
        <v/>
      </c>
      <c r="W185" s="74">
        <f t="shared" si="69"/>
        <v>1.0149999999999999</v>
      </c>
      <c r="X185" s="74" t="str">
        <f t="shared" si="70"/>
        <v>NA</v>
      </c>
      <c r="Y185" s="74" t="str">
        <f t="shared" si="71"/>
        <v>NA</v>
      </c>
      <c r="Z185" s="74" t="str">
        <f t="shared" si="72"/>
        <v>NA</v>
      </c>
      <c r="AA185" s="74" t="str">
        <f t="shared" si="73"/>
        <v>NA</v>
      </c>
      <c r="AB185" s="74">
        <f t="shared" si="74"/>
        <v>0.98499999999999999</v>
      </c>
      <c r="AC185" s="69" t="str">
        <f>IF(ISTEXT('TECH DATA ENTRY'!L202)=TRUE,"NA",'TECH DATA ENTRY'!H202)</f>
        <v>NA</v>
      </c>
      <c r="AD185" s="69" t="str">
        <f t="shared" si="75"/>
        <v>NA</v>
      </c>
      <c r="AE185" s="69" t="str">
        <f t="shared" si="76"/>
        <v>NA</v>
      </c>
      <c r="AF185" s="69" t="e">
        <f t="shared" si="77"/>
        <v>#VALUE!</v>
      </c>
      <c r="AG185" s="69" t="e">
        <f t="shared" si="78"/>
        <v>#VALUE!</v>
      </c>
      <c r="AH185" s="69" t="e">
        <f t="shared" si="79"/>
        <v>#VALUE!</v>
      </c>
      <c r="AI185" s="69" t="e">
        <f t="shared" si="80"/>
        <v>#VALUE!</v>
      </c>
      <c r="AJ185" s="70" t="str">
        <f>IF(OR(ISTEXT('TECH DATA ENTRY'!L202)=TRUE,ISTEXT('TECH DATA ENTRY'!F202)=TRUE,ISTEXT('TECH DATA ENTRY'!G202)=TRUE),"NA",(W185-AB185)/(2*MAX(M185,L185)))</f>
        <v>NA</v>
      </c>
      <c r="AK185" s="69" t="str">
        <f t="shared" si="81"/>
        <v>NA</v>
      </c>
      <c r="AM185" s="73" t="e">
        <f t="shared" si="82"/>
        <v>#VALUE!</v>
      </c>
      <c r="AN185" s="73" t="e">
        <f t="shared" si="83"/>
        <v>#VALUE!</v>
      </c>
      <c r="AO185" s="87"/>
      <c r="AP185" s="73" t="e">
        <f t="shared" si="84"/>
        <v>#VALUE!</v>
      </c>
      <c r="AQ185" s="73" t="e">
        <f t="shared" si="85"/>
        <v>#VALUE!</v>
      </c>
      <c r="AR185" s="87"/>
      <c r="AS185" s="73" t="e">
        <f t="shared" si="86"/>
        <v>#VALUE!</v>
      </c>
      <c r="AT185" s="73" t="e">
        <f t="shared" si="87"/>
        <v>#VALUE!</v>
      </c>
      <c r="AV185" s="73" t="e">
        <f t="shared" si="88"/>
        <v>#VALUE!</v>
      </c>
      <c r="AW185" s="73" t="e">
        <f t="shared" si="89"/>
        <v>#VALUE!</v>
      </c>
      <c r="AX185" s="87"/>
      <c r="AY185" s="73" t="e">
        <f t="shared" si="90"/>
        <v>#VALUE!</v>
      </c>
      <c r="AZ185" s="73" t="e">
        <f t="shared" si="91"/>
        <v>#VALUE!</v>
      </c>
      <c r="BA185" s="87"/>
      <c r="BB185" s="73" t="e">
        <f t="shared" si="92"/>
        <v>#VALUE!</v>
      </c>
      <c r="BC185" s="73" t="e">
        <f t="shared" si="93"/>
        <v>#VALUE!</v>
      </c>
    </row>
    <row r="186" spans="1:55" s="86" customFormat="1" ht="25" customHeight="1">
      <c r="A186" s="466" t="str">
        <f>IF('TECH DATA ENTRY'!A203="","",'TECH DATA ENTRY'!A203)</f>
        <v>10.00 mF</v>
      </c>
      <c r="B186" s="433">
        <f>IF('TECH DATA ENTRY'!B203="","",'TECH DATA ENTRY'!B203)</f>
        <v>10</v>
      </c>
      <c r="C186" s="433">
        <f>IF(B186="","",IFERROR('TECH DATA ENTRY'!F203,"NA"))</f>
        <v>9.85</v>
      </c>
      <c r="D186" s="433" t="str">
        <f>IF('TECH DATA ENTRY'!L203="","",'TECH DATA ENTRY'!L203)</f>
        <v/>
      </c>
      <c r="E186" s="433" t="str">
        <f t="shared" si="65"/>
        <v/>
      </c>
      <c r="F186" s="433">
        <f>IF(B186="","",IFERROR('TECH DATA ENTRY'!G203,"NA"))</f>
        <v>10.15</v>
      </c>
      <c r="G186" s="548" t="str">
        <f t="shared" si="66"/>
        <v/>
      </c>
      <c r="H186" s="433" t="str">
        <f>IF(OR(ISTEXT(B186)=TRUE, D186="NA",D186=""),"NA", roundsf(MAX(L186,M186),C186))</f>
        <v>NA</v>
      </c>
      <c r="I186" s="325" t="str">
        <f t="shared" si="67"/>
        <v>NA</v>
      </c>
      <c r="J186" s="299"/>
      <c r="K186" s="245"/>
      <c r="L186" s="604">
        <f>0.003*B186</f>
        <v>0.03</v>
      </c>
      <c r="M186" s="244" t="str">
        <f>UNC_CALCULATION!AM175</f>
        <v>NA</v>
      </c>
      <c r="N186" s="85"/>
      <c r="O186" s="58"/>
      <c r="P186" s="69" t="e">
        <f>IF(B186="","",INDEX('AUX TABLES'!$G$4:$K$8,AV186,AW186))</f>
        <v>#VALUE!</v>
      </c>
      <c r="Q186" s="150" t="e">
        <f>IF(AJ$11=FALSE,IF(B186="","",IF(AJ186="NA",P186,INDEX('AUX TABLES'!$G$4:$K$8,AY186,AZ186))),IF(P186="FAIL",P186,INDEX('AUX TABLES'!$G$4:$K$8,AY186,AZ186)))</f>
        <v>#VALUE!</v>
      </c>
      <c r="R186" s="150" t="e">
        <f>IF(AJ$11=FALSE,IF(B186="","",IF(AJ186="NA",P186,INDEX('AUX TABLES'!$G$4:$K$8,BB186,BC186))),IF(P186="FAIL",P186,INDEX('AUX TABLES'!$G$4:$K$8,BB186,BC186)))</f>
        <v>#VALUE!</v>
      </c>
      <c r="S186" s="69" t="e">
        <f>INDEX('AUX TABLES'!$G$4:$K$8,AM186,AN186)</f>
        <v>#VALUE!</v>
      </c>
      <c r="T186" s="69" t="e">
        <f>IF(AJ$11=FALSE,IF(AJ186="NA",S186,INDEX('AUX TABLES'!$G$4:$K$8,AP186,AQ186)),IF(S186="FAIL",S186,INDEX('AUX TABLES'!$G$4:$K$8,AP186,AQ186)))</f>
        <v>#VALUE!</v>
      </c>
      <c r="U186" s="150" t="e">
        <f>IF(AJ$11=FALSE,IF(AJ186="NA",S186,INDEX('AUX TABLES'!$G$4:$K$8,AS186,AT186)),IF(S186="FAIL",S186,INDEX('AUX TABLES'!$G$4:$K$8,AS186,AT186)))</f>
        <v>#VALUE!</v>
      </c>
      <c r="V186" s="150" t="str">
        <f t="shared" si="68"/>
        <v/>
      </c>
      <c r="W186" s="74">
        <f t="shared" si="69"/>
        <v>10.15</v>
      </c>
      <c r="X186" s="74" t="str">
        <f t="shared" si="70"/>
        <v>NA</v>
      </c>
      <c r="Y186" s="74" t="str">
        <f t="shared" si="71"/>
        <v>NA</v>
      </c>
      <c r="Z186" s="74" t="str">
        <f t="shared" si="72"/>
        <v>NA</v>
      </c>
      <c r="AA186" s="74" t="str">
        <f t="shared" si="73"/>
        <v>NA</v>
      </c>
      <c r="AB186" s="74">
        <f t="shared" si="74"/>
        <v>9.85</v>
      </c>
      <c r="AC186" s="69" t="str">
        <f>IF(ISTEXT('TECH DATA ENTRY'!L203)=TRUE,"NA",'TECH DATA ENTRY'!H203)</f>
        <v>NA</v>
      </c>
      <c r="AD186" s="69" t="str">
        <f t="shared" si="75"/>
        <v>NA</v>
      </c>
      <c r="AE186" s="69" t="str">
        <f t="shared" si="76"/>
        <v>NA</v>
      </c>
      <c r="AF186" s="69" t="e">
        <f t="shared" si="77"/>
        <v>#VALUE!</v>
      </c>
      <c r="AG186" s="69" t="e">
        <f t="shared" si="78"/>
        <v>#VALUE!</v>
      </c>
      <c r="AH186" s="69" t="e">
        <f t="shared" si="79"/>
        <v>#VALUE!</v>
      </c>
      <c r="AI186" s="69" t="e">
        <f t="shared" si="80"/>
        <v>#VALUE!</v>
      </c>
      <c r="AJ186" s="70" t="str">
        <f>IF(OR(ISTEXT('TECH DATA ENTRY'!L203)=TRUE,ISTEXT('TECH DATA ENTRY'!F203)=TRUE,ISTEXT('TECH DATA ENTRY'!G203)=TRUE),"NA",(W186-AB186)/(2*MAX(M186,L186)))</f>
        <v>NA</v>
      </c>
      <c r="AK186" s="69" t="str">
        <f t="shared" si="81"/>
        <v>NA</v>
      </c>
      <c r="AM186" s="73" t="e">
        <f t="shared" si="82"/>
        <v>#VALUE!</v>
      </c>
      <c r="AN186" s="73" t="e">
        <f t="shared" si="83"/>
        <v>#VALUE!</v>
      </c>
      <c r="AO186" s="87"/>
      <c r="AP186" s="73" t="e">
        <f t="shared" si="84"/>
        <v>#VALUE!</v>
      </c>
      <c r="AQ186" s="73" t="e">
        <f t="shared" si="85"/>
        <v>#VALUE!</v>
      </c>
      <c r="AR186" s="87"/>
      <c r="AS186" s="73" t="e">
        <f t="shared" si="86"/>
        <v>#VALUE!</v>
      </c>
      <c r="AT186" s="73" t="e">
        <f t="shared" si="87"/>
        <v>#VALUE!</v>
      </c>
      <c r="AV186" s="73" t="e">
        <f t="shared" si="88"/>
        <v>#VALUE!</v>
      </c>
      <c r="AW186" s="73" t="e">
        <f t="shared" si="89"/>
        <v>#VALUE!</v>
      </c>
      <c r="AX186" s="87"/>
      <c r="AY186" s="73" t="e">
        <f t="shared" si="90"/>
        <v>#VALUE!</v>
      </c>
      <c r="AZ186" s="73" t="e">
        <f t="shared" si="91"/>
        <v>#VALUE!</v>
      </c>
      <c r="BA186" s="87"/>
      <c r="BB186" s="73" t="e">
        <f t="shared" si="92"/>
        <v>#VALUE!</v>
      </c>
      <c r="BC186" s="73" t="e">
        <f t="shared" si="93"/>
        <v>#VALUE!</v>
      </c>
    </row>
    <row r="187" spans="1:55" s="86" customFormat="1" ht="25" customHeight="1" thickBot="1">
      <c r="A187" s="467" t="str">
        <f>IF('TECH DATA ENTRY'!A204="","",'TECH DATA ENTRY'!A204)</f>
        <v>100.0 mF</v>
      </c>
      <c r="B187" s="485">
        <f>IF('TECH DATA ENTRY'!B204="","",'TECH DATA ENTRY'!B204)</f>
        <v>100</v>
      </c>
      <c r="C187" s="485">
        <f>IF(B187="","",IFERROR('TECH DATA ENTRY'!F204,"NA"))</f>
        <v>95.8</v>
      </c>
      <c r="D187" s="485" t="str">
        <f>IF('TECH DATA ENTRY'!L204="","",'TECH DATA ENTRY'!L204)</f>
        <v/>
      </c>
      <c r="E187" s="485" t="str">
        <f t="shared" si="65"/>
        <v/>
      </c>
      <c r="F187" s="485">
        <f>IF(B187="","",IFERROR('TECH DATA ENTRY'!G204,"NA"))</f>
        <v>104.2</v>
      </c>
      <c r="G187" s="549" t="str">
        <f t="shared" si="66"/>
        <v/>
      </c>
      <c r="H187" s="485" t="str">
        <f>IF(OR(ISTEXT(B187)=TRUE, D187="NA",D187=""),"NA", roundsf(MAX(L187,M187),C187))</f>
        <v>NA</v>
      </c>
      <c r="I187" s="486" t="str">
        <f t="shared" si="67"/>
        <v>NA</v>
      </c>
      <c r="J187" s="299"/>
      <c r="K187" s="245"/>
      <c r="L187" s="604">
        <f>0.0027*B187</f>
        <v>0.27</v>
      </c>
      <c r="M187" s="244" t="str">
        <f>UNC_CALCULATION!AM176</f>
        <v>NA</v>
      </c>
      <c r="N187" s="85"/>
      <c r="O187" s="58"/>
      <c r="P187" s="69" t="e">
        <f>IF(B187="","",INDEX('AUX TABLES'!$G$4:$K$8,AV187,AW187))</f>
        <v>#VALUE!</v>
      </c>
      <c r="Q187" s="150" t="e">
        <f>IF(AJ$11=FALSE,IF(B187="","",IF(AJ187="NA",P187,INDEX('AUX TABLES'!$G$4:$K$8,AY187,AZ187))),IF(P187="FAIL",P187,INDEX('AUX TABLES'!$G$4:$K$8,AY187,AZ187)))</f>
        <v>#VALUE!</v>
      </c>
      <c r="R187" s="150" t="e">
        <f>IF(AJ$11=FALSE,IF(B187="","",IF(AJ187="NA",P187,INDEX('AUX TABLES'!$G$4:$K$8,BB187,BC187))),IF(P187="FAIL",P187,INDEX('AUX TABLES'!$G$4:$K$8,BB187,BC187)))</f>
        <v>#VALUE!</v>
      </c>
      <c r="S187" s="69" t="e">
        <f>INDEX('AUX TABLES'!$G$4:$K$8,AM187,AN187)</f>
        <v>#VALUE!</v>
      </c>
      <c r="T187" s="69" t="e">
        <f>IF(AJ$11=FALSE,IF(AJ187="NA",S187,INDEX('AUX TABLES'!$G$4:$K$8,AP187,AQ187)),IF(S187="FAIL",S187,INDEX('AUX TABLES'!$G$4:$K$8,AP187,AQ187)))</f>
        <v>#VALUE!</v>
      </c>
      <c r="U187" s="150" t="e">
        <f>IF(AJ$11=FALSE,IF(AJ187="NA",S187,INDEX('AUX TABLES'!$G$4:$K$8,AS187,AT187)),IF(S187="FAIL",S187,INDEX('AUX TABLES'!$G$4:$K$8,AS187,AT187)))</f>
        <v>#VALUE!</v>
      </c>
      <c r="V187" s="150" t="str">
        <f t="shared" si="68"/>
        <v/>
      </c>
      <c r="W187" s="74">
        <f t="shared" si="69"/>
        <v>104.2</v>
      </c>
      <c r="X187" s="74" t="str">
        <f t="shared" si="70"/>
        <v>NA</v>
      </c>
      <c r="Y187" s="74" t="str">
        <f t="shared" si="71"/>
        <v>NA</v>
      </c>
      <c r="Z187" s="74" t="str">
        <f t="shared" si="72"/>
        <v>NA</v>
      </c>
      <c r="AA187" s="74" t="str">
        <f t="shared" si="73"/>
        <v>NA</v>
      </c>
      <c r="AB187" s="74">
        <f t="shared" si="74"/>
        <v>95.8</v>
      </c>
      <c r="AC187" s="69" t="str">
        <f>IF(ISTEXT('TECH DATA ENTRY'!L204)=TRUE,"NA",'TECH DATA ENTRY'!H204)</f>
        <v>NA</v>
      </c>
      <c r="AD187" s="69" t="str">
        <f t="shared" si="75"/>
        <v>NA</v>
      </c>
      <c r="AE187" s="69" t="str">
        <f t="shared" si="76"/>
        <v>NA</v>
      </c>
      <c r="AF187" s="69" t="e">
        <f t="shared" si="77"/>
        <v>#VALUE!</v>
      </c>
      <c r="AG187" s="69" t="e">
        <f t="shared" si="78"/>
        <v>#VALUE!</v>
      </c>
      <c r="AH187" s="69" t="e">
        <f t="shared" si="79"/>
        <v>#VALUE!</v>
      </c>
      <c r="AI187" s="69" t="e">
        <f t="shared" si="80"/>
        <v>#VALUE!</v>
      </c>
      <c r="AJ187" s="70" t="str">
        <f>IF(OR(ISTEXT('TECH DATA ENTRY'!L204)=TRUE,ISTEXT('TECH DATA ENTRY'!F204)=TRUE,ISTEXT('TECH DATA ENTRY'!G204)=TRUE),"NA",(W187-AB187)/(2*MAX(M187,L187)))</f>
        <v>NA</v>
      </c>
      <c r="AK187" s="69" t="str">
        <f t="shared" si="81"/>
        <v>NA</v>
      </c>
      <c r="AM187" s="73" t="e">
        <f t="shared" si="82"/>
        <v>#VALUE!</v>
      </c>
      <c r="AN187" s="73" t="e">
        <f t="shared" si="83"/>
        <v>#VALUE!</v>
      </c>
      <c r="AO187" s="87"/>
      <c r="AP187" s="73" t="e">
        <f t="shared" si="84"/>
        <v>#VALUE!</v>
      </c>
      <c r="AQ187" s="73" t="e">
        <f t="shared" si="85"/>
        <v>#VALUE!</v>
      </c>
      <c r="AR187" s="87"/>
      <c r="AS187" s="73" t="e">
        <f t="shared" si="86"/>
        <v>#VALUE!</v>
      </c>
      <c r="AT187" s="73" t="e">
        <f t="shared" si="87"/>
        <v>#VALUE!</v>
      </c>
      <c r="AV187" s="73" t="e">
        <f t="shared" si="88"/>
        <v>#VALUE!</v>
      </c>
      <c r="AW187" s="73" t="e">
        <f t="shared" si="89"/>
        <v>#VALUE!</v>
      </c>
      <c r="AX187" s="87"/>
      <c r="AY187" s="73" t="e">
        <f t="shared" si="90"/>
        <v>#VALUE!</v>
      </c>
      <c r="AZ187" s="73" t="e">
        <f t="shared" si="91"/>
        <v>#VALUE!</v>
      </c>
      <c r="BA187" s="87"/>
      <c r="BB187" s="73" t="e">
        <f t="shared" si="92"/>
        <v>#VALUE!</v>
      </c>
      <c r="BC187" s="73" t="e">
        <f t="shared" si="93"/>
        <v>#VALUE!</v>
      </c>
    </row>
    <row r="188" spans="1:55" s="1" customFormat="1" ht="34.9" customHeight="1">
      <c r="A188" s="64"/>
      <c r="B188" s="554"/>
      <c r="C188" s="554"/>
      <c r="D188" s="554"/>
      <c r="E188" s="554"/>
      <c r="F188" s="554"/>
      <c r="G188" s="554"/>
      <c r="H188" s="554"/>
      <c r="I188" s="555"/>
      <c r="J188" s="56"/>
      <c r="K188" s="56"/>
      <c r="L188" s="509"/>
      <c r="M188" s="58"/>
      <c r="N188" s="31"/>
      <c r="O188" s="77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AP188" s="267"/>
    </row>
    <row r="189" spans="1:55" s="296" customFormat="1" ht="28.15" customHeight="1">
      <c r="A189" s="289" t="str">
        <f>IF('TECH DATA ENTRY'!A206="","",'TECH DATA ENTRY'!A206)</f>
        <v>DC Current  Accuracy</v>
      </c>
      <c r="B189" s="293"/>
      <c r="C189" s="294"/>
      <c r="D189" s="293"/>
      <c r="E189" s="293"/>
      <c r="F189" s="293"/>
      <c r="G189" s="294"/>
      <c r="H189" s="293"/>
      <c r="I189" s="295"/>
      <c r="J189" s="224"/>
      <c r="K189" s="224"/>
      <c r="L189" s="224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AK189" s="297"/>
    </row>
    <row r="190" spans="1:55" s="31" customFormat="1" ht="22.15" customHeight="1">
      <c r="A190" s="76" t="str">
        <f>IF('TECH DATA ENTRY'!A207="","",'TECH DATA ENTRY'!A207)</f>
        <v>Range 100 μA</v>
      </c>
      <c r="H190" s="321"/>
      <c r="O190" s="77"/>
      <c r="AK190" s="1"/>
      <c r="AM190" s="637" t="s">
        <v>116</v>
      </c>
      <c r="AN190" s="637"/>
      <c r="AO190" s="637"/>
      <c r="AP190" s="637"/>
      <c r="AQ190" s="637"/>
      <c r="AR190" s="637"/>
      <c r="AS190" s="637"/>
      <c r="AT190" s="637"/>
      <c r="AV190" s="637" t="s">
        <v>117</v>
      </c>
      <c r="AW190" s="637"/>
      <c r="AX190" s="637"/>
      <c r="AY190" s="637"/>
      <c r="AZ190" s="637"/>
      <c r="BA190" s="637"/>
      <c r="BB190" s="637"/>
      <c r="BC190" s="637"/>
    </row>
    <row r="191" spans="1:55" s="225" customFormat="1" ht="4.9000000000000004" customHeight="1" thickBot="1">
      <c r="A191" s="288" t="str">
        <f>IF('TECH DATA ENTRY'!A208="","",'TECH DATA ENTRY'!A208)</f>
        <v/>
      </c>
      <c r="K191" s="239"/>
      <c r="L191" s="239"/>
      <c r="AK191" s="240"/>
    </row>
    <row r="192" spans="1:55" s="285" customFormat="1" ht="20.149999999999999" customHeight="1">
      <c r="A192" s="644" t="str">
        <f>IF('TECH DATA ENTRY'!A209="","",'TECH DATA ENTRY'!A209)</f>
        <v>Function Tested</v>
      </c>
      <c r="B192" s="646" t="str">
        <f>IF('TECH DATA ENTRY'!B209="","",'TECH DATA ENTRY'!B209)</f>
        <v>Nominal</v>
      </c>
      <c r="C192" s="648" t="s">
        <v>2</v>
      </c>
      <c r="D192" s="648" t="str">
        <f>IF(LEFT(P$11,3)="ROV", "Measured Value", "As Found")</f>
        <v>As Found</v>
      </c>
      <c r="E192" s="648" t="str">
        <f>IF(LEFT(P$11,3)="ROV", "Correction", "As Left")</f>
        <v>As Left</v>
      </c>
      <c r="F192" s="648" t="s">
        <v>3</v>
      </c>
      <c r="G192" s="653" t="s">
        <v>4</v>
      </c>
      <c r="H192" s="659" t="s">
        <v>30</v>
      </c>
      <c r="I192" s="661" t="s">
        <v>28</v>
      </c>
      <c r="J192" s="284"/>
      <c r="L192" s="658" t="s">
        <v>38</v>
      </c>
      <c r="M192" s="616" t="s">
        <v>31</v>
      </c>
      <c r="N192" s="281"/>
      <c r="O192" s="286"/>
      <c r="P192" s="640" t="s">
        <v>136</v>
      </c>
      <c r="Q192" s="641"/>
      <c r="R192" s="642"/>
      <c r="S192" s="638" t="s">
        <v>115</v>
      </c>
      <c r="T192" s="638"/>
      <c r="U192" s="638"/>
      <c r="V192" s="638"/>
      <c r="W192" s="640" t="s">
        <v>64</v>
      </c>
      <c r="X192" s="641"/>
      <c r="Y192" s="641"/>
      <c r="Z192" s="641"/>
      <c r="AA192" s="641"/>
      <c r="AB192" s="642"/>
      <c r="AC192" s="638" t="s">
        <v>97</v>
      </c>
      <c r="AD192" s="638"/>
      <c r="AE192" s="638"/>
      <c r="AF192" s="638" t="s">
        <v>127</v>
      </c>
      <c r="AG192" s="638"/>
      <c r="AH192" s="638" t="s">
        <v>128</v>
      </c>
      <c r="AI192" s="638"/>
      <c r="AJ192" s="638" t="s">
        <v>28</v>
      </c>
      <c r="AK192" s="638" t="s">
        <v>121</v>
      </c>
      <c r="AL192" s="308"/>
      <c r="AM192" s="639" t="s">
        <v>122</v>
      </c>
      <c r="AN192" s="639"/>
      <c r="AO192" s="308"/>
      <c r="AP192" s="639" t="s">
        <v>119</v>
      </c>
      <c r="AQ192" s="639"/>
      <c r="AR192" s="308"/>
      <c r="AS192" s="639" t="s">
        <v>120</v>
      </c>
      <c r="AT192" s="639"/>
      <c r="AU192" s="308"/>
      <c r="AV192" s="639" t="s">
        <v>122</v>
      </c>
      <c r="AW192" s="639"/>
      <c r="AX192" s="308"/>
      <c r="AY192" s="639" t="s">
        <v>119</v>
      </c>
      <c r="AZ192" s="639"/>
      <c r="BA192" s="308"/>
      <c r="BB192" s="639" t="s">
        <v>120</v>
      </c>
      <c r="BC192" s="639"/>
    </row>
    <row r="193" spans="1:55" s="285" customFormat="1" ht="20.149999999999999" customHeight="1" thickBot="1">
      <c r="A193" s="645"/>
      <c r="B193" s="647"/>
      <c r="C193" s="649"/>
      <c r="D193" s="649"/>
      <c r="E193" s="649"/>
      <c r="F193" s="649"/>
      <c r="G193" s="654"/>
      <c r="H193" s="660"/>
      <c r="I193" s="662"/>
      <c r="J193" s="284"/>
      <c r="L193" s="649"/>
      <c r="M193" s="617"/>
      <c r="O193" s="281"/>
      <c r="P193" s="309" t="s">
        <v>122</v>
      </c>
      <c r="Q193" s="309" t="s">
        <v>119</v>
      </c>
      <c r="R193" s="309" t="s">
        <v>120</v>
      </c>
      <c r="S193" s="309" t="s">
        <v>122</v>
      </c>
      <c r="T193" s="309" t="s">
        <v>119</v>
      </c>
      <c r="U193" s="309" t="s">
        <v>120</v>
      </c>
      <c r="V193" s="309" t="s">
        <v>118</v>
      </c>
      <c r="W193" s="309" t="s">
        <v>63</v>
      </c>
      <c r="X193" s="309" t="s">
        <v>69</v>
      </c>
      <c r="Y193" s="309" t="s">
        <v>71</v>
      </c>
      <c r="Z193" s="309" t="s">
        <v>72</v>
      </c>
      <c r="AA193" s="309" t="s">
        <v>70</v>
      </c>
      <c r="AB193" s="309" t="s">
        <v>75</v>
      </c>
      <c r="AC193" s="309" t="s">
        <v>78</v>
      </c>
      <c r="AD193" s="309" t="s">
        <v>119</v>
      </c>
      <c r="AE193" s="309" t="s">
        <v>120</v>
      </c>
      <c r="AF193" s="309" t="s">
        <v>129</v>
      </c>
      <c r="AG193" s="309" t="s">
        <v>130</v>
      </c>
      <c r="AH193" s="309" t="s">
        <v>129</v>
      </c>
      <c r="AI193" s="309" t="s">
        <v>130</v>
      </c>
      <c r="AJ193" s="652"/>
      <c r="AK193" s="652"/>
      <c r="AL193" s="308"/>
      <c r="AM193" s="310" t="s">
        <v>67</v>
      </c>
      <c r="AN193" s="310" t="s">
        <v>68</v>
      </c>
      <c r="AO193" s="308"/>
      <c r="AP193" s="310" t="s">
        <v>67</v>
      </c>
      <c r="AQ193" s="310" t="s">
        <v>68</v>
      </c>
      <c r="AR193" s="308"/>
      <c r="AS193" s="310" t="s">
        <v>67</v>
      </c>
      <c r="AT193" s="310" t="s">
        <v>68</v>
      </c>
      <c r="AU193" s="308"/>
      <c r="AV193" s="310" t="s">
        <v>67</v>
      </c>
      <c r="AW193" s="310" t="s">
        <v>68</v>
      </c>
      <c r="AX193" s="308"/>
      <c r="AY193" s="310" t="s">
        <v>67</v>
      </c>
      <c r="AZ193" s="310" t="s">
        <v>68</v>
      </c>
      <c r="BA193" s="308"/>
      <c r="BB193" s="310" t="s">
        <v>67</v>
      </c>
      <c r="BC193" s="310" t="s">
        <v>68</v>
      </c>
    </row>
    <row r="194" spans="1:55" s="86" customFormat="1" ht="25" customHeight="1" thickTop="1">
      <c r="A194" s="481">
        <f>IF('TECH DATA ENTRY'!A211="","",'TECH DATA ENTRY'!A211)</f>
        <v>0</v>
      </c>
      <c r="B194" s="440">
        <f>IF('TECH DATA ENTRY'!B211="","",'TECH DATA ENTRY'!B211)</f>
        <v>0</v>
      </c>
      <c r="C194" s="556">
        <f>IF(B194="","",IFERROR('TECH DATA ENTRY'!F211,"NA"))</f>
        <v>-2.5000000000000001E-2</v>
      </c>
      <c r="D194" s="556" t="str">
        <f>IF('TECH DATA ENTRY'!L211="","",'TECH DATA ENTRY'!L211)</f>
        <v/>
      </c>
      <c r="E194" s="556" t="str">
        <f t="shared" si="65"/>
        <v/>
      </c>
      <c r="F194" s="556">
        <f>IF(B194="","",IFERROR('TECH DATA ENTRY'!G211,"NA"))</f>
        <v>2.5000000000000001E-2</v>
      </c>
      <c r="G194" s="557" t="str">
        <f t="shared" si="66"/>
        <v/>
      </c>
      <c r="H194" s="556" t="str">
        <f>IF(OR(ISTEXT(B194)=TRUE, D194="NA",D194=""),"NA", roundsf(MAX(L194,M194),C194))</f>
        <v>NA</v>
      </c>
      <c r="I194" s="558" t="str">
        <f t="shared" si="67"/>
        <v>NA</v>
      </c>
      <c r="J194" s="299"/>
      <c r="K194" s="245"/>
      <c r="L194" s="506">
        <f>(43/1000000)*ABS(B194)+(6/1000)</f>
        <v>6.0000000000000001E-3</v>
      </c>
      <c r="M194" s="244" t="str">
        <f>UNC_CALCULATION!AM183</f>
        <v>NA</v>
      </c>
      <c r="N194" s="85"/>
      <c r="O194" s="58"/>
      <c r="P194" s="69" t="e">
        <f>IF(B194="","",INDEX('AUX TABLES'!$G$4:$K$8,AV194,AW194))</f>
        <v>#VALUE!</v>
      </c>
      <c r="Q194" s="150" t="e">
        <f>IF(AJ$11=FALSE,IF(B194="","",IF(AJ194="NA",P194,INDEX('AUX TABLES'!$G$4:$K$8,AY194,AZ194))),IF(P194="FAIL",P194,INDEX('AUX TABLES'!$G$4:$K$8,AY194,AZ194)))</f>
        <v>#VALUE!</v>
      </c>
      <c r="R194" s="150" t="e">
        <f>IF(AJ$11=FALSE,IF(B194="","",IF(AJ194="NA",P194,INDEX('AUX TABLES'!$G$4:$K$8,BB194,BC194))),IF(P194="FAIL",P194,INDEX('AUX TABLES'!$G$4:$K$8,BB194,BC194)))</f>
        <v>#VALUE!</v>
      </c>
      <c r="S194" s="69" t="e">
        <f>INDEX('AUX TABLES'!$G$4:$K$8,AM194,AN194)</f>
        <v>#VALUE!</v>
      </c>
      <c r="T194" s="69" t="e">
        <f>IF(AJ$11=FALSE,IF(AJ194="NA",S194,INDEX('AUX TABLES'!$G$4:$K$8,AP194,AQ194)),IF(S194="FAIL",S194,INDEX('AUX TABLES'!$G$4:$K$8,AP194,AQ194)))</f>
        <v>#VALUE!</v>
      </c>
      <c r="U194" s="150" t="e">
        <f>IF(AJ$11=FALSE,IF(AJ194="NA",S194,INDEX('AUX TABLES'!$G$4:$K$8,AS194,AT194)),IF(S194="FAIL",S194,INDEX('AUX TABLES'!$G$4:$K$8,AS194,AT194)))</f>
        <v>#VALUE!</v>
      </c>
      <c r="V194" s="150" t="str">
        <f t="shared" si="68"/>
        <v/>
      </c>
      <c r="W194" s="74">
        <f t="shared" si="69"/>
        <v>2.5000000000000001E-2</v>
      </c>
      <c r="X194" s="74" t="str">
        <f t="shared" si="70"/>
        <v>NA</v>
      </c>
      <c r="Y194" s="74" t="str">
        <f t="shared" si="71"/>
        <v>NA</v>
      </c>
      <c r="Z194" s="74" t="str">
        <f t="shared" si="72"/>
        <v>NA</v>
      </c>
      <c r="AA194" s="74" t="str">
        <f t="shared" si="73"/>
        <v>NA</v>
      </c>
      <c r="AB194" s="74">
        <f t="shared" si="74"/>
        <v>-2.5000000000000001E-2</v>
      </c>
      <c r="AC194" s="69" t="str">
        <f>IF(ISTEXT('TECH DATA ENTRY'!L211)=TRUE,"NA",'TECH DATA ENTRY'!H211)</f>
        <v>NA</v>
      </c>
      <c r="AD194" s="69" t="str">
        <f t="shared" si="75"/>
        <v>NA</v>
      </c>
      <c r="AE194" s="69" t="str">
        <f t="shared" si="76"/>
        <v>NA</v>
      </c>
      <c r="AF194" s="69" t="e">
        <f t="shared" si="77"/>
        <v>#VALUE!</v>
      </c>
      <c r="AG194" s="69" t="e">
        <f t="shared" si="78"/>
        <v>#VALUE!</v>
      </c>
      <c r="AH194" s="69" t="e">
        <f t="shared" si="79"/>
        <v>#VALUE!</v>
      </c>
      <c r="AI194" s="69" t="e">
        <f t="shared" si="80"/>
        <v>#VALUE!</v>
      </c>
      <c r="AJ194" s="70" t="str">
        <f>IF(OR(ISTEXT('TECH DATA ENTRY'!L211)=TRUE,ISTEXT('TECH DATA ENTRY'!F211)=TRUE,ISTEXT('TECH DATA ENTRY'!G211)=TRUE),"NA",(W194-AB194)/(2*MAX(M194,L194)))</f>
        <v>NA</v>
      </c>
      <c r="AK194" s="69" t="str">
        <f t="shared" si="81"/>
        <v>NA</v>
      </c>
      <c r="AM194" s="73" t="e">
        <f t="shared" si="82"/>
        <v>#VALUE!</v>
      </c>
      <c r="AN194" s="73" t="e">
        <f t="shared" si="83"/>
        <v>#VALUE!</v>
      </c>
      <c r="AO194" s="87"/>
      <c r="AP194" s="73" t="e">
        <f t="shared" si="84"/>
        <v>#VALUE!</v>
      </c>
      <c r="AQ194" s="73" t="e">
        <f t="shared" si="85"/>
        <v>#VALUE!</v>
      </c>
      <c r="AR194" s="87"/>
      <c r="AS194" s="73" t="e">
        <f t="shared" si="86"/>
        <v>#VALUE!</v>
      </c>
      <c r="AT194" s="73" t="e">
        <f t="shared" si="87"/>
        <v>#VALUE!</v>
      </c>
      <c r="AV194" s="73" t="e">
        <f t="shared" si="88"/>
        <v>#VALUE!</v>
      </c>
      <c r="AW194" s="73" t="e">
        <f t="shared" si="89"/>
        <v>#VALUE!</v>
      </c>
      <c r="AX194" s="87"/>
      <c r="AY194" s="73" t="e">
        <f t="shared" si="90"/>
        <v>#VALUE!</v>
      </c>
      <c r="AZ194" s="73" t="e">
        <f t="shared" si="91"/>
        <v>#VALUE!</v>
      </c>
      <c r="BA194" s="87"/>
      <c r="BB194" s="73" t="e">
        <f t="shared" si="92"/>
        <v>#VALUE!</v>
      </c>
      <c r="BC194" s="73" t="e">
        <f t="shared" si="93"/>
        <v>#VALUE!</v>
      </c>
    </row>
    <row r="195" spans="1:55" s="86" customFormat="1" ht="25" customHeight="1">
      <c r="A195" s="481">
        <f>IF('TECH DATA ENTRY'!A212="","",'TECH DATA ENTRY'!A212)</f>
        <v>100</v>
      </c>
      <c r="B195" s="440">
        <f>IF('TECH DATA ENTRY'!B212="","",'TECH DATA ENTRY'!B212)</f>
        <v>100</v>
      </c>
      <c r="C195" s="440">
        <f>IF(B195="","",IFERROR('TECH DATA ENTRY'!F212,"NA"))</f>
        <v>99.924999999999997</v>
      </c>
      <c r="D195" s="440" t="str">
        <f>IF('TECH DATA ENTRY'!L212="","",'TECH DATA ENTRY'!L212)</f>
        <v/>
      </c>
      <c r="E195" s="440" t="str">
        <f t="shared" si="65"/>
        <v/>
      </c>
      <c r="F195" s="440">
        <f>IF(B195="","",IFERROR('TECH DATA ENTRY'!G212,"NA"))</f>
        <v>100.075</v>
      </c>
      <c r="G195" s="590" t="str">
        <f t="shared" si="66"/>
        <v/>
      </c>
      <c r="H195" s="440" t="str">
        <f>IF(OR(ISTEXT(B195)=TRUE, D195="NA",D195=""),"NA", roundsf(MAX(L195,M195),C195))</f>
        <v>NA</v>
      </c>
      <c r="I195" s="325" t="str">
        <f t="shared" si="67"/>
        <v>NA</v>
      </c>
      <c r="J195" s="299"/>
      <c r="K195" s="245"/>
      <c r="L195" s="506">
        <f t="shared" ref="L195:L196" si="94">(43/1000000)*ABS(B195)+(6/1000)</f>
        <v>1.03E-2</v>
      </c>
      <c r="M195" s="244" t="str">
        <f>UNC_CALCULATION!AM184</f>
        <v>NA</v>
      </c>
      <c r="N195" s="85"/>
      <c r="O195" s="58"/>
      <c r="P195" s="69" t="e">
        <f>IF(B195="","",INDEX('AUX TABLES'!$G$4:$K$8,AV195,AW195))</f>
        <v>#VALUE!</v>
      </c>
      <c r="Q195" s="150" t="e">
        <f>IF(AJ$11=FALSE,IF(B195="","",IF(AJ195="NA",P195,INDEX('AUX TABLES'!$G$4:$K$8,AY195,AZ195))),IF(P195="FAIL",P195,INDEX('AUX TABLES'!$G$4:$K$8,AY195,AZ195)))</f>
        <v>#VALUE!</v>
      </c>
      <c r="R195" s="150" t="e">
        <f>IF(AJ$11=FALSE,IF(B195="","",IF(AJ195="NA",P195,INDEX('AUX TABLES'!$G$4:$K$8,BB195,BC195))),IF(P195="FAIL",P195,INDEX('AUX TABLES'!$G$4:$K$8,BB195,BC195)))</f>
        <v>#VALUE!</v>
      </c>
      <c r="S195" s="69" t="e">
        <f>INDEX('AUX TABLES'!$G$4:$K$8,AM195,AN195)</f>
        <v>#VALUE!</v>
      </c>
      <c r="T195" s="69" t="e">
        <f>IF(AJ$11=FALSE,IF(AJ195="NA",S195,INDEX('AUX TABLES'!$G$4:$K$8,AP195,AQ195)),IF(S195="FAIL",S195,INDEX('AUX TABLES'!$G$4:$K$8,AP195,AQ195)))</f>
        <v>#VALUE!</v>
      </c>
      <c r="U195" s="150" t="e">
        <f>IF(AJ$11=FALSE,IF(AJ195="NA",S195,INDEX('AUX TABLES'!$G$4:$K$8,AS195,AT195)),IF(S195="FAIL",S195,INDEX('AUX TABLES'!$G$4:$K$8,AS195,AT195)))</f>
        <v>#VALUE!</v>
      </c>
      <c r="V195" s="150" t="str">
        <f t="shared" si="68"/>
        <v/>
      </c>
      <c r="W195" s="74">
        <f t="shared" si="69"/>
        <v>100.075</v>
      </c>
      <c r="X195" s="74" t="str">
        <f t="shared" si="70"/>
        <v>NA</v>
      </c>
      <c r="Y195" s="74" t="str">
        <f t="shared" si="71"/>
        <v>NA</v>
      </c>
      <c r="Z195" s="74" t="str">
        <f t="shared" si="72"/>
        <v>NA</v>
      </c>
      <c r="AA195" s="74" t="str">
        <f t="shared" si="73"/>
        <v>NA</v>
      </c>
      <c r="AB195" s="74">
        <f t="shared" si="74"/>
        <v>99.924999999999997</v>
      </c>
      <c r="AC195" s="69" t="str">
        <f>IF(ISTEXT('TECH DATA ENTRY'!L212)=TRUE,"NA",'TECH DATA ENTRY'!H212)</f>
        <v>NA</v>
      </c>
      <c r="AD195" s="69" t="str">
        <f t="shared" si="75"/>
        <v>NA</v>
      </c>
      <c r="AE195" s="69" t="str">
        <f t="shared" si="76"/>
        <v>NA</v>
      </c>
      <c r="AF195" s="69" t="e">
        <f t="shared" si="77"/>
        <v>#VALUE!</v>
      </c>
      <c r="AG195" s="69" t="e">
        <f t="shared" si="78"/>
        <v>#VALUE!</v>
      </c>
      <c r="AH195" s="69" t="e">
        <f t="shared" si="79"/>
        <v>#VALUE!</v>
      </c>
      <c r="AI195" s="69" t="e">
        <f t="shared" si="80"/>
        <v>#VALUE!</v>
      </c>
      <c r="AJ195" s="70" t="str">
        <f>IF(OR(ISTEXT('TECH DATA ENTRY'!L212)=TRUE,ISTEXT('TECH DATA ENTRY'!F212)=TRUE,ISTEXT('TECH DATA ENTRY'!G212)=TRUE),"NA",(W195-AB195)/(2*MAX(M195,L195)))</f>
        <v>NA</v>
      </c>
      <c r="AK195" s="69" t="str">
        <f t="shared" si="81"/>
        <v>NA</v>
      </c>
      <c r="AM195" s="73" t="e">
        <f t="shared" si="82"/>
        <v>#VALUE!</v>
      </c>
      <c r="AN195" s="73" t="e">
        <f t="shared" si="83"/>
        <v>#VALUE!</v>
      </c>
      <c r="AO195" s="87"/>
      <c r="AP195" s="73" t="e">
        <f t="shared" si="84"/>
        <v>#VALUE!</v>
      </c>
      <c r="AQ195" s="73" t="e">
        <f t="shared" si="85"/>
        <v>#VALUE!</v>
      </c>
      <c r="AR195" s="87"/>
      <c r="AS195" s="73" t="e">
        <f t="shared" si="86"/>
        <v>#VALUE!</v>
      </c>
      <c r="AT195" s="73" t="e">
        <f t="shared" si="87"/>
        <v>#VALUE!</v>
      </c>
      <c r="AV195" s="73" t="e">
        <f t="shared" si="88"/>
        <v>#VALUE!</v>
      </c>
      <c r="AW195" s="73" t="e">
        <f t="shared" si="89"/>
        <v>#VALUE!</v>
      </c>
      <c r="AX195" s="87"/>
      <c r="AY195" s="73" t="e">
        <f t="shared" si="90"/>
        <v>#VALUE!</v>
      </c>
      <c r="AZ195" s="73" t="e">
        <f t="shared" si="91"/>
        <v>#VALUE!</v>
      </c>
      <c r="BA195" s="87"/>
      <c r="BB195" s="73" t="e">
        <f t="shared" si="92"/>
        <v>#VALUE!</v>
      </c>
      <c r="BC195" s="73" t="e">
        <f t="shared" si="93"/>
        <v>#VALUE!</v>
      </c>
    </row>
    <row r="196" spans="1:55" s="86" customFormat="1" ht="25" customHeight="1" thickBot="1">
      <c r="A196" s="482">
        <f>IF('TECH DATA ENTRY'!A213="","",'TECH DATA ENTRY'!A213)</f>
        <v>-100</v>
      </c>
      <c r="B196" s="483">
        <f>IF('TECH DATA ENTRY'!B213="","",'TECH DATA ENTRY'!B213)</f>
        <v>-100</v>
      </c>
      <c r="C196" s="573">
        <f>IF(B196="","",IFERROR('TECH DATA ENTRY'!F213,"NA"))</f>
        <v>-100.075</v>
      </c>
      <c r="D196" s="573" t="str">
        <f>IF('TECH DATA ENTRY'!L213="","",'TECH DATA ENTRY'!L213)</f>
        <v/>
      </c>
      <c r="E196" s="573" t="str">
        <f t="shared" si="65"/>
        <v/>
      </c>
      <c r="F196" s="573">
        <f>IF(B196="","",IFERROR('TECH DATA ENTRY'!G213,"NA"))</f>
        <v>-99.924999999999997</v>
      </c>
      <c r="G196" s="574" t="str">
        <f t="shared" si="66"/>
        <v/>
      </c>
      <c r="H196" s="573" t="str">
        <f>IF(OR(ISTEXT(B196)=TRUE, D196="NA",D196=""),"NA", roundsf(MAX(L196,M196),C196))</f>
        <v>NA</v>
      </c>
      <c r="I196" s="575" t="str">
        <f t="shared" si="67"/>
        <v>NA</v>
      </c>
      <c r="J196" s="299"/>
      <c r="K196" s="245"/>
      <c r="L196" s="506">
        <f t="shared" si="94"/>
        <v>1.03E-2</v>
      </c>
      <c r="M196" s="244" t="str">
        <f>UNC_CALCULATION!AM185</f>
        <v>NA</v>
      </c>
      <c r="N196" s="85"/>
      <c r="O196" s="58"/>
      <c r="P196" s="69" t="e">
        <f>IF(B196="","",INDEX('AUX TABLES'!$G$4:$K$8,AV196,AW196))</f>
        <v>#VALUE!</v>
      </c>
      <c r="Q196" s="150" t="e">
        <f>IF(AJ$11=FALSE,IF(B196="","",IF(AJ196="NA",P196,INDEX('AUX TABLES'!$G$4:$K$8,AY196,AZ196))),IF(P196="FAIL",P196,INDEX('AUX TABLES'!$G$4:$K$8,AY196,AZ196)))</f>
        <v>#VALUE!</v>
      </c>
      <c r="R196" s="150" t="e">
        <f>IF(AJ$11=FALSE,IF(B196="","",IF(AJ196="NA",P196,INDEX('AUX TABLES'!$G$4:$K$8,BB196,BC196))),IF(P196="FAIL",P196,INDEX('AUX TABLES'!$G$4:$K$8,BB196,BC196)))</f>
        <v>#VALUE!</v>
      </c>
      <c r="S196" s="69" t="e">
        <f>INDEX('AUX TABLES'!$G$4:$K$8,AM196,AN196)</f>
        <v>#VALUE!</v>
      </c>
      <c r="T196" s="69" t="e">
        <f>IF(AJ$11=FALSE,IF(AJ196="NA",S196,INDEX('AUX TABLES'!$G$4:$K$8,AP196,AQ196)),IF(S196="FAIL",S196,INDEX('AUX TABLES'!$G$4:$K$8,AP196,AQ196)))</f>
        <v>#VALUE!</v>
      </c>
      <c r="U196" s="150" t="e">
        <f>IF(AJ$11=FALSE,IF(AJ196="NA",S196,INDEX('AUX TABLES'!$G$4:$K$8,AS196,AT196)),IF(S196="FAIL",S196,INDEX('AUX TABLES'!$G$4:$K$8,AS196,AT196)))</f>
        <v>#VALUE!</v>
      </c>
      <c r="V196" s="150" t="str">
        <f t="shared" si="68"/>
        <v/>
      </c>
      <c r="W196" s="74">
        <f t="shared" si="69"/>
        <v>-99.924999999999997</v>
      </c>
      <c r="X196" s="74" t="str">
        <f t="shared" si="70"/>
        <v>NA</v>
      </c>
      <c r="Y196" s="74" t="str">
        <f t="shared" si="71"/>
        <v>NA</v>
      </c>
      <c r="Z196" s="74" t="str">
        <f t="shared" si="72"/>
        <v>NA</v>
      </c>
      <c r="AA196" s="74" t="str">
        <f t="shared" si="73"/>
        <v>NA</v>
      </c>
      <c r="AB196" s="74">
        <f t="shared" si="74"/>
        <v>-100.075</v>
      </c>
      <c r="AC196" s="69" t="str">
        <f>IF(ISTEXT('TECH DATA ENTRY'!L213)=TRUE,"NA",'TECH DATA ENTRY'!H213)</f>
        <v>NA</v>
      </c>
      <c r="AD196" s="69" t="str">
        <f t="shared" si="75"/>
        <v>NA</v>
      </c>
      <c r="AE196" s="69" t="str">
        <f t="shared" si="76"/>
        <v>NA</v>
      </c>
      <c r="AF196" s="69" t="e">
        <f t="shared" si="77"/>
        <v>#VALUE!</v>
      </c>
      <c r="AG196" s="69" t="e">
        <f t="shared" si="78"/>
        <v>#VALUE!</v>
      </c>
      <c r="AH196" s="69" t="e">
        <f t="shared" si="79"/>
        <v>#VALUE!</v>
      </c>
      <c r="AI196" s="69" t="e">
        <f t="shared" si="80"/>
        <v>#VALUE!</v>
      </c>
      <c r="AJ196" s="70" t="str">
        <f>IF(OR(ISTEXT('TECH DATA ENTRY'!L213)=TRUE,ISTEXT('TECH DATA ENTRY'!F213)=TRUE,ISTEXT('TECH DATA ENTRY'!G213)=TRUE),"NA",(W196-AB196)/(2*MAX(M196,L196)))</f>
        <v>NA</v>
      </c>
      <c r="AK196" s="69" t="str">
        <f t="shared" si="81"/>
        <v>NA</v>
      </c>
      <c r="AM196" s="73" t="e">
        <f t="shared" si="82"/>
        <v>#VALUE!</v>
      </c>
      <c r="AN196" s="73" t="e">
        <f t="shared" si="83"/>
        <v>#VALUE!</v>
      </c>
      <c r="AO196" s="87"/>
      <c r="AP196" s="73" t="e">
        <f t="shared" si="84"/>
        <v>#VALUE!</v>
      </c>
      <c r="AQ196" s="73" t="e">
        <f t="shared" si="85"/>
        <v>#VALUE!</v>
      </c>
      <c r="AR196" s="87"/>
      <c r="AS196" s="73" t="e">
        <f t="shared" si="86"/>
        <v>#VALUE!</v>
      </c>
      <c r="AT196" s="73" t="e">
        <f t="shared" si="87"/>
        <v>#VALUE!</v>
      </c>
      <c r="AV196" s="73" t="e">
        <f t="shared" si="88"/>
        <v>#VALUE!</v>
      </c>
      <c r="AW196" s="73" t="e">
        <f t="shared" si="89"/>
        <v>#VALUE!</v>
      </c>
      <c r="AX196" s="87"/>
      <c r="AY196" s="73" t="e">
        <f t="shared" si="90"/>
        <v>#VALUE!</v>
      </c>
      <c r="AZ196" s="73" t="e">
        <f t="shared" si="91"/>
        <v>#VALUE!</v>
      </c>
      <c r="BA196" s="87"/>
      <c r="BB196" s="73" t="e">
        <f t="shared" si="92"/>
        <v>#VALUE!</v>
      </c>
      <c r="BC196" s="73" t="e">
        <f t="shared" si="93"/>
        <v>#VALUE!</v>
      </c>
    </row>
    <row r="197" spans="1:55" s="296" customFormat="1" ht="28.15" customHeight="1">
      <c r="A197" s="550" t="str">
        <f>IF('TECH DATA ENTRY'!A214="","",'TECH DATA ENTRY'!A214)</f>
        <v/>
      </c>
      <c r="B197" s="551"/>
      <c r="C197" s="552"/>
      <c r="D197" s="551"/>
      <c r="E197" s="551"/>
      <c r="F197" s="551"/>
      <c r="G197" s="552"/>
      <c r="H197" s="551"/>
      <c r="I197" s="553"/>
      <c r="J197" s="224"/>
      <c r="K197" s="224"/>
      <c r="L197" s="224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AK197" s="297"/>
    </row>
    <row r="198" spans="1:55" s="31" customFormat="1" ht="22.15" customHeight="1">
      <c r="A198" s="76" t="str">
        <f>IF('TECH DATA ENTRY'!A215="","",'TECH DATA ENTRY'!A215)</f>
        <v>Range 1 mA</v>
      </c>
      <c r="H198" s="321"/>
      <c r="O198" s="77"/>
      <c r="AK198" s="1"/>
      <c r="AM198" s="637" t="s">
        <v>116</v>
      </c>
      <c r="AN198" s="637"/>
      <c r="AO198" s="637"/>
      <c r="AP198" s="637"/>
      <c r="AQ198" s="637"/>
      <c r="AR198" s="637"/>
      <c r="AS198" s="637"/>
      <c r="AT198" s="637"/>
      <c r="AV198" s="637" t="s">
        <v>117</v>
      </c>
      <c r="AW198" s="637"/>
      <c r="AX198" s="637"/>
      <c r="AY198" s="637"/>
      <c r="AZ198" s="637"/>
      <c r="BA198" s="637"/>
      <c r="BB198" s="637"/>
      <c r="BC198" s="637"/>
    </row>
    <row r="199" spans="1:55" s="225" customFormat="1" ht="4.9000000000000004" customHeight="1" thickBot="1">
      <c r="A199" s="288" t="str">
        <f>IF('TECH DATA ENTRY'!A216="","",'TECH DATA ENTRY'!A216)</f>
        <v/>
      </c>
      <c r="K199" s="239"/>
      <c r="L199" s="239"/>
      <c r="AK199" s="240"/>
    </row>
    <row r="200" spans="1:55" s="285" customFormat="1" ht="20.149999999999999" customHeight="1">
      <c r="A200" s="644" t="str">
        <f>IF('TECH DATA ENTRY'!A217="","",'TECH DATA ENTRY'!A217)</f>
        <v>Function Tested</v>
      </c>
      <c r="B200" s="646" t="str">
        <f>IF('TECH DATA ENTRY'!B217="","",'TECH DATA ENTRY'!B217)</f>
        <v>Nominal</v>
      </c>
      <c r="C200" s="648" t="s">
        <v>2</v>
      </c>
      <c r="D200" s="648" t="str">
        <f>IF(LEFT(P$11,3)="ROV", "Measured Value", "As Found")</f>
        <v>As Found</v>
      </c>
      <c r="E200" s="648" t="str">
        <f>IF(LEFT(P$11,3)="ROV", "Correction", "As Left")</f>
        <v>As Left</v>
      </c>
      <c r="F200" s="648" t="s">
        <v>3</v>
      </c>
      <c r="G200" s="653" t="s">
        <v>4</v>
      </c>
      <c r="H200" s="659" t="s">
        <v>30</v>
      </c>
      <c r="I200" s="661" t="s">
        <v>28</v>
      </c>
      <c r="J200" s="284"/>
      <c r="L200" s="658" t="s">
        <v>38</v>
      </c>
      <c r="M200" s="616" t="s">
        <v>31</v>
      </c>
      <c r="N200" s="281"/>
      <c r="O200" s="286"/>
      <c r="P200" s="640" t="s">
        <v>136</v>
      </c>
      <c r="Q200" s="641"/>
      <c r="R200" s="642"/>
      <c r="S200" s="638" t="s">
        <v>115</v>
      </c>
      <c r="T200" s="638"/>
      <c r="U200" s="638"/>
      <c r="V200" s="638"/>
      <c r="W200" s="640" t="s">
        <v>64</v>
      </c>
      <c r="X200" s="641"/>
      <c r="Y200" s="641"/>
      <c r="Z200" s="641"/>
      <c r="AA200" s="641"/>
      <c r="AB200" s="642"/>
      <c r="AC200" s="638" t="s">
        <v>97</v>
      </c>
      <c r="AD200" s="638"/>
      <c r="AE200" s="638"/>
      <c r="AF200" s="638" t="s">
        <v>127</v>
      </c>
      <c r="AG200" s="638"/>
      <c r="AH200" s="638" t="s">
        <v>128</v>
      </c>
      <c r="AI200" s="638"/>
      <c r="AJ200" s="638" t="s">
        <v>28</v>
      </c>
      <c r="AK200" s="638" t="s">
        <v>121</v>
      </c>
      <c r="AL200" s="308"/>
      <c r="AM200" s="639" t="s">
        <v>122</v>
      </c>
      <c r="AN200" s="639"/>
      <c r="AO200" s="308"/>
      <c r="AP200" s="639" t="s">
        <v>119</v>
      </c>
      <c r="AQ200" s="639"/>
      <c r="AR200" s="308"/>
      <c r="AS200" s="639" t="s">
        <v>120</v>
      </c>
      <c r="AT200" s="639"/>
      <c r="AU200" s="308"/>
      <c r="AV200" s="639" t="s">
        <v>122</v>
      </c>
      <c r="AW200" s="639"/>
      <c r="AX200" s="308"/>
      <c r="AY200" s="639" t="s">
        <v>119</v>
      </c>
      <c r="AZ200" s="639"/>
      <c r="BA200" s="308"/>
      <c r="BB200" s="639" t="s">
        <v>120</v>
      </c>
      <c r="BC200" s="639"/>
    </row>
    <row r="201" spans="1:55" s="285" customFormat="1" ht="20.149999999999999" customHeight="1" thickBot="1">
      <c r="A201" s="645"/>
      <c r="B201" s="647"/>
      <c r="C201" s="649"/>
      <c r="D201" s="649"/>
      <c r="E201" s="649"/>
      <c r="F201" s="649"/>
      <c r="G201" s="654"/>
      <c r="H201" s="660"/>
      <c r="I201" s="662"/>
      <c r="J201" s="284"/>
      <c r="L201" s="649"/>
      <c r="M201" s="617"/>
      <c r="O201" s="281"/>
      <c r="P201" s="309" t="s">
        <v>122</v>
      </c>
      <c r="Q201" s="309" t="s">
        <v>119</v>
      </c>
      <c r="R201" s="309" t="s">
        <v>120</v>
      </c>
      <c r="S201" s="309" t="s">
        <v>122</v>
      </c>
      <c r="T201" s="309" t="s">
        <v>119</v>
      </c>
      <c r="U201" s="309" t="s">
        <v>120</v>
      </c>
      <c r="V201" s="309" t="s">
        <v>118</v>
      </c>
      <c r="W201" s="309" t="s">
        <v>63</v>
      </c>
      <c r="X201" s="309" t="s">
        <v>69</v>
      </c>
      <c r="Y201" s="309" t="s">
        <v>71</v>
      </c>
      <c r="Z201" s="309" t="s">
        <v>72</v>
      </c>
      <c r="AA201" s="309" t="s">
        <v>70</v>
      </c>
      <c r="AB201" s="309" t="s">
        <v>75</v>
      </c>
      <c r="AC201" s="309" t="s">
        <v>78</v>
      </c>
      <c r="AD201" s="309" t="s">
        <v>119</v>
      </c>
      <c r="AE201" s="309" t="s">
        <v>120</v>
      </c>
      <c r="AF201" s="309" t="s">
        <v>129</v>
      </c>
      <c r="AG201" s="309" t="s">
        <v>130</v>
      </c>
      <c r="AH201" s="309" t="s">
        <v>129</v>
      </c>
      <c r="AI201" s="309" t="s">
        <v>130</v>
      </c>
      <c r="AJ201" s="652"/>
      <c r="AK201" s="652"/>
      <c r="AL201" s="308"/>
      <c r="AM201" s="310" t="s">
        <v>67</v>
      </c>
      <c r="AN201" s="310" t="s">
        <v>68</v>
      </c>
      <c r="AO201" s="308"/>
      <c r="AP201" s="310" t="s">
        <v>67</v>
      </c>
      <c r="AQ201" s="310" t="s">
        <v>68</v>
      </c>
      <c r="AR201" s="308"/>
      <c r="AS201" s="310" t="s">
        <v>67</v>
      </c>
      <c r="AT201" s="310" t="s">
        <v>68</v>
      </c>
      <c r="AU201" s="308"/>
      <c r="AV201" s="310" t="s">
        <v>67</v>
      </c>
      <c r="AW201" s="310" t="s">
        <v>68</v>
      </c>
      <c r="AX201" s="308"/>
      <c r="AY201" s="310" t="s">
        <v>67</v>
      </c>
      <c r="AZ201" s="310" t="s">
        <v>68</v>
      </c>
      <c r="BA201" s="308"/>
      <c r="BB201" s="310" t="s">
        <v>67</v>
      </c>
      <c r="BC201" s="310" t="s">
        <v>68</v>
      </c>
    </row>
    <row r="202" spans="1:55" s="86" customFormat="1" ht="25" customHeight="1" thickTop="1">
      <c r="A202" s="479">
        <f>IF('TECH DATA ENTRY'!A219="","",'TECH DATA ENTRY'!A219)</f>
        <v>0</v>
      </c>
      <c r="B202" s="444">
        <f>IF('TECH DATA ENTRY'!B219="","",'TECH DATA ENTRY'!B219)</f>
        <v>0</v>
      </c>
      <c r="C202" s="559">
        <f>IF(B202="","",IFERROR('TECH DATA ENTRY'!F219,"NA"))</f>
        <v>-5.0000000000000002E-5</v>
      </c>
      <c r="D202" s="559" t="str">
        <f>IF('TECH DATA ENTRY'!L219="","",'TECH DATA ENTRY'!L219)</f>
        <v/>
      </c>
      <c r="E202" s="559" t="str">
        <f t="shared" si="65"/>
        <v/>
      </c>
      <c r="F202" s="559">
        <f>IF(B202="","",IFERROR('TECH DATA ENTRY'!G219,"NA"))</f>
        <v>5.0000000000000002E-5</v>
      </c>
      <c r="G202" s="560" t="str">
        <f t="shared" si="66"/>
        <v/>
      </c>
      <c r="H202" s="559" t="str">
        <f>IF(OR(ISTEXT(B202)=TRUE, D202="NA",D202=""),"NA", roundsf(MAX(L202,M202),C202))</f>
        <v>NA</v>
      </c>
      <c r="I202" s="558" t="str">
        <f t="shared" si="67"/>
        <v>NA</v>
      </c>
      <c r="J202" s="299"/>
      <c r="K202" s="245"/>
      <c r="L202" s="506">
        <f>(57/1000000)*ABS(B202)+(7/1000000)</f>
        <v>6.9999999999999999E-6</v>
      </c>
      <c r="M202" s="244" t="str">
        <f>UNC_CALCULATION!AM191</f>
        <v>NA</v>
      </c>
      <c r="N202" s="85"/>
      <c r="O202" s="58"/>
      <c r="P202" s="69" t="e">
        <f>IF(B202="","",INDEX('AUX TABLES'!$G$4:$K$8,AV202,AW202))</f>
        <v>#VALUE!</v>
      </c>
      <c r="Q202" s="150" t="e">
        <f>IF(AJ$11=FALSE,IF(B202="","",IF(AJ202="NA",P202,INDEX('AUX TABLES'!$G$4:$K$8,AY202,AZ202))),IF(P202="FAIL",P202,INDEX('AUX TABLES'!$G$4:$K$8,AY202,AZ202)))</f>
        <v>#VALUE!</v>
      </c>
      <c r="R202" s="150" t="e">
        <f>IF(AJ$11=FALSE,IF(B202="","",IF(AJ202="NA",P202,INDEX('AUX TABLES'!$G$4:$K$8,BB202,BC202))),IF(P202="FAIL",P202,INDEX('AUX TABLES'!$G$4:$K$8,BB202,BC202)))</f>
        <v>#VALUE!</v>
      </c>
      <c r="S202" s="69" t="e">
        <f>INDEX('AUX TABLES'!$G$4:$K$8,AM202,AN202)</f>
        <v>#VALUE!</v>
      </c>
      <c r="T202" s="69" t="e">
        <f>IF(AJ$11=FALSE,IF(AJ202="NA",S202,INDEX('AUX TABLES'!$G$4:$K$8,AP202,AQ202)),IF(S202="FAIL",S202,INDEX('AUX TABLES'!$G$4:$K$8,AP202,AQ202)))</f>
        <v>#VALUE!</v>
      </c>
      <c r="U202" s="150" t="e">
        <f>IF(AJ$11=FALSE,IF(AJ202="NA",S202,INDEX('AUX TABLES'!$G$4:$K$8,AS202,AT202)),IF(S202="FAIL",S202,INDEX('AUX TABLES'!$G$4:$K$8,AS202,AT202)))</f>
        <v>#VALUE!</v>
      </c>
      <c r="V202" s="150" t="str">
        <f t="shared" si="68"/>
        <v/>
      </c>
      <c r="W202" s="74">
        <f t="shared" si="69"/>
        <v>5.0000000000000002E-5</v>
      </c>
      <c r="X202" s="74" t="str">
        <f t="shared" si="70"/>
        <v>NA</v>
      </c>
      <c r="Y202" s="74" t="str">
        <f t="shared" si="71"/>
        <v>NA</v>
      </c>
      <c r="Z202" s="74" t="str">
        <f t="shared" si="72"/>
        <v>NA</v>
      </c>
      <c r="AA202" s="74" t="str">
        <f t="shared" si="73"/>
        <v>NA</v>
      </c>
      <c r="AB202" s="74">
        <f t="shared" si="74"/>
        <v>-5.0000000000000002E-5</v>
      </c>
      <c r="AC202" s="69" t="str">
        <f>IF(ISTEXT('TECH DATA ENTRY'!L219)=TRUE,"NA",'TECH DATA ENTRY'!H219)</f>
        <v>NA</v>
      </c>
      <c r="AD202" s="69" t="str">
        <f t="shared" si="75"/>
        <v>NA</v>
      </c>
      <c r="AE202" s="69" t="str">
        <f t="shared" si="76"/>
        <v>NA</v>
      </c>
      <c r="AF202" s="69" t="e">
        <f t="shared" si="77"/>
        <v>#VALUE!</v>
      </c>
      <c r="AG202" s="69" t="e">
        <f t="shared" si="78"/>
        <v>#VALUE!</v>
      </c>
      <c r="AH202" s="69" t="e">
        <f t="shared" si="79"/>
        <v>#VALUE!</v>
      </c>
      <c r="AI202" s="69" t="e">
        <f t="shared" si="80"/>
        <v>#VALUE!</v>
      </c>
      <c r="AJ202" s="70" t="str">
        <f>IF(OR(ISTEXT('TECH DATA ENTRY'!L219)=TRUE,ISTEXT('TECH DATA ENTRY'!F219)=TRUE,ISTEXT('TECH DATA ENTRY'!G219)=TRUE),"NA",(W202-AB202)/(2*MAX(M202,L202)))</f>
        <v>NA</v>
      </c>
      <c r="AK202" s="69" t="str">
        <f t="shared" si="81"/>
        <v>NA</v>
      </c>
      <c r="AM202" s="73" t="e">
        <f t="shared" si="82"/>
        <v>#VALUE!</v>
      </c>
      <c r="AN202" s="73" t="e">
        <f t="shared" si="83"/>
        <v>#VALUE!</v>
      </c>
      <c r="AO202" s="87"/>
      <c r="AP202" s="73" t="e">
        <f t="shared" si="84"/>
        <v>#VALUE!</v>
      </c>
      <c r="AQ202" s="73" t="e">
        <f t="shared" si="85"/>
        <v>#VALUE!</v>
      </c>
      <c r="AR202" s="87"/>
      <c r="AS202" s="73" t="e">
        <f t="shared" si="86"/>
        <v>#VALUE!</v>
      </c>
      <c r="AT202" s="73" t="e">
        <f t="shared" si="87"/>
        <v>#VALUE!</v>
      </c>
      <c r="AV202" s="73" t="e">
        <f t="shared" si="88"/>
        <v>#VALUE!</v>
      </c>
      <c r="AW202" s="73" t="e">
        <f t="shared" si="89"/>
        <v>#VALUE!</v>
      </c>
      <c r="AX202" s="87"/>
      <c r="AY202" s="73" t="e">
        <f t="shared" si="90"/>
        <v>#VALUE!</v>
      </c>
      <c r="AZ202" s="73" t="e">
        <f t="shared" si="91"/>
        <v>#VALUE!</v>
      </c>
      <c r="BA202" s="87"/>
      <c r="BB202" s="73" t="e">
        <f t="shared" si="92"/>
        <v>#VALUE!</v>
      </c>
      <c r="BC202" s="73" t="e">
        <f t="shared" si="93"/>
        <v>#VALUE!</v>
      </c>
    </row>
    <row r="203" spans="1:55" s="86" customFormat="1" ht="25" customHeight="1">
      <c r="A203" s="479">
        <f>IF('TECH DATA ENTRY'!A220="","",'TECH DATA ENTRY'!A220)</f>
        <v>1</v>
      </c>
      <c r="B203" s="444">
        <f>IF('TECH DATA ENTRY'!B220="","",'TECH DATA ENTRY'!B220)</f>
        <v>1</v>
      </c>
      <c r="C203" s="444">
        <f>IF(B203="","",IFERROR('TECH DATA ENTRY'!F220,"NA"))</f>
        <v>0.99944999999999995</v>
      </c>
      <c r="D203" s="444" t="str">
        <f>IF('TECH DATA ENTRY'!L220="","",'TECH DATA ENTRY'!L220)</f>
        <v/>
      </c>
      <c r="E203" s="444" t="str">
        <f t="shared" si="65"/>
        <v/>
      </c>
      <c r="F203" s="444">
        <f>IF(B203="","",IFERROR('TECH DATA ENTRY'!G220,"NA"))</f>
        <v>1.0005500000000001</v>
      </c>
      <c r="G203" s="591" t="str">
        <f t="shared" si="66"/>
        <v/>
      </c>
      <c r="H203" s="444" t="str">
        <f>IF(OR(ISTEXT(B203)=TRUE, D203="NA",D203=""),"NA", roundsf(MAX(L203,M203),C203))</f>
        <v>NA</v>
      </c>
      <c r="I203" s="325" t="str">
        <f t="shared" si="67"/>
        <v>NA</v>
      </c>
      <c r="J203" s="299"/>
      <c r="K203" s="245"/>
      <c r="L203" s="506">
        <f t="shared" ref="L203:L204" si="95">(57/1000000)*ABS(B203)+(7/1000000)</f>
        <v>6.3999999999999997E-5</v>
      </c>
      <c r="M203" s="244" t="str">
        <f>UNC_CALCULATION!AM192</f>
        <v>NA</v>
      </c>
      <c r="N203" s="85"/>
      <c r="O203" s="58"/>
      <c r="P203" s="69" t="e">
        <f>IF(B203="","",INDEX('AUX TABLES'!$G$4:$K$8,AV203,AW203))</f>
        <v>#VALUE!</v>
      </c>
      <c r="Q203" s="150" t="e">
        <f>IF(AJ$11=FALSE,IF(B203="","",IF(AJ203="NA",P203,INDEX('AUX TABLES'!$G$4:$K$8,AY203,AZ203))),IF(P203="FAIL",P203,INDEX('AUX TABLES'!$G$4:$K$8,AY203,AZ203)))</f>
        <v>#VALUE!</v>
      </c>
      <c r="R203" s="150" t="e">
        <f>IF(AJ$11=FALSE,IF(B203="","",IF(AJ203="NA",P203,INDEX('AUX TABLES'!$G$4:$K$8,BB203,BC203))),IF(P203="FAIL",P203,INDEX('AUX TABLES'!$G$4:$K$8,BB203,BC203)))</f>
        <v>#VALUE!</v>
      </c>
      <c r="S203" s="69" t="e">
        <f>INDEX('AUX TABLES'!$G$4:$K$8,AM203,AN203)</f>
        <v>#VALUE!</v>
      </c>
      <c r="T203" s="69" t="e">
        <f>IF(AJ$11=FALSE,IF(AJ203="NA",S203,INDEX('AUX TABLES'!$G$4:$K$8,AP203,AQ203)),IF(S203="FAIL",S203,INDEX('AUX TABLES'!$G$4:$K$8,AP203,AQ203)))</f>
        <v>#VALUE!</v>
      </c>
      <c r="U203" s="150" t="e">
        <f>IF(AJ$11=FALSE,IF(AJ203="NA",S203,INDEX('AUX TABLES'!$G$4:$K$8,AS203,AT203)),IF(S203="FAIL",S203,INDEX('AUX TABLES'!$G$4:$K$8,AS203,AT203)))</f>
        <v>#VALUE!</v>
      </c>
      <c r="V203" s="150" t="str">
        <f t="shared" si="68"/>
        <v/>
      </c>
      <c r="W203" s="74">
        <f t="shared" si="69"/>
        <v>1.0005500000000001</v>
      </c>
      <c r="X203" s="74" t="str">
        <f t="shared" si="70"/>
        <v>NA</v>
      </c>
      <c r="Y203" s="74" t="str">
        <f t="shared" si="71"/>
        <v>NA</v>
      </c>
      <c r="Z203" s="74" t="str">
        <f t="shared" si="72"/>
        <v>NA</v>
      </c>
      <c r="AA203" s="74" t="str">
        <f t="shared" si="73"/>
        <v>NA</v>
      </c>
      <c r="AB203" s="74">
        <f t="shared" si="74"/>
        <v>0.99944999999999995</v>
      </c>
      <c r="AC203" s="69" t="str">
        <f>IF(ISTEXT('TECH DATA ENTRY'!L220)=TRUE,"NA",'TECH DATA ENTRY'!H220)</f>
        <v>NA</v>
      </c>
      <c r="AD203" s="69" t="str">
        <f t="shared" si="75"/>
        <v>NA</v>
      </c>
      <c r="AE203" s="69" t="str">
        <f t="shared" si="76"/>
        <v>NA</v>
      </c>
      <c r="AF203" s="69" t="e">
        <f t="shared" si="77"/>
        <v>#VALUE!</v>
      </c>
      <c r="AG203" s="69" t="e">
        <f t="shared" si="78"/>
        <v>#VALUE!</v>
      </c>
      <c r="AH203" s="69" t="e">
        <f t="shared" si="79"/>
        <v>#VALUE!</v>
      </c>
      <c r="AI203" s="69" t="e">
        <f t="shared" si="80"/>
        <v>#VALUE!</v>
      </c>
      <c r="AJ203" s="70" t="str">
        <f>IF(OR(ISTEXT('TECH DATA ENTRY'!L220)=TRUE,ISTEXT('TECH DATA ENTRY'!F220)=TRUE,ISTEXT('TECH DATA ENTRY'!G220)=TRUE),"NA",(W203-AB203)/(2*MAX(M203,L203)))</f>
        <v>NA</v>
      </c>
      <c r="AK203" s="69" t="str">
        <f t="shared" si="81"/>
        <v>NA</v>
      </c>
      <c r="AM203" s="73" t="e">
        <f t="shared" si="82"/>
        <v>#VALUE!</v>
      </c>
      <c r="AN203" s="73" t="e">
        <f t="shared" si="83"/>
        <v>#VALUE!</v>
      </c>
      <c r="AO203" s="87"/>
      <c r="AP203" s="73" t="e">
        <f t="shared" si="84"/>
        <v>#VALUE!</v>
      </c>
      <c r="AQ203" s="73" t="e">
        <f t="shared" si="85"/>
        <v>#VALUE!</v>
      </c>
      <c r="AR203" s="87"/>
      <c r="AS203" s="73" t="e">
        <f t="shared" si="86"/>
        <v>#VALUE!</v>
      </c>
      <c r="AT203" s="73" t="e">
        <f t="shared" si="87"/>
        <v>#VALUE!</v>
      </c>
      <c r="AV203" s="73" t="e">
        <f t="shared" si="88"/>
        <v>#VALUE!</v>
      </c>
      <c r="AW203" s="73" t="e">
        <f t="shared" si="89"/>
        <v>#VALUE!</v>
      </c>
      <c r="AX203" s="87"/>
      <c r="AY203" s="73" t="e">
        <f t="shared" si="90"/>
        <v>#VALUE!</v>
      </c>
      <c r="AZ203" s="73" t="e">
        <f t="shared" si="91"/>
        <v>#VALUE!</v>
      </c>
      <c r="BA203" s="87"/>
      <c r="BB203" s="73" t="e">
        <f t="shared" si="92"/>
        <v>#VALUE!</v>
      </c>
      <c r="BC203" s="73" t="e">
        <f t="shared" si="93"/>
        <v>#VALUE!</v>
      </c>
    </row>
    <row r="204" spans="1:55" s="86" customFormat="1" ht="25" customHeight="1" thickBot="1">
      <c r="A204" s="480">
        <f>IF('TECH DATA ENTRY'!A221="","",'TECH DATA ENTRY'!A221)</f>
        <v>-1</v>
      </c>
      <c r="B204" s="473">
        <f>IF('TECH DATA ENTRY'!B221="","",'TECH DATA ENTRY'!B221)</f>
        <v>-1</v>
      </c>
      <c r="C204" s="576">
        <f>IF(B204="","",IFERROR('TECH DATA ENTRY'!F221,"NA"))</f>
        <v>-1.0005500000000001</v>
      </c>
      <c r="D204" s="576" t="str">
        <f>IF('TECH DATA ENTRY'!L221="","",'TECH DATA ENTRY'!L221)</f>
        <v/>
      </c>
      <c r="E204" s="576" t="str">
        <f t="shared" si="65"/>
        <v/>
      </c>
      <c r="F204" s="576">
        <f>IF(B204="","",IFERROR('TECH DATA ENTRY'!G221,"NA"))</f>
        <v>-0.99944999999999995</v>
      </c>
      <c r="G204" s="577" t="str">
        <f t="shared" si="66"/>
        <v/>
      </c>
      <c r="H204" s="576" t="str">
        <f>IF(OR(ISTEXT(B204)=TRUE, D204="NA",D204=""),"NA", roundsf(MAX(L204,M204),C204))</f>
        <v>NA</v>
      </c>
      <c r="I204" s="575" t="str">
        <f t="shared" si="67"/>
        <v>NA</v>
      </c>
      <c r="J204" s="299"/>
      <c r="K204" s="245"/>
      <c r="L204" s="506">
        <f t="shared" si="95"/>
        <v>6.3999999999999997E-5</v>
      </c>
      <c r="M204" s="244" t="str">
        <f>UNC_CALCULATION!AM193</f>
        <v>NA</v>
      </c>
      <c r="N204" s="85"/>
      <c r="O204" s="58"/>
      <c r="P204" s="69" t="e">
        <f>IF(B204="","",INDEX('AUX TABLES'!$G$4:$K$8,AV204,AW204))</f>
        <v>#VALUE!</v>
      </c>
      <c r="Q204" s="150" t="e">
        <f>IF(AJ$11=FALSE,IF(B204="","",IF(AJ204="NA",P204,INDEX('AUX TABLES'!$G$4:$K$8,AY204,AZ204))),IF(P204="FAIL",P204,INDEX('AUX TABLES'!$G$4:$K$8,AY204,AZ204)))</f>
        <v>#VALUE!</v>
      </c>
      <c r="R204" s="150" t="e">
        <f>IF(AJ$11=FALSE,IF(B204="","",IF(AJ204="NA",P204,INDEX('AUX TABLES'!$G$4:$K$8,BB204,BC204))),IF(P204="FAIL",P204,INDEX('AUX TABLES'!$G$4:$K$8,BB204,BC204)))</f>
        <v>#VALUE!</v>
      </c>
      <c r="S204" s="69" t="e">
        <f>INDEX('AUX TABLES'!$G$4:$K$8,AM204,AN204)</f>
        <v>#VALUE!</v>
      </c>
      <c r="T204" s="69" t="e">
        <f>IF(AJ$11=FALSE,IF(AJ204="NA",S204,INDEX('AUX TABLES'!$G$4:$K$8,AP204,AQ204)),IF(S204="FAIL",S204,INDEX('AUX TABLES'!$G$4:$K$8,AP204,AQ204)))</f>
        <v>#VALUE!</v>
      </c>
      <c r="U204" s="150" t="e">
        <f>IF(AJ$11=FALSE,IF(AJ204="NA",S204,INDEX('AUX TABLES'!$G$4:$K$8,AS204,AT204)),IF(S204="FAIL",S204,INDEX('AUX TABLES'!$G$4:$K$8,AS204,AT204)))</f>
        <v>#VALUE!</v>
      </c>
      <c r="V204" s="150" t="str">
        <f t="shared" si="68"/>
        <v/>
      </c>
      <c r="W204" s="74">
        <f t="shared" si="69"/>
        <v>-0.99944999999999995</v>
      </c>
      <c r="X204" s="74" t="str">
        <f t="shared" si="70"/>
        <v>NA</v>
      </c>
      <c r="Y204" s="74" t="str">
        <f t="shared" si="71"/>
        <v>NA</v>
      </c>
      <c r="Z204" s="74" t="str">
        <f t="shared" si="72"/>
        <v>NA</v>
      </c>
      <c r="AA204" s="74" t="str">
        <f t="shared" si="73"/>
        <v>NA</v>
      </c>
      <c r="AB204" s="74">
        <f t="shared" si="74"/>
        <v>-1.0005500000000001</v>
      </c>
      <c r="AC204" s="69" t="str">
        <f>IF(ISTEXT('TECH DATA ENTRY'!L221)=TRUE,"NA",'TECH DATA ENTRY'!H221)</f>
        <v>NA</v>
      </c>
      <c r="AD204" s="69" t="str">
        <f t="shared" si="75"/>
        <v>NA</v>
      </c>
      <c r="AE204" s="69" t="str">
        <f t="shared" si="76"/>
        <v>NA</v>
      </c>
      <c r="AF204" s="69" t="e">
        <f t="shared" si="77"/>
        <v>#VALUE!</v>
      </c>
      <c r="AG204" s="69" t="e">
        <f t="shared" si="78"/>
        <v>#VALUE!</v>
      </c>
      <c r="AH204" s="69" t="e">
        <f t="shared" si="79"/>
        <v>#VALUE!</v>
      </c>
      <c r="AI204" s="69" t="e">
        <f t="shared" si="80"/>
        <v>#VALUE!</v>
      </c>
      <c r="AJ204" s="70" t="str">
        <f>IF(OR(ISTEXT('TECH DATA ENTRY'!L221)=TRUE,ISTEXT('TECH DATA ENTRY'!F221)=TRUE,ISTEXT('TECH DATA ENTRY'!G221)=TRUE),"NA",(W204-AB204)/(2*MAX(M204,L204)))</f>
        <v>NA</v>
      </c>
      <c r="AK204" s="69" t="str">
        <f t="shared" si="81"/>
        <v>NA</v>
      </c>
      <c r="AM204" s="73" t="e">
        <f t="shared" si="82"/>
        <v>#VALUE!</v>
      </c>
      <c r="AN204" s="73" t="e">
        <f t="shared" si="83"/>
        <v>#VALUE!</v>
      </c>
      <c r="AO204" s="87"/>
      <c r="AP204" s="73" t="e">
        <f t="shared" si="84"/>
        <v>#VALUE!</v>
      </c>
      <c r="AQ204" s="73" t="e">
        <f t="shared" si="85"/>
        <v>#VALUE!</v>
      </c>
      <c r="AR204" s="87"/>
      <c r="AS204" s="73" t="e">
        <f t="shared" si="86"/>
        <v>#VALUE!</v>
      </c>
      <c r="AT204" s="73" t="e">
        <f t="shared" si="87"/>
        <v>#VALUE!</v>
      </c>
      <c r="AV204" s="73" t="e">
        <f t="shared" si="88"/>
        <v>#VALUE!</v>
      </c>
      <c r="AW204" s="73" t="e">
        <f t="shared" si="89"/>
        <v>#VALUE!</v>
      </c>
      <c r="AX204" s="87"/>
      <c r="AY204" s="73" t="e">
        <f t="shared" si="90"/>
        <v>#VALUE!</v>
      </c>
      <c r="AZ204" s="73" t="e">
        <f t="shared" si="91"/>
        <v>#VALUE!</v>
      </c>
      <c r="BA204" s="87"/>
      <c r="BB204" s="73" t="e">
        <f t="shared" si="92"/>
        <v>#VALUE!</v>
      </c>
      <c r="BC204" s="73" t="e">
        <f t="shared" si="93"/>
        <v>#VALUE!</v>
      </c>
    </row>
    <row r="205" spans="1:55" s="296" customFormat="1" ht="28.15" customHeight="1">
      <c r="A205" s="550" t="str">
        <f>IF('TECH DATA ENTRY'!A222="","",'TECH DATA ENTRY'!A222)</f>
        <v/>
      </c>
      <c r="B205" s="551"/>
      <c r="C205" s="552"/>
      <c r="D205" s="551"/>
      <c r="E205" s="551"/>
      <c r="F205" s="551"/>
      <c r="G205" s="552"/>
      <c r="H205" s="551"/>
      <c r="I205" s="553"/>
      <c r="J205" s="224"/>
      <c r="K205" s="224"/>
      <c r="L205" s="224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AK205" s="297"/>
    </row>
    <row r="206" spans="1:55" s="31" customFormat="1" ht="22.15" customHeight="1">
      <c r="A206" s="76" t="str">
        <f>IF('TECH DATA ENTRY'!A223="","",'TECH DATA ENTRY'!A223)</f>
        <v>Range 10 mA</v>
      </c>
      <c r="H206" s="321"/>
      <c r="O206" s="77"/>
      <c r="AK206" s="1"/>
      <c r="AM206" s="637" t="s">
        <v>116</v>
      </c>
      <c r="AN206" s="637"/>
      <c r="AO206" s="637"/>
      <c r="AP206" s="637"/>
      <c r="AQ206" s="637"/>
      <c r="AR206" s="637"/>
      <c r="AS206" s="637"/>
      <c r="AT206" s="637"/>
      <c r="AV206" s="637" t="s">
        <v>117</v>
      </c>
      <c r="AW206" s="637"/>
      <c r="AX206" s="637"/>
      <c r="AY206" s="637"/>
      <c r="AZ206" s="637"/>
      <c r="BA206" s="637"/>
      <c r="BB206" s="637"/>
      <c r="BC206" s="637"/>
    </row>
    <row r="207" spans="1:55" s="225" customFormat="1" ht="4.9000000000000004" customHeight="1" thickBot="1">
      <c r="A207" s="288" t="str">
        <f>IF('TECH DATA ENTRY'!A224="","",'TECH DATA ENTRY'!A224)</f>
        <v/>
      </c>
      <c r="K207" s="239"/>
      <c r="L207" s="239"/>
      <c r="AK207" s="240"/>
    </row>
    <row r="208" spans="1:55" s="285" customFormat="1" ht="20.149999999999999" customHeight="1">
      <c r="A208" s="644" t="str">
        <f>IF('TECH DATA ENTRY'!A225="","",'TECH DATA ENTRY'!A225)</f>
        <v>Function Tested</v>
      </c>
      <c r="B208" s="646" t="str">
        <f>IF('TECH DATA ENTRY'!B225="","",'TECH DATA ENTRY'!B225)</f>
        <v>Nominal</v>
      </c>
      <c r="C208" s="648" t="s">
        <v>2</v>
      </c>
      <c r="D208" s="648" t="str">
        <f>IF(LEFT(P$11,3)="ROV", "Measured Value", "As Found")</f>
        <v>As Found</v>
      </c>
      <c r="E208" s="648" t="str">
        <f>IF(LEFT(P$11,3)="ROV", "Correction", "As Left")</f>
        <v>As Left</v>
      </c>
      <c r="F208" s="648" t="s">
        <v>3</v>
      </c>
      <c r="G208" s="653" t="s">
        <v>4</v>
      </c>
      <c r="H208" s="659" t="s">
        <v>30</v>
      </c>
      <c r="I208" s="661" t="s">
        <v>28</v>
      </c>
      <c r="J208" s="284"/>
      <c r="L208" s="658" t="s">
        <v>38</v>
      </c>
      <c r="M208" s="616" t="s">
        <v>31</v>
      </c>
      <c r="N208" s="281"/>
      <c r="O208" s="286"/>
      <c r="P208" s="640" t="s">
        <v>136</v>
      </c>
      <c r="Q208" s="641"/>
      <c r="R208" s="642"/>
      <c r="S208" s="638" t="s">
        <v>115</v>
      </c>
      <c r="T208" s="638"/>
      <c r="U208" s="638"/>
      <c r="V208" s="638"/>
      <c r="W208" s="640" t="s">
        <v>64</v>
      </c>
      <c r="X208" s="641"/>
      <c r="Y208" s="641"/>
      <c r="Z208" s="641"/>
      <c r="AA208" s="641"/>
      <c r="AB208" s="642"/>
      <c r="AC208" s="638" t="s">
        <v>97</v>
      </c>
      <c r="AD208" s="638"/>
      <c r="AE208" s="638"/>
      <c r="AF208" s="638" t="s">
        <v>127</v>
      </c>
      <c r="AG208" s="638"/>
      <c r="AH208" s="638" t="s">
        <v>128</v>
      </c>
      <c r="AI208" s="638"/>
      <c r="AJ208" s="638" t="s">
        <v>28</v>
      </c>
      <c r="AK208" s="638" t="s">
        <v>121</v>
      </c>
      <c r="AL208" s="308"/>
      <c r="AM208" s="639" t="s">
        <v>122</v>
      </c>
      <c r="AN208" s="639"/>
      <c r="AO208" s="308"/>
      <c r="AP208" s="639" t="s">
        <v>119</v>
      </c>
      <c r="AQ208" s="639"/>
      <c r="AR208" s="308"/>
      <c r="AS208" s="639" t="s">
        <v>120</v>
      </c>
      <c r="AT208" s="639"/>
      <c r="AU208" s="308"/>
      <c r="AV208" s="639" t="s">
        <v>122</v>
      </c>
      <c r="AW208" s="639"/>
      <c r="AX208" s="308"/>
      <c r="AY208" s="639" t="s">
        <v>119</v>
      </c>
      <c r="AZ208" s="639"/>
      <c r="BA208" s="308"/>
      <c r="BB208" s="639" t="s">
        <v>120</v>
      </c>
      <c r="BC208" s="639"/>
    </row>
    <row r="209" spans="1:55" s="285" customFormat="1" ht="20.149999999999999" customHeight="1" thickBot="1">
      <c r="A209" s="645"/>
      <c r="B209" s="647"/>
      <c r="C209" s="649"/>
      <c r="D209" s="649"/>
      <c r="E209" s="649"/>
      <c r="F209" s="649"/>
      <c r="G209" s="654"/>
      <c r="H209" s="660"/>
      <c r="I209" s="662"/>
      <c r="J209" s="284"/>
      <c r="L209" s="649"/>
      <c r="M209" s="617"/>
      <c r="O209" s="281"/>
      <c r="P209" s="309" t="s">
        <v>122</v>
      </c>
      <c r="Q209" s="309" t="s">
        <v>119</v>
      </c>
      <c r="R209" s="309" t="s">
        <v>120</v>
      </c>
      <c r="S209" s="309" t="s">
        <v>122</v>
      </c>
      <c r="T209" s="309" t="s">
        <v>119</v>
      </c>
      <c r="U209" s="309" t="s">
        <v>120</v>
      </c>
      <c r="V209" s="309" t="s">
        <v>118</v>
      </c>
      <c r="W209" s="309" t="s">
        <v>63</v>
      </c>
      <c r="X209" s="309" t="s">
        <v>69</v>
      </c>
      <c r="Y209" s="309" t="s">
        <v>71</v>
      </c>
      <c r="Z209" s="309" t="s">
        <v>72</v>
      </c>
      <c r="AA209" s="309" t="s">
        <v>70</v>
      </c>
      <c r="AB209" s="309" t="s">
        <v>75</v>
      </c>
      <c r="AC209" s="309" t="s">
        <v>78</v>
      </c>
      <c r="AD209" s="309" t="s">
        <v>119</v>
      </c>
      <c r="AE209" s="309" t="s">
        <v>120</v>
      </c>
      <c r="AF209" s="309" t="s">
        <v>129</v>
      </c>
      <c r="AG209" s="309" t="s">
        <v>130</v>
      </c>
      <c r="AH209" s="309" t="s">
        <v>129</v>
      </c>
      <c r="AI209" s="309" t="s">
        <v>130</v>
      </c>
      <c r="AJ209" s="652"/>
      <c r="AK209" s="652"/>
      <c r="AL209" s="308"/>
      <c r="AM209" s="310" t="s">
        <v>67</v>
      </c>
      <c r="AN209" s="310" t="s">
        <v>68</v>
      </c>
      <c r="AO209" s="308"/>
      <c r="AP209" s="310" t="s">
        <v>67</v>
      </c>
      <c r="AQ209" s="310" t="s">
        <v>68</v>
      </c>
      <c r="AR209" s="308"/>
      <c r="AS209" s="310" t="s">
        <v>67</v>
      </c>
      <c r="AT209" s="310" t="s">
        <v>68</v>
      </c>
      <c r="AU209" s="308"/>
      <c r="AV209" s="310" t="s">
        <v>67</v>
      </c>
      <c r="AW209" s="310" t="s">
        <v>68</v>
      </c>
      <c r="AX209" s="308"/>
      <c r="AY209" s="310" t="s">
        <v>67</v>
      </c>
      <c r="AZ209" s="310" t="s">
        <v>68</v>
      </c>
      <c r="BA209" s="308"/>
      <c r="BB209" s="310" t="s">
        <v>67</v>
      </c>
      <c r="BC209" s="310" t="s">
        <v>68</v>
      </c>
    </row>
    <row r="210" spans="1:55" s="86" customFormat="1" ht="25" customHeight="1" thickTop="1">
      <c r="A210" s="479">
        <f>IF('TECH DATA ENTRY'!A227="","",'TECH DATA ENTRY'!A227)</f>
        <v>0</v>
      </c>
      <c r="B210" s="447">
        <f>IF('TECH DATA ENTRY'!B227="","",'TECH DATA ENTRY'!B227)</f>
        <v>0</v>
      </c>
      <c r="C210" s="561">
        <f>IF(B210="","",IFERROR('TECH DATA ENTRY'!F227,"NA"))</f>
        <v>-2E-3</v>
      </c>
      <c r="D210" s="561" t="str">
        <f>IF('TECH DATA ENTRY'!L227="","",'TECH DATA ENTRY'!L227)</f>
        <v/>
      </c>
      <c r="E210" s="561" t="str">
        <f t="shared" si="65"/>
        <v/>
      </c>
      <c r="F210" s="561">
        <f>IF(B210="","",IFERROR('TECH DATA ENTRY'!G227,"NA"))</f>
        <v>2E-3</v>
      </c>
      <c r="G210" s="562" t="str">
        <f t="shared" si="66"/>
        <v/>
      </c>
      <c r="H210" s="561" t="str">
        <f>IF(OR(ISTEXT(B210)=TRUE, D210="NA",D210=""),"NA", roundsf(MAX(L210,M210),C210))</f>
        <v>NA</v>
      </c>
      <c r="I210" s="558" t="str">
        <f t="shared" si="67"/>
        <v>NA</v>
      </c>
      <c r="J210" s="299"/>
      <c r="K210" s="245"/>
      <c r="L210" s="506">
        <f>(79/1000000)*ABS(B210)+(40/1000000)</f>
        <v>4.0000000000000003E-5</v>
      </c>
      <c r="M210" s="244" t="str">
        <f>UNC_CALCULATION!AM199</f>
        <v>NA</v>
      </c>
      <c r="N210" s="85"/>
      <c r="O210" s="58"/>
      <c r="P210" s="69" t="e">
        <f>IF(B210="","",INDEX('AUX TABLES'!$G$4:$K$8,AV210,AW210))</f>
        <v>#VALUE!</v>
      </c>
      <c r="Q210" s="150" t="e">
        <f>IF(AJ$11=FALSE,IF(B210="","",IF(AJ210="NA",P210,INDEX('AUX TABLES'!$G$4:$K$8,AY210,AZ210))),IF(P210="FAIL",P210,INDEX('AUX TABLES'!$G$4:$K$8,AY210,AZ210)))</f>
        <v>#VALUE!</v>
      </c>
      <c r="R210" s="150" t="e">
        <f>IF(AJ$11=FALSE,IF(B210="","",IF(AJ210="NA",P210,INDEX('AUX TABLES'!$G$4:$K$8,BB210,BC210))),IF(P210="FAIL",P210,INDEX('AUX TABLES'!$G$4:$K$8,BB210,BC210)))</f>
        <v>#VALUE!</v>
      </c>
      <c r="S210" s="69" t="e">
        <f>INDEX('AUX TABLES'!$G$4:$K$8,AM210,AN210)</f>
        <v>#VALUE!</v>
      </c>
      <c r="T210" s="69" t="e">
        <f>IF(AJ$11=FALSE,IF(AJ210="NA",S210,INDEX('AUX TABLES'!$G$4:$K$8,AP210,AQ210)),IF(S210="FAIL",S210,INDEX('AUX TABLES'!$G$4:$K$8,AP210,AQ210)))</f>
        <v>#VALUE!</v>
      </c>
      <c r="U210" s="150" t="e">
        <f>IF(AJ$11=FALSE,IF(AJ210="NA",S210,INDEX('AUX TABLES'!$G$4:$K$8,AS210,AT210)),IF(S210="FAIL",S210,INDEX('AUX TABLES'!$G$4:$K$8,AS210,AT210)))</f>
        <v>#VALUE!</v>
      </c>
      <c r="V210" s="150" t="str">
        <f t="shared" si="68"/>
        <v/>
      </c>
      <c r="W210" s="74">
        <f t="shared" si="69"/>
        <v>2E-3</v>
      </c>
      <c r="X210" s="74" t="str">
        <f t="shared" si="70"/>
        <v>NA</v>
      </c>
      <c r="Y210" s="74" t="str">
        <f t="shared" si="71"/>
        <v>NA</v>
      </c>
      <c r="Z210" s="74" t="str">
        <f t="shared" si="72"/>
        <v>NA</v>
      </c>
      <c r="AA210" s="74" t="str">
        <f t="shared" si="73"/>
        <v>NA</v>
      </c>
      <c r="AB210" s="74">
        <f t="shared" si="74"/>
        <v>-2E-3</v>
      </c>
      <c r="AC210" s="69" t="str">
        <f>IF(ISTEXT('TECH DATA ENTRY'!L227)=TRUE,"NA",'TECH DATA ENTRY'!H227)</f>
        <v>NA</v>
      </c>
      <c r="AD210" s="69" t="str">
        <f t="shared" si="75"/>
        <v>NA</v>
      </c>
      <c r="AE210" s="69" t="str">
        <f t="shared" si="76"/>
        <v>NA</v>
      </c>
      <c r="AF210" s="69" t="e">
        <f t="shared" si="77"/>
        <v>#VALUE!</v>
      </c>
      <c r="AG210" s="69" t="e">
        <f t="shared" si="78"/>
        <v>#VALUE!</v>
      </c>
      <c r="AH210" s="69" t="e">
        <f t="shared" si="79"/>
        <v>#VALUE!</v>
      </c>
      <c r="AI210" s="69" t="e">
        <f t="shared" si="80"/>
        <v>#VALUE!</v>
      </c>
      <c r="AJ210" s="70" t="str">
        <f>IF(OR(ISTEXT('TECH DATA ENTRY'!L227)=TRUE,ISTEXT('TECH DATA ENTRY'!F227)=TRUE,ISTEXT('TECH DATA ENTRY'!G227)=TRUE),"NA",(W210-AB210)/(2*MAX(M210,L210)))</f>
        <v>NA</v>
      </c>
      <c r="AK210" s="69" t="str">
        <f t="shared" si="81"/>
        <v>NA</v>
      </c>
      <c r="AM210" s="73" t="e">
        <f t="shared" si="82"/>
        <v>#VALUE!</v>
      </c>
      <c r="AN210" s="73" t="e">
        <f t="shared" si="83"/>
        <v>#VALUE!</v>
      </c>
      <c r="AO210" s="87"/>
      <c r="AP210" s="73" t="e">
        <f t="shared" si="84"/>
        <v>#VALUE!</v>
      </c>
      <c r="AQ210" s="73" t="e">
        <f t="shared" si="85"/>
        <v>#VALUE!</v>
      </c>
      <c r="AR210" s="87"/>
      <c r="AS210" s="73" t="e">
        <f t="shared" si="86"/>
        <v>#VALUE!</v>
      </c>
      <c r="AT210" s="73" t="e">
        <f t="shared" si="87"/>
        <v>#VALUE!</v>
      </c>
      <c r="AV210" s="73" t="e">
        <f t="shared" si="88"/>
        <v>#VALUE!</v>
      </c>
      <c r="AW210" s="73" t="e">
        <f t="shared" si="89"/>
        <v>#VALUE!</v>
      </c>
      <c r="AX210" s="87"/>
      <c r="AY210" s="73" t="e">
        <f t="shared" si="90"/>
        <v>#VALUE!</v>
      </c>
      <c r="AZ210" s="73" t="e">
        <f t="shared" si="91"/>
        <v>#VALUE!</v>
      </c>
      <c r="BA210" s="87"/>
      <c r="BB210" s="73" t="e">
        <f t="shared" si="92"/>
        <v>#VALUE!</v>
      </c>
      <c r="BC210" s="73" t="e">
        <f t="shared" si="93"/>
        <v>#VALUE!</v>
      </c>
    </row>
    <row r="211" spans="1:55" s="86" customFormat="1" ht="25" customHeight="1">
      <c r="A211" s="479">
        <f>IF('TECH DATA ENTRY'!A228="","",'TECH DATA ENTRY'!A228)</f>
        <v>10</v>
      </c>
      <c r="B211" s="447">
        <f>IF('TECH DATA ENTRY'!B228="","",'TECH DATA ENTRY'!B228)</f>
        <v>10</v>
      </c>
      <c r="C211" s="447">
        <f>IF(B211="","",IFERROR('TECH DATA ENTRY'!F228,"NA"))</f>
        <v>9.9930000000000003</v>
      </c>
      <c r="D211" s="447" t="str">
        <f>IF('TECH DATA ENTRY'!L228="","",'TECH DATA ENTRY'!L228)</f>
        <v/>
      </c>
      <c r="E211" s="447" t="str">
        <f t="shared" si="65"/>
        <v/>
      </c>
      <c r="F211" s="447">
        <f>IF(B211="","",IFERROR('TECH DATA ENTRY'!G228,"NA"))</f>
        <v>10.007</v>
      </c>
      <c r="G211" s="592" t="str">
        <f t="shared" si="66"/>
        <v/>
      </c>
      <c r="H211" s="447" t="str">
        <f>IF(OR(ISTEXT(B211)=TRUE, D211="NA",D211=""),"NA", roundsf(MAX(L211,M211),C211))</f>
        <v>NA</v>
      </c>
      <c r="I211" s="325" t="str">
        <f t="shared" si="67"/>
        <v>NA</v>
      </c>
      <c r="J211" s="299"/>
      <c r="K211" s="245"/>
      <c r="L211" s="506">
        <f t="shared" ref="L211:L212" si="96">(79/1000000)*ABS(B211)+(40/1000000)</f>
        <v>8.299999999999999E-4</v>
      </c>
      <c r="M211" s="244" t="str">
        <f>UNC_CALCULATION!AM200</f>
        <v>NA</v>
      </c>
      <c r="N211" s="85"/>
      <c r="O211" s="58"/>
      <c r="P211" s="69" t="e">
        <f>IF(B211="","",INDEX('AUX TABLES'!$G$4:$K$8,AV211,AW211))</f>
        <v>#VALUE!</v>
      </c>
      <c r="Q211" s="150" t="e">
        <f>IF(AJ$11=FALSE,IF(B211="","",IF(AJ211="NA",P211,INDEX('AUX TABLES'!$G$4:$K$8,AY211,AZ211))),IF(P211="FAIL",P211,INDEX('AUX TABLES'!$G$4:$K$8,AY211,AZ211)))</f>
        <v>#VALUE!</v>
      </c>
      <c r="R211" s="150" t="e">
        <f>IF(AJ$11=FALSE,IF(B211="","",IF(AJ211="NA",P211,INDEX('AUX TABLES'!$G$4:$K$8,BB211,BC211))),IF(P211="FAIL",P211,INDEX('AUX TABLES'!$G$4:$K$8,BB211,BC211)))</f>
        <v>#VALUE!</v>
      </c>
      <c r="S211" s="69" t="e">
        <f>INDEX('AUX TABLES'!$G$4:$K$8,AM211,AN211)</f>
        <v>#VALUE!</v>
      </c>
      <c r="T211" s="69" t="e">
        <f>IF(AJ$11=FALSE,IF(AJ211="NA",S211,INDEX('AUX TABLES'!$G$4:$K$8,AP211,AQ211)),IF(S211="FAIL",S211,INDEX('AUX TABLES'!$G$4:$K$8,AP211,AQ211)))</f>
        <v>#VALUE!</v>
      </c>
      <c r="U211" s="150" t="e">
        <f>IF(AJ$11=FALSE,IF(AJ211="NA",S211,INDEX('AUX TABLES'!$G$4:$K$8,AS211,AT211)),IF(S211="FAIL",S211,INDEX('AUX TABLES'!$G$4:$K$8,AS211,AT211)))</f>
        <v>#VALUE!</v>
      </c>
      <c r="V211" s="150" t="str">
        <f t="shared" si="68"/>
        <v/>
      </c>
      <c r="W211" s="74">
        <f t="shared" si="69"/>
        <v>10.007</v>
      </c>
      <c r="X211" s="74" t="str">
        <f t="shared" si="70"/>
        <v>NA</v>
      </c>
      <c r="Y211" s="74" t="str">
        <f t="shared" si="71"/>
        <v>NA</v>
      </c>
      <c r="Z211" s="74" t="str">
        <f t="shared" si="72"/>
        <v>NA</v>
      </c>
      <c r="AA211" s="74" t="str">
        <f t="shared" si="73"/>
        <v>NA</v>
      </c>
      <c r="AB211" s="74">
        <f t="shared" si="74"/>
        <v>9.9930000000000003</v>
      </c>
      <c r="AC211" s="69" t="str">
        <f>IF(ISTEXT('TECH DATA ENTRY'!L228)=TRUE,"NA",'TECH DATA ENTRY'!H228)</f>
        <v>NA</v>
      </c>
      <c r="AD211" s="69" t="str">
        <f t="shared" si="75"/>
        <v>NA</v>
      </c>
      <c r="AE211" s="69" t="str">
        <f t="shared" si="76"/>
        <v>NA</v>
      </c>
      <c r="AF211" s="69" t="e">
        <f t="shared" si="77"/>
        <v>#VALUE!</v>
      </c>
      <c r="AG211" s="69" t="e">
        <f t="shared" si="78"/>
        <v>#VALUE!</v>
      </c>
      <c r="AH211" s="69" t="e">
        <f t="shared" si="79"/>
        <v>#VALUE!</v>
      </c>
      <c r="AI211" s="69" t="e">
        <f t="shared" si="80"/>
        <v>#VALUE!</v>
      </c>
      <c r="AJ211" s="70" t="str">
        <f>IF(OR(ISTEXT('TECH DATA ENTRY'!L228)=TRUE,ISTEXT('TECH DATA ENTRY'!F228)=TRUE,ISTEXT('TECH DATA ENTRY'!G228)=TRUE),"NA",(W211-AB211)/(2*MAX(M211,L211)))</f>
        <v>NA</v>
      </c>
      <c r="AK211" s="69" t="str">
        <f t="shared" si="81"/>
        <v>NA</v>
      </c>
      <c r="AM211" s="73" t="e">
        <f t="shared" si="82"/>
        <v>#VALUE!</v>
      </c>
      <c r="AN211" s="73" t="e">
        <f t="shared" si="83"/>
        <v>#VALUE!</v>
      </c>
      <c r="AO211" s="87"/>
      <c r="AP211" s="73" t="e">
        <f t="shared" si="84"/>
        <v>#VALUE!</v>
      </c>
      <c r="AQ211" s="73" t="e">
        <f t="shared" si="85"/>
        <v>#VALUE!</v>
      </c>
      <c r="AR211" s="87"/>
      <c r="AS211" s="73" t="e">
        <f t="shared" si="86"/>
        <v>#VALUE!</v>
      </c>
      <c r="AT211" s="73" t="e">
        <f t="shared" si="87"/>
        <v>#VALUE!</v>
      </c>
      <c r="AV211" s="73" t="e">
        <f t="shared" si="88"/>
        <v>#VALUE!</v>
      </c>
      <c r="AW211" s="73" t="e">
        <f t="shared" si="89"/>
        <v>#VALUE!</v>
      </c>
      <c r="AX211" s="87"/>
      <c r="AY211" s="73" t="e">
        <f t="shared" si="90"/>
        <v>#VALUE!</v>
      </c>
      <c r="AZ211" s="73" t="e">
        <f t="shared" si="91"/>
        <v>#VALUE!</v>
      </c>
      <c r="BA211" s="87"/>
      <c r="BB211" s="73" t="e">
        <f t="shared" si="92"/>
        <v>#VALUE!</v>
      </c>
      <c r="BC211" s="73" t="e">
        <f t="shared" si="93"/>
        <v>#VALUE!</v>
      </c>
    </row>
    <row r="212" spans="1:55" s="86" customFormat="1" ht="25" customHeight="1" thickBot="1">
      <c r="A212" s="480">
        <f>IF('TECH DATA ENTRY'!A229="","",'TECH DATA ENTRY'!A229)</f>
        <v>-10</v>
      </c>
      <c r="B212" s="472">
        <f>IF('TECH DATA ENTRY'!B229="","",'TECH DATA ENTRY'!B229)</f>
        <v>-10</v>
      </c>
      <c r="C212" s="578">
        <f>IF(B212="","",IFERROR('TECH DATA ENTRY'!F229,"NA"))</f>
        <v>-10.007</v>
      </c>
      <c r="D212" s="578" t="str">
        <f>IF('TECH DATA ENTRY'!L229="","",'TECH DATA ENTRY'!L229)</f>
        <v/>
      </c>
      <c r="E212" s="578" t="str">
        <f t="shared" ref="E212:E271" si="97">IF(LEFT(P$11,3)="ROV",AK212,D212)</f>
        <v/>
      </c>
      <c r="F212" s="578">
        <f>IF(B212="","",IFERROR('TECH DATA ENTRY'!G229,"NA"))</f>
        <v>-9.9930000000000003</v>
      </c>
      <c r="G212" s="579" t="str">
        <f t="shared" ref="G212:G271" si="98">IF(D212="","",IF(OR($P$11="ACC CAL WITHOUT GB",$P$11="DATA NO UNC"),P212,IF($P$11="ACC CAL WITH GB - Method 5",R212,Q212)))</f>
        <v/>
      </c>
      <c r="H212" s="578" t="str">
        <f>IF(OR(ISTEXT(B212)=TRUE, D212="NA",D212=""),"NA", roundsf(MAX(L212,M212),C212))</f>
        <v>NA</v>
      </c>
      <c r="I212" s="575" t="str">
        <f t="shared" ref="I212:I271" si="99">IF(AJ212="NA","NA",(IF(AJ212&gt;=4,"≥ 4.0 : 1",TEXT(AJ212,"0.0")&amp;" : 1")))</f>
        <v>NA</v>
      </c>
      <c r="J212" s="299"/>
      <c r="K212" s="245"/>
      <c r="L212" s="506">
        <f t="shared" si="96"/>
        <v>8.299999999999999E-4</v>
      </c>
      <c r="M212" s="244" t="str">
        <f>UNC_CALCULATION!AM201</f>
        <v>NA</v>
      </c>
      <c r="N212" s="85"/>
      <c r="O212" s="58"/>
      <c r="P212" s="69" t="e">
        <f>IF(B212="","",INDEX('AUX TABLES'!$G$4:$K$8,AV212,AW212))</f>
        <v>#VALUE!</v>
      </c>
      <c r="Q212" s="150" t="e">
        <f>IF(AJ$11=FALSE,IF(B212="","",IF(AJ212="NA",P212,INDEX('AUX TABLES'!$G$4:$K$8,AY212,AZ212))),IF(P212="FAIL",P212,INDEX('AUX TABLES'!$G$4:$K$8,AY212,AZ212)))</f>
        <v>#VALUE!</v>
      </c>
      <c r="R212" s="150" t="e">
        <f>IF(AJ$11=FALSE,IF(B212="","",IF(AJ212="NA",P212,INDEX('AUX TABLES'!$G$4:$K$8,BB212,BC212))),IF(P212="FAIL",P212,INDEX('AUX TABLES'!$G$4:$K$8,BB212,BC212)))</f>
        <v>#VALUE!</v>
      </c>
      <c r="S212" s="69" t="e">
        <f>INDEX('AUX TABLES'!$G$4:$K$8,AM212,AN212)</f>
        <v>#VALUE!</v>
      </c>
      <c r="T212" s="69" t="e">
        <f>IF(AJ$11=FALSE,IF(AJ212="NA",S212,INDEX('AUX TABLES'!$G$4:$K$8,AP212,AQ212)),IF(S212="FAIL",S212,INDEX('AUX TABLES'!$G$4:$K$8,AP212,AQ212)))</f>
        <v>#VALUE!</v>
      </c>
      <c r="U212" s="150" t="e">
        <f>IF(AJ$11=FALSE,IF(AJ212="NA",S212,INDEX('AUX TABLES'!$G$4:$K$8,AS212,AT212)),IF(S212="FAIL",S212,INDEX('AUX TABLES'!$G$4:$K$8,AS212,AT212)))</f>
        <v>#VALUE!</v>
      </c>
      <c r="V212" s="150" t="str">
        <f t="shared" ref="V212:V271" si="100">IF(D212="","",IF(OR($P$11="ACC CAL WITHOUT GB",$P$11="DATA NO UNC"),S212,IF($P$11="ACC CAL WITH GB - Method 5",U212,T212)))</f>
        <v/>
      </c>
      <c r="W212" s="74">
        <f t="shared" ref="W212:W271" si="101">F212</f>
        <v>-9.9930000000000003</v>
      </c>
      <c r="X212" s="74" t="str">
        <f t="shared" ref="X212:X271" si="102">IFERROR(W212-AD212,"NA")</f>
        <v>NA</v>
      </c>
      <c r="Y212" s="74" t="str">
        <f t="shared" ref="Y212:Y271" si="103">IFERROR(W212-AE212,"NA")</f>
        <v>NA</v>
      </c>
      <c r="Z212" s="74" t="str">
        <f t="shared" ref="Z212:Z271" si="104">IFERROR(AB212+AE212,"NA")</f>
        <v>NA</v>
      </c>
      <c r="AA212" s="74" t="str">
        <f t="shared" ref="AA212:AA271" si="105">IFERROR(AB212+AD212,"NA")</f>
        <v>NA</v>
      </c>
      <c r="AB212" s="74">
        <f t="shared" ref="AB212:AB271" si="106">C212</f>
        <v>-10.007</v>
      </c>
      <c r="AC212" s="69" t="str">
        <f>IF(ISTEXT('TECH DATA ENTRY'!L229)=TRUE,"NA",'TECH DATA ENTRY'!H229)</f>
        <v>NA</v>
      </c>
      <c r="AD212" s="69" t="str">
        <f t="shared" ref="AD212:AD271" si="107">IF(AJ212="NA","NA",IF(AJ212&lt;0,0,ABS(MAX(M212,L212)*(1.04-EXP(0.38*LN((W212-AB212)/(2*MAX(M212,L212)))-0.54)))))</f>
        <v>NA</v>
      </c>
      <c r="AE212" s="69" t="str">
        <f t="shared" ref="AE212:AE271" si="108">IF(ISTEXT(D212)=TRUE,"NA",MAX(L212,M212))</f>
        <v>NA</v>
      </c>
      <c r="AF212" s="69" t="e">
        <f t="shared" ref="AF212:AF271" si="109">D212-MAX(L212:M212)</f>
        <v>#VALUE!</v>
      </c>
      <c r="AG212" s="69" t="e">
        <f t="shared" ref="AG212:AG271" si="110">D212+MAX(L212:M212)</f>
        <v>#VALUE!</v>
      </c>
      <c r="AH212" s="69" t="e">
        <f t="shared" ref="AH212:AH271" si="111">E212-MAX(L212:M212)</f>
        <v>#VALUE!</v>
      </c>
      <c r="AI212" s="69" t="e">
        <f t="shared" ref="AI212:AI271" si="112">E212+MAX(L212:M212)</f>
        <v>#VALUE!</v>
      </c>
      <c r="AJ212" s="70" t="str">
        <f>IF(OR(ISTEXT('TECH DATA ENTRY'!L229)=TRUE,ISTEXT('TECH DATA ENTRY'!F229)=TRUE,ISTEXT('TECH DATA ENTRY'!G229)=TRUE),"NA",(W212-AB212)/(2*MAX(M212,L212)))</f>
        <v>NA</v>
      </c>
      <c r="AK212" s="69" t="str">
        <f t="shared" ref="AK212:AK271" si="113">IF(ISTEXT(D212)=TRUE,"NA",B212-D212)</f>
        <v>NA</v>
      </c>
      <c r="AM212" s="73" t="e">
        <f t="shared" ref="AM212:AM271" si="114">IF(LEFT(P$11,3)="ROV",1,IF(D212="NA",5,IF(ISTEXT(B212)=TRUE,IF(D212=B212,1,4),IF(ISTEXT(F212)=TRUE,5,IF(D212+MAX(L212:M212)*AK$9&lt;=W212,1,IF(AND(OR(D212=B212,D212&lt;=W212),D212+MAX(L212:M212)*AK$9&gt;W212),2,IF(D212-MAX(L212:M212)*AK$9&gt;W212,4,3)))))))</f>
        <v>#VALUE!</v>
      </c>
      <c r="AN212" s="73" t="e">
        <f t="shared" ref="AN212:AN271" si="115">IF(LEFT(P$11,3)="ROV",1,IF(D212="NA",5,IF(ISTEXT(B212)=TRUE,IF(D212=B212,1,4),IF(ISTEXT(C212)=TRUE,5,IF($D212-MAX(L212:M212)*AK$9&gt;=AB212,1,IF(AND(OR(D212=B212,D212&gt;=AB212),D212-MAX(L212:M212)*AK$9&lt;AB212),2,IF($D212+MAX(L212:M212)*AK$9&lt;AB212,4,3)))))))</f>
        <v>#VALUE!</v>
      </c>
      <c r="AO212" s="87"/>
      <c r="AP212" s="73" t="e">
        <f t="shared" ref="AP212:AP271" si="116">IF(LEFT(P$11,3)="ROV",1,IF(D212="NA",5,IF(ISTEXT(B212)=TRUE,IF(D212=B212,1,4),IF(ISTEXT(F212)=TRUE,5,IF((AF212&gt;=W212),4,IF(AND(D212&lt;X212,AG212&gt;=W212),2,IF(AND(D212&gt;=X212,AF212&lt;W212),3,1)))))))</f>
        <v>#VALUE!</v>
      </c>
      <c r="AQ212" s="73" t="e">
        <f t="shared" ref="AQ212:AQ271" si="117">IF(LEFT(P$11,3)="ROV",1,IF(D212="NA",5,IF(ISTEXT(B212)=TRUE,IF(D212=B212,1,4),IF(ISTEXT(C212)=TRUE,5,IF((AG212&lt;=AB212),4,IF(AND(D212&gt;AA212,AF212&lt;=AB212),2,IF(AND(D212&lt;=AA212,AG212&gt;AB212),3,1)))))))</f>
        <v>#VALUE!</v>
      </c>
      <c r="AR212" s="87"/>
      <c r="AS212" s="73" t="e">
        <f t="shared" ref="AS212:AS271" si="118">IF(LEFT(P$11,3)="ROV",1,IF(D212="NA",5,IF(ISTEXT(B212)=TRUE,IF(D212=B212,1,4),IF(ISTEXT(F212)=TRUE,5,IF(AF212&gt;=W212,4,IF(AND(D212&gt;=Y212,AF212&lt;W212),3,1))))))</f>
        <v>#VALUE!</v>
      </c>
      <c r="AT212" s="73" t="e">
        <f t="shared" ref="AT212:AT271" si="119">IF(LEFT(P$11,3)="ROV",1,IF(D212="NA",5,IF(ISTEXT(B212)=TRUE,IF(D212=B212,1,4),IF(ISTEXT(C212)=TRUE,5,IF(AG212&lt;=AB212,4,IF(AND(D212&lt;=Z212,AG212&gt;AB212),3,1))))))</f>
        <v>#VALUE!</v>
      </c>
      <c r="AV212" s="73" t="e">
        <f t="shared" ref="AV212:AV271" si="120">IF(LEFT(P$11,3)="ROV",1,IF(D212="NA",5,IF(ISTEXT(B212)=TRUE,IF(D212=B212,1,4),IF(ISTEXT(F212)=TRUE,5,IF(E212+MAX(L212:M212)*AK$9&lt;=W212,1,IF(AND(OR(E212=B212,E212&lt;=W212),E212+MAX(L212:M212)*AK$9&gt;W212),2,IF(E212-MAX(L212:M212)*AK$9&gt;W212,4,3)))))))</f>
        <v>#VALUE!</v>
      </c>
      <c r="AW212" s="73" t="e">
        <f t="shared" ref="AW212:AW271" si="121">IF(LEFT(P$11,3)="ROV",1,IF(D212="NA",5,IF(ISTEXT(B212)=TRUE,IF(D212=B212,1,4),IF(ISTEXT(C212)=TRUE,5,IF($E212-MAX(L212:M212)*AK$9&gt;=AB212,1,IF(AND(OR(E212=B212,E212&gt;=AB212),E212-MAX(L212:M212)*AK$9&lt;AB212),2,IF($E212+MAX(L212:M212)*AK$9&lt;AB212,4,3)))))))</f>
        <v>#VALUE!</v>
      </c>
      <c r="AX212" s="87"/>
      <c r="AY212" s="73" t="e">
        <f t="shared" ref="AY212:AY271" si="122">IF(LEFT(P$11,3)="ROV",1,IF(D212="NA",5,IF(ISTEXT(B212)=TRUE,IF(D212=B212,1,4),IF(ISTEXT(F212)=TRUE,5,IF((AH212&gt;=W212),4,IF(AND(E212&lt;X212,AI212&gt;=W212),2,IF(AND(E212&gt;=X212,AH212&lt;W212),3,1)))))))</f>
        <v>#VALUE!</v>
      </c>
      <c r="AZ212" s="73" t="e">
        <f t="shared" ref="AZ212:AZ271" si="123">IF(LEFT(P$11,3)="ROV",1,IF(D212="NA",5,IF(ISTEXT(B212)=TRUE,IF(D212=B212,1,4),IF(ISTEXT(C212)=TRUE,5,IF((AI212&lt;=AB212),4,IF(AND(E212&gt;AA212,AH212&lt;=AB212),2,IF(AND(E212&lt;=AA212,AI212&gt;AB212),3,1)))))))</f>
        <v>#VALUE!</v>
      </c>
      <c r="BA212" s="87"/>
      <c r="BB212" s="73" t="e">
        <f t="shared" ref="BB212:BB271" si="124">IF(LEFT(P$11,3)="ROV",1,IF(D212="NA",5,IF(ISTEXT(B212)=TRUE,IF(D212=B212,1,4),IF(ISTEXT(F212)=TRUE,5,IF(AH212&gt;=W212,4,IF(AND(E212&gt;=Y212,AH212&lt;W212),3,1))))))</f>
        <v>#VALUE!</v>
      </c>
      <c r="BC212" s="73" t="e">
        <f t="shared" ref="BC212:BC271" si="125">IF(LEFT(P$11,3)="ROV",1,IF(D212="NA",5,IF(ISTEXT(B212)=TRUE,IF(D212=B212,1,4),IF(ISTEXT(C212)=TRUE,5,IF(AI212&lt;=AB212,4,IF(AND(E212&lt;=Z212,AI212&gt;AB212),3,1))))))</f>
        <v>#VALUE!</v>
      </c>
    </row>
    <row r="213" spans="1:55" s="296" customFormat="1" ht="28.15" customHeight="1">
      <c r="A213" s="550" t="str">
        <f>IF('TECH DATA ENTRY'!A230="","",'TECH DATA ENTRY'!A230)</f>
        <v/>
      </c>
      <c r="B213" s="551"/>
      <c r="C213" s="552"/>
      <c r="D213" s="551"/>
      <c r="E213" s="551"/>
      <c r="F213" s="551"/>
      <c r="G213" s="552"/>
      <c r="H213" s="551"/>
      <c r="I213" s="553"/>
      <c r="J213" s="224"/>
      <c r="K213" s="224"/>
      <c r="L213" s="224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AK213" s="297"/>
    </row>
    <row r="214" spans="1:55" s="31" customFormat="1" ht="22.15" customHeight="1">
      <c r="A214" s="76" t="str">
        <f>IF('TECH DATA ENTRY'!A231="","",'TECH DATA ENTRY'!A231)</f>
        <v>Range 100 mA</v>
      </c>
      <c r="H214" s="321"/>
      <c r="O214" s="77"/>
      <c r="AK214" s="1"/>
      <c r="AM214" s="637" t="s">
        <v>116</v>
      </c>
      <c r="AN214" s="637"/>
      <c r="AO214" s="637"/>
      <c r="AP214" s="637"/>
      <c r="AQ214" s="637"/>
      <c r="AR214" s="637"/>
      <c r="AS214" s="637"/>
      <c r="AT214" s="637"/>
      <c r="AV214" s="637" t="s">
        <v>117</v>
      </c>
      <c r="AW214" s="637"/>
      <c r="AX214" s="637"/>
      <c r="AY214" s="637"/>
      <c r="AZ214" s="637"/>
      <c r="BA214" s="637"/>
      <c r="BB214" s="637"/>
      <c r="BC214" s="637"/>
    </row>
    <row r="215" spans="1:55" s="225" customFormat="1" ht="4.9000000000000004" customHeight="1" thickBot="1">
      <c r="A215" s="288" t="str">
        <f>IF('TECH DATA ENTRY'!A232="","",'TECH DATA ENTRY'!A232)</f>
        <v/>
      </c>
      <c r="K215" s="239"/>
      <c r="L215" s="239"/>
      <c r="AK215" s="240"/>
    </row>
    <row r="216" spans="1:55" s="285" customFormat="1" ht="20.149999999999999" customHeight="1">
      <c r="A216" s="644" t="str">
        <f>IF('TECH DATA ENTRY'!A233="","",'TECH DATA ENTRY'!A233)</f>
        <v>Function Tested</v>
      </c>
      <c r="B216" s="646" t="str">
        <f>IF('TECH DATA ENTRY'!B233="","",'TECH DATA ENTRY'!B233)</f>
        <v>Nominal</v>
      </c>
      <c r="C216" s="648" t="s">
        <v>2</v>
      </c>
      <c r="D216" s="648" t="str">
        <f>IF(LEFT(P$11,3)="ROV", "Measured Value", "As Found")</f>
        <v>As Found</v>
      </c>
      <c r="E216" s="648" t="str">
        <f>IF(LEFT(P$11,3)="ROV", "Correction", "As Left")</f>
        <v>As Left</v>
      </c>
      <c r="F216" s="648" t="s">
        <v>3</v>
      </c>
      <c r="G216" s="653" t="s">
        <v>4</v>
      </c>
      <c r="H216" s="659" t="s">
        <v>30</v>
      </c>
      <c r="I216" s="661" t="s">
        <v>28</v>
      </c>
      <c r="J216" s="284"/>
      <c r="L216" s="658" t="s">
        <v>38</v>
      </c>
      <c r="M216" s="616" t="s">
        <v>31</v>
      </c>
      <c r="N216" s="281"/>
      <c r="O216" s="286"/>
      <c r="P216" s="640" t="s">
        <v>136</v>
      </c>
      <c r="Q216" s="641"/>
      <c r="R216" s="642"/>
      <c r="S216" s="638" t="s">
        <v>115</v>
      </c>
      <c r="T216" s="638"/>
      <c r="U216" s="638"/>
      <c r="V216" s="638"/>
      <c r="W216" s="640" t="s">
        <v>64</v>
      </c>
      <c r="X216" s="641"/>
      <c r="Y216" s="641"/>
      <c r="Z216" s="641"/>
      <c r="AA216" s="641"/>
      <c r="AB216" s="642"/>
      <c r="AC216" s="638" t="s">
        <v>97</v>
      </c>
      <c r="AD216" s="638"/>
      <c r="AE216" s="638"/>
      <c r="AF216" s="638" t="s">
        <v>127</v>
      </c>
      <c r="AG216" s="638"/>
      <c r="AH216" s="638" t="s">
        <v>128</v>
      </c>
      <c r="AI216" s="638"/>
      <c r="AJ216" s="638" t="s">
        <v>28</v>
      </c>
      <c r="AK216" s="638" t="s">
        <v>121</v>
      </c>
      <c r="AL216" s="308"/>
      <c r="AM216" s="639" t="s">
        <v>122</v>
      </c>
      <c r="AN216" s="639"/>
      <c r="AO216" s="308"/>
      <c r="AP216" s="639" t="s">
        <v>119</v>
      </c>
      <c r="AQ216" s="639"/>
      <c r="AR216" s="308"/>
      <c r="AS216" s="639" t="s">
        <v>120</v>
      </c>
      <c r="AT216" s="639"/>
      <c r="AU216" s="308"/>
      <c r="AV216" s="639" t="s">
        <v>122</v>
      </c>
      <c r="AW216" s="639"/>
      <c r="AX216" s="308"/>
      <c r="AY216" s="639" t="s">
        <v>119</v>
      </c>
      <c r="AZ216" s="639"/>
      <c r="BA216" s="308"/>
      <c r="BB216" s="639" t="s">
        <v>120</v>
      </c>
      <c r="BC216" s="639"/>
    </row>
    <row r="217" spans="1:55" s="285" customFormat="1" ht="20.149999999999999" customHeight="1" thickBot="1">
      <c r="A217" s="645"/>
      <c r="B217" s="647"/>
      <c r="C217" s="649"/>
      <c r="D217" s="649"/>
      <c r="E217" s="649"/>
      <c r="F217" s="649"/>
      <c r="G217" s="654"/>
      <c r="H217" s="660"/>
      <c r="I217" s="662"/>
      <c r="J217" s="284"/>
      <c r="L217" s="649"/>
      <c r="M217" s="617"/>
      <c r="O217" s="281"/>
      <c r="P217" s="309" t="s">
        <v>122</v>
      </c>
      <c r="Q217" s="309" t="s">
        <v>119</v>
      </c>
      <c r="R217" s="309" t="s">
        <v>120</v>
      </c>
      <c r="S217" s="309" t="s">
        <v>122</v>
      </c>
      <c r="T217" s="309" t="s">
        <v>119</v>
      </c>
      <c r="U217" s="309" t="s">
        <v>120</v>
      </c>
      <c r="V217" s="309" t="s">
        <v>118</v>
      </c>
      <c r="W217" s="309" t="s">
        <v>63</v>
      </c>
      <c r="X217" s="309" t="s">
        <v>69</v>
      </c>
      <c r="Y217" s="309" t="s">
        <v>71</v>
      </c>
      <c r="Z217" s="309" t="s">
        <v>72</v>
      </c>
      <c r="AA217" s="309" t="s">
        <v>70</v>
      </c>
      <c r="AB217" s="309" t="s">
        <v>75</v>
      </c>
      <c r="AC217" s="309" t="s">
        <v>78</v>
      </c>
      <c r="AD217" s="309" t="s">
        <v>119</v>
      </c>
      <c r="AE217" s="309" t="s">
        <v>120</v>
      </c>
      <c r="AF217" s="309" t="s">
        <v>129</v>
      </c>
      <c r="AG217" s="309" t="s">
        <v>130</v>
      </c>
      <c r="AH217" s="309" t="s">
        <v>129</v>
      </c>
      <c r="AI217" s="309" t="s">
        <v>130</v>
      </c>
      <c r="AJ217" s="652"/>
      <c r="AK217" s="652"/>
      <c r="AL217" s="308"/>
      <c r="AM217" s="310" t="s">
        <v>67</v>
      </c>
      <c r="AN217" s="310" t="s">
        <v>68</v>
      </c>
      <c r="AO217" s="308"/>
      <c r="AP217" s="310" t="s">
        <v>67</v>
      </c>
      <c r="AQ217" s="310" t="s">
        <v>68</v>
      </c>
      <c r="AR217" s="308"/>
      <c r="AS217" s="310" t="s">
        <v>67</v>
      </c>
      <c r="AT217" s="310" t="s">
        <v>68</v>
      </c>
      <c r="AU217" s="308"/>
      <c r="AV217" s="310" t="s">
        <v>67</v>
      </c>
      <c r="AW217" s="310" t="s">
        <v>68</v>
      </c>
      <c r="AX217" s="308"/>
      <c r="AY217" s="310" t="s">
        <v>67</v>
      </c>
      <c r="AZ217" s="310" t="s">
        <v>68</v>
      </c>
      <c r="BA217" s="308"/>
      <c r="BB217" s="310" t="s">
        <v>67</v>
      </c>
      <c r="BC217" s="310" t="s">
        <v>68</v>
      </c>
    </row>
    <row r="218" spans="1:55" s="86" customFormat="1" ht="25" customHeight="1" thickTop="1">
      <c r="A218" s="479">
        <f>IF('TECH DATA ENTRY'!A235="","",'TECH DATA ENTRY'!A235)</f>
        <v>0</v>
      </c>
      <c r="B218" s="405">
        <f>IF('TECH DATA ENTRY'!B235="","",'TECH DATA ENTRY'!B235)</f>
        <v>0</v>
      </c>
      <c r="C218" s="563">
        <f>IF(B218="","",IFERROR('TECH DATA ENTRY'!F235,"NA"))</f>
        <v>-5.0000000000000001E-3</v>
      </c>
      <c r="D218" s="563" t="str">
        <f>IF('TECH DATA ENTRY'!L235="","",'TECH DATA ENTRY'!L235)</f>
        <v/>
      </c>
      <c r="E218" s="563" t="str">
        <f t="shared" si="97"/>
        <v/>
      </c>
      <c r="F218" s="563">
        <f>IF(B218="","",IFERROR('TECH DATA ENTRY'!G235,"NA"))</f>
        <v>5.0000000000000001E-3</v>
      </c>
      <c r="G218" s="564" t="str">
        <f t="shared" si="98"/>
        <v/>
      </c>
      <c r="H218" s="563" t="str">
        <f>IF(OR(ISTEXT(B218)=TRUE, D218="NA",D218=""),"NA", roundsf(MAX(L218,M218),C218))</f>
        <v>NA</v>
      </c>
      <c r="I218" s="558" t="str">
        <f t="shared" si="99"/>
        <v>NA</v>
      </c>
      <c r="J218" s="299"/>
      <c r="K218" s="245"/>
      <c r="L218" s="506">
        <f>(51/1000000)*ABS(B218)+(0.7/1000)</f>
        <v>6.9999999999999999E-4</v>
      </c>
      <c r="M218" s="244" t="str">
        <f>UNC_CALCULATION!AM207</f>
        <v>NA</v>
      </c>
      <c r="N218" s="85"/>
      <c r="O218" s="58"/>
      <c r="P218" s="69" t="e">
        <f>IF(B218="","",INDEX('AUX TABLES'!$G$4:$K$8,AV218,AW218))</f>
        <v>#VALUE!</v>
      </c>
      <c r="Q218" s="150" t="e">
        <f>IF(AJ$11=FALSE,IF(B218="","",IF(AJ218="NA",P218,INDEX('AUX TABLES'!$G$4:$K$8,AY218,AZ218))),IF(P218="FAIL",P218,INDEX('AUX TABLES'!$G$4:$K$8,AY218,AZ218)))</f>
        <v>#VALUE!</v>
      </c>
      <c r="R218" s="150" t="e">
        <f>IF(AJ$11=FALSE,IF(B218="","",IF(AJ218="NA",P218,INDEX('AUX TABLES'!$G$4:$K$8,BB218,BC218))),IF(P218="FAIL",P218,INDEX('AUX TABLES'!$G$4:$K$8,BB218,BC218)))</f>
        <v>#VALUE!</v>
      </c>
      <c r="S218" s="69" t="e">
        <f>INDEX('AUX TABLES'!$G$4:$K$8,AM218,AN218)</f>
        <v>#VALUE!</v>
      </c>
      <c r="T218" s="69" t="e">
        <f>IF(AJ$11=FALSE,IF(AJ218="NA",S218,INDEX('AUX TABLES'!$G$4:$K$8,AP218,AQ218)),IF(S218="FAIL",S218,INDEX('AUX TABLES'!$G$4:$K$8,AP218,AQ218)))</f>
        <v>#VALUE!</v>
      </c>
      <c r="U218" s="150" t="e">
        <f>IF(AJ$11=FALSE,IF(AJ218="NA",S218,INDEX('AUX TABLES'!$G$4:$K$8,AS218,AT218)),IF(S218="FAIL",S218,INDEX('AUX TABLES'!$G$4:$K$8,AS218,AT218)))</f>
        <v>#VALUE!</v>
      </c>
      <c r="V218" s="150" t="str">
        <f t="shared" si="100"/>
        <v/>
      </c>
      <c r="W218" s="74">
        <f t="shared" si="101"/>
        <v>5.0000000000000001E-3</v>
      </c>
      <c r="X218" s="74" t="str">
        <f t="shared" si="102"/>
        <v>NA</v>
      </c>
      <c r="Y218" s="74" t="str">
        <f t="shared" si="103"/>
        <v>NA</v>
      </c>
      <c r="Z218" s="74" t="str">
        <f t="shared" si="104"/>
        <v>NA</v>
      </c>
      <c r="AA218" s="74" t="str">
        <f t="shared" si="105"/>
        <v>NA</v>
      </c>
      <c r="AB218" s="74">
        <f t="shared" si="106"/>
        <v>-5.0000000000000001E-3</v>
      </c>
      <c r="AC218" s="69" t="str">
        <f>IF(ISTEXT('TECH DATA ENTRY'!L235)=TRUE,"NA",'TECH DATA ENTRY'!H235)</f>
        <v>NA</v>
      </c>
      <c r="AD218" s="69" t="str">
        <f t="shared" si="107"/>
        <v>NA</v>
      </c>
      <c r="AE218" s="69" t="str">
        <f t="shared" si="108"/>
        <v>NA</v>
      </c>
      <c r="AF218" s="69" t="e">
        <f t="shared" si="109"/>
        <v>#VALUE!</v>
      </c>
      <c r="AG218" s="69" t="e">
        <f t="shared" si="110"/>
        <v>#VALUE!</v>
      </c>
      <c r="AH218" s="69" t="e">
        <f t="shared" si="111"/>
        <v>#VALUE!</v>
      </c>
      <c r="AI218" s="69" t="e">
        <f t="shared" si="112"/>
        <v>#VALUE!</v>
      </c>
      <c r="AJ218" s="70" t="str">
        <f>IF(OR(ISTEXT('TECH DATA ENTRY'!L235)=TRUE,ISTEXT('TECH DATA ENTRY'!F235)=TRUE,ISTEXT('TECH DATA ENTRY'!G235)=TRUE),"NA",(W218-AB218)/(2*MAX(M218,L218)))</f>
        <v>NA</v>
      </c>
      <c r="AK218" s="69" t="str">
        <f t="shared" si="113"/>
        <v>NA</v>
      </c>
      <c r="AM218" s="73" t="e">
        <f t="shared" si="114"/>
        <v>#VALUE!</v>
      </c>
      <c r="AN218" s="73" t="e">
        <f t="shared" si="115"/>
        <v>#VALUE!</v>
      </c>
      <c r="AO218" s="87"/>
      <c r="AP218" s="73" t="e">
        <f t="shared" si="116"/>
        <v>#VALUE!</v>
      </c>
      <c r="AQ218" s="73" t="e">
        <f t="shared" si="117"/>
        <v>#VALUE!</v>
      </c>
      <c r="AR218" s="87"/>
      <c r="AS218" s="73" t="e">
        <f t="shared" si="118"/>
        <v>#VALUE!</v>
      </c>
      <c r="AT218" s="73" t="e">
        <f t="shared" si="119"/>
        <v>#VALUE!</v>
      </c>
      <c r="AV218" s="73" t="e">
        <f t="shared" si="120"/>
        <v>#VALUE!</v>
      </c>
      <c r="AW218" s="73" t="e">
        <f t="shared" si="121"/>
        <v>#VALUE!</v>
      </c>
      <c r="AX218" s="87"/>
      <c r="AY218" s="73" t="e">
        <f t="shared" si="122"/>
        <v>#VALUE!</v>
      </c>
      <c r="AZ218" s="73" t="e">
        <f t="shared" si="123"/>
        <v>#VALUE!</v>
      </c>
      <c r="BA218" s="87"/>
      <c r="BB218" s="73" t="e">
        <f t="shared" si="124"/>
        <v>#VALUE!</v>
      </c>
      <c r="BC218" s="73" t="e">
        <f t="shared" si="125"/>
        <v>#VALUE!</v>
      </c>
    </row>
    <row r="219" spans="1:55" s="86" customFormat="1" ht="25" customHeight="1">
      <c r="A219" s="479">
        <f>IF('TECH DATA ENTRY'!A236="","",'TECH DATA ENTRY'!A236)</f>
        <v>100</v>
      </c>
      <c r="B219" s="405">
        <f>IF('TECH DATA ENTRY'!B236="","",'TECH DATA ENTRY'!B236)</f>
        <v>100</v>
      </c>
      <c r="C219" s="405">
        <f>IF(B219="","",IFERROR('TECH DATA ENTRY'!F236,"NA"))</f>
        <v>99.944999999999993</v>
      </c>
      <c r="D219" s="405" t="str">
        <f>IF('TECH DATA ENTRY'!L236="","",'TECH DATA ENTRY'!L236)</f>
        <v/>
      </c>
      <c r="E219" s="405" t="str">
        <f t="shared" si="97"/>
        <v/>
      </c>
      <c r="F219" s="405">
        <f>IF(B219="","",IFERROR('TECH DATA ENTRY'!G236,"NA"))</f>
        <v>100.05500000000001</v>
      </c>
      <c r="G219" s="593" t="str">
        <f t="shared" si="98"/>
        <v/>
      </c>
      <c r="H219" s="405" t="str">
        <f>IF(OR(ISTEXT(B219)=TRUE, D219="NA",D219=""),"NA", roundsf(MAX(L219,M219),C219))</f>
        <v>NA</v>
      </c>
      <c r="I219" s="325" t="str">
        <f t="shared" si="99"/>
        <v>NA</v>
      </c>
      <c r="J219" s="299"/>
      <c r="K219" s="245"/>
      <c r="L219" s="506">
        <f t="shared" ref="L219:L220" si="126">(51/1000000)*ABS(B219)+(0.7/1000)</f>
        <v>5.8000000000000005E-3</v>
      </c>
      <c r="M219" s="244" t="str">
        <f>UNC_CALCULATION!AM208</f>
        <v>NA</v>
      </c>
      <c r="N219" s="85"/>
      <c r="O219" s="58"/>
      <c r="P219" s="69" t="e">
        <f>IF(B219="","",INDEX('AUX TABLES'!$G$4:$K$8,AV219,AW219))</f>
        <v>#VALUE!</v>
      </c>
      <c r="Q219" s="150" t="e">
        <f>IF(AJ$11=FALSE,IF(B219="","",IF(AJ219="NA",P219,INDEX('AUX TABLES'!$G$4:$K$8,AY219,AZ219))),IF(P219="FAIL",P219,INDEX('AUX TABLES'!$G$4:$K$8,AY219,AZ219)))</f>
        <v>#VALUE!</v>
      </c>
      <c r="R219" s="150" t="e">
        <f>IF(AJ$11=FALSE,IF(B219="","",IF(AJ219="NA",P219,INDEX('AUX TABLES'!$G$4:$K$8,BB219,BC219))),IF(P219="FAIL",P219,INDEX('AUX TABLES'!$G$4:$K$8,BB219,BC219)))</f>
        <v>#VALUE!</v>
      </c>
      <c r="S219" s="69" t="e">
        <f>INDEX('AUX TABLES'!$G$4:$K$8,AM219,AN219)</f>
        <v>#VALUE!</v>
      </c>
      <c r="T219" s="69" t="e">
        <f>IF(AJ$11=FALSE,IF(AJ219="NA",S219,INDEX('AUX TABLES'!$G$4:$K$8,AP219,AQ219)),IF(S219="FAIL",S219,INDEX('AUX TABLES'!$G$4:$K$8,AP219,AQ219)))</f>
        <v>#VALUE!</v>
      </c>
      <c r="U219" s="150" t="e">
        <f>IF(AJ$11=FALSE,IF(AJ219="NA",S219,INDEX('AUX TABLES'!$G$4:$K$8,AS219,AT219)),IF(S219="FAIL",S219,INDEX('AUX TABLES'!$G$4:$K$8,AS219,AT219)))</f>
        <v>#VALUE!</v>
      </c>
      <c r="V219" s="150" t="str">
        <f t="shared" si="100"/>
        <v/>
      </c>
      <c r="W219" s="74">
        <f t="shared" si="101"/>
        <v>100.05500000000001</v>
      </c>
      <c r="X219" s="74" t="str">
        <f t="shared" si="102"/>
        <v>NA</v>
      </c>
      <c r="Y219" s="74" t="str">
        <f t="shared" si="103"/>
        <v>NA</v>
      </c>
      <c r="Z219" s="74" t="str">
        <f t="shared" si="104"/>
        <v>NA</v>
      </c>
      <c r="AA219" s="74" t="str">
        <f t="shared" si="105"/>
        <v>NA</v>
      </c>
      <c r="AB219" s="74">
        <f t="shared" si="106"/>
        <v>99.944999999999993</v>
      </c>
      <c r="AC219" s="69" t="str">
        <f>IF(ISTEXT('TECH DATA ENTRY'!L236)=TRUE,"NA",'TECH DATA ENTRY'!H236)</f>
        <v>NA</v>
      </c>
      <c r="AD219" s="69" t="str">
        <f t="shared" si="107"/>
        <v>NA</v>
      </c>
      <c r="AE219" s="69" t="str">
        <f t="shared" si="108"/>
        <v>NA</v>
      </c>
      <c r="AF219" s="69" t="e">
        <f t="shared" si="109"/>
        <v>#VALUE!</v>
      </c>
      <c r="AG219" s="69" t="e">
        <f t="shared" si="110"/>
        <v>#VALUE!</v>
      </c>
      <c r="AH219" s="69" t="e">
        <f t="shared" si="111"/>
        <v>#VALUE!</v>
      </c>
      <c r="AI219" s="69" t="e">
        <f t="shared" si="112"/>
        <v>#VALUE!</v>
      </c>
      <c r="AJ219" s="70" t="str">
        <f>IF(OR(ISTEXT('TECH DATA ENTRY'!L236)=TRUE,ISTEXT('TECH DATA ENTRY'!F236)=TRUE,ISTEXT('TECH DATA ENTRY'!G236)=TRUE),"NA",(W219-AB219)/(2*MAX(M219,L219)))</f>
        <v>NA</v>
      </c>
      <c r="AK219" s="69" t="str">
        <f t="shared" si="113"/>
        <v>NA</v>
      </c>
      <c r="AM219" s="73" t="e">
        <f t="shared" si="114"/>
        <v>#VALUE!</v>
      </c>
      <c r="AN219" s="73" t="e">
        <f t="shared" si="115"/>
        <v>#VALUE!</v>
      </c>
      <c r="AO219" s="87"/>
      <c r="AP219" s="73" t="e">
        <f t="shared" si="116"/>
        <v>#VALUE!</v>
      </c>
      <c r="AQ219" s="73" t="e">
        <f t="shared" si="117"/>
        <v>#VALUE!</v>
      </c>
      <c r="AR219" s="87"/>
      <c r="AS219" s="73" t="e">
        <f t="shared" si="118"/>
        <v>#VALUE!</v>
      </c>
      <c r="AT219" s="73" t="e">
        <f t="shared" si="119"/>
        <v>#VALUE!</v>
      </c>
      <c r="AV219" s="73" t="e">
        <f t="shared" si="120"/>
        <v>#VALUE!</v>
      </c>
      <c r="AW219" s="73" t="e">
        <f t="shared" si="121"/>
        <v>#VALUE!</v>
      </c>
      <c r="AX219" s="87"/>
      <c r="AY219" s="73" t="e">
        <f t="shared" si="122"/>
        <v>#VALUE!</v>
      </c>
      <c r="AZ219" s="73" t="e">
        <f t="shared" si="123"/>
        <v>#VALUE!</v>
      </c>
      <c r="BA219" s="87"/>
      <c r="BB219" s="73" t="e">
        <f t="shared" si="124"/>
        <v>#VALUE!</v>
      </c>
      <c r="BC219" s="73" t="e">
        <f t="shared" si="125"/>
        <v>#VALUE!</v>
      </c>
    </row>
    <row r="220" spans="1:55" s="86" customFormat="1" ht="25" customHeight="1" thickBot="1">
      <c r="A220" s="480">
        <f>IF('TECH DATA ENTRY'!A237="","",'TECH DATA ENTRY'!A237)</f>
        <v>-100</v>
      </c>
      <c r="B220" s="471">
        <f>IF('TECH DATA ENTRY'!B237="","",'TECH DATA ENTRY'!B237)</f>
        <v>-100</v>
      </c>
      <c r="C220" s="580">
        <f>IF(B220="","",IFERROR('TECH DATA ENTRY'!F237,"NA"))</f>
        <v>-100.05500000000001</v>
      </c>
      <c r="D220" s="580" t="str">
        <f>IF('TECH DATA ENTRY'!L237="","",'TECH DATA ENTRY'!L237)</f>
        <v/>
      </c>
      <c r="E220" s="580" t="str">
        <f t="shared" si="97"/>
        <v/>
      </c>
      <c r="F220" s="580">
        <f>IF(B220="","",IFERROR('TECH DATA ENTRY'!G237,"NA"))</f>
        <v>-99.944999999999993</v>
      </c>
      <c r="G220" s="581" t="str">
        <f t="shared" si="98"/>
        <v/>
      </c>
      <c r="H220" s="580" t="str">
        <f>IF(OR(ISTEXT(B220)=TRUE, D220="NA",D220=""),"NA", roundsf(MAX(L220,M220),C220))</f>
        <v>NA</v>
      </c>
      <c r="I220" s="575" t="str">
        <f t="shared" si="99"/>
        <v>NA</v>
      </c>
      <c r="J220" s="299"/>
      <c r="K220" s="245"/>
      <c r="L220" s="506">
        <f t="shared" si="126"/>
        <v>5.8000000000000005E-3</v>
      </c>
      <c r="M220" s="244" t="str">
        <f>UNC_CALCULATION!AM209</f>
        <v>NA</v>
      </c>
      <c r="N220" s="85"/>
      <c r="O220" s="58"/>
      <c r="P220" s="69" t="e">
        <f>IF(B220="","",INDEX('AUX TABLES'!$G$4:$K$8,AV220,AW220))</f>
        <v>#VALUE!</v>
      </c>
      <c r="Q220" s="150" t="e">
        <f>IF(AJ$11=FALSE,IF(B220="","",IF(AJ220="NA",P220,INDEX('AUX TABLES'!$G$4:$K$8,AY220,AZ220))),IF(P220="FAIL",P220,INDEX('AUX TABLES'!$G$4:$K$8,AY220,AZ220)))</f>
        <v>#VALUE!</v>
      </c>
      <c r="R220" s="150" t="e">
        <f>IF(AJ$11=FALSE,IF(B220="","",IF(AJ220="NA",P220,INDEX('AUX TABLES'!$G$4:$K$8,BB220,BC220))),IF(P220="FAIL",P220,INDEX('AUX TABLES'!$G$4:$K$8,BB220,BC220)))</f>
        <v>#VALUE!</v>
      </c>
      <c r="S220" s="69" t="e">
        <f>INDEX('AUX TABLES'!$G$4:$K$8,AM220,AN220)</f>
        <v>#VALUE!</v>
      </c>
      <c r="T220" s="69" t="e">
        <f>IF(AJ$11=FALSE,IF(AJ220="NA",S220,INDEX('AUX TABLES'!$G$4:$K$8,AP220,AQ220)),IF(S220="FAIL",S220,INDEX('AUX TABLES'!$G$4:$K$8,AP220,AQ220)))</f>
        <v>#VALUE!</v>
      </c>
      <c r="U220" s="150" t="e">
        <f>IF(AJ$11=FALSE,IF(AJ220="NA",S220,INDEX('AUX TABLES'!$G$4:$K$8,AS220,AT220)),IF(S220="FAIL",S220,INDEX('AUX TABLES'!$G$4:$K$8,AS220,AT220)))</f>
        <v>#VALUE!</v>
      </c>
      <c r="V220" s="150" t="str">
        <f t="shared" si="100"/>
        <v/>
      </c>
      <c r="W220" s="74">
        <f t="shared" si="101"/>
        <v>-99.944999999999993</v>
      </c>
      <c r="X220" s="74" t="str">
        <f t="shared" si="102"/>
        <v>NA</v>
      </c>
      <c r="Y220" s="74" t="str">
        <f t="shared" si="103"/>
        <v>NA</v>
      </c>
      <c r="Z220" s="74" t="str">
        <f t="shared" si="104"/>
        <v>NA</v>
      </c>
      <c r="AA220" s="74" t="str">
        <f t="shared" si="105"/>
        <v>NA</v>
      </c>
      <c r="AB220" s="74">
        <f t="shared" si="106"/>
        <v>-100.05500000000001</v>
      </c>
      <c r="AC220" s="69" t="str">
        <f>IF(ISTEXT('TECH DATA ENTRY'!L237)=TRUE,"NA",'TECH DATA ENTRY'!H237)</f>
        <v>NA</v>
      </c>
      <c r="AD220" s="69" t="str">
        <f t="shared" si="107"/>
        <v>NA</v>
      </c>
      <c r="AE220" s="69" t="str">
        <f t="shared" si="108"/>
        <v>NA</v>
      </c>
      <c r="AF220" s="69" t="e">
        <f t="shared" si="109"/>
        <v>#VALUE!</v>
      </c>
      <c r="AG220" s="69" t="e">
        <f t="shared" si="110"/>
        <v>#VALUE!</v>
      </c>
      <c r="AH220" s="69" t="e">
        <f t="shared" si="111"/>
        <v>#VALUE!</v>
      </c>
      <c r="AI220" s="69" t="e">
        <f t="shared" si="112"/>
        <v>#VALUE!</v>
      </c>
      <c r="AJ220" s="70" t="str">
        <f>IF(OR(ISTEXT('TECH DATA ENTRY'!L237)=TRUE,ISTEXT('TECH DATA ENTRY'!F237)=TRUE,ISTEXT('TECH DATA ENTRY'!G237)=TRUE),"NA",(W220-AB220)/(2*MAX(M220,L220)))</f>
        <v>NA</v>
      </c>
      <c r="AK220" s="69" t="str">
        <f t="shared" si="113"/>
        <v>NA</v>
      </c>
      <c r="AM220" s="73" t="e">
        <f t="shared" si="114"/>
        <v>#VALUE!</v>
      </c>
      <c r="AN220" s="73" t="e">
        <f t="shared" si="115"/>
        <v>#VALUE!</v>
      </c>
      <c r="AO220" s="87"/>
      <c r="AP220" s="73" t="e">
        <f t="shared" si="116"/>
        <v>#VALUE!</v>
      </c>
      <c r="AQ220" s="73" t="e">
        <f t="shared" si="117"/>
        <v>#VALUE!</v>
      </c>
      <c r="AR220" s="87"/>
      <c r="AS220" s="73" t="e">
        <f t="shared" si="118"/>
        <v>#VALUE!</v>
      </c>
      <c r="AT220" s="73" t="e">
        <f t="shared" si="119"/>
        <v>#VALUE!</v>
      </c>
      <c r="AV220" s="73" t="e">
        <f t="shared" si="120"/>
        <v>#VALUE!</v>
      </c>
      <c r="AW220" s="73" t="e">
        <f t="shared" si="121"/>
        <v>#VALUE!</v>
      </c>
      <c r="AX220" s="87"/>
      <c r="AY220" s="73" t="e">
        <f t="shared" si="122"/>
        <v>#VALUE!</v>
      </c>
      <c r="AZ220" s="73" t="e">
        <f t="shared" si="123"/>
        <v>#VALUE!</v>
      </c>
      <c r="BA220" s="87"/>
      <c r="BB220" s="73" t="e">
        <f t="shared" si="124"/>
        <v>#VALUE!</v>
      </c>
      <c r="BC220" s="73" t="e">
        <f t="shared" si="125"/>
        <v>#VALUE!</v>
      </c>
    </row>
    <row r="221" spans="1:55" s="296" customFormat="1" ht="28.15" customHeight="1">
      <c r="A221" s="550" t="str">
        <f>IF('TECH DATA ENTRY'!A238="","",'TECH DATA ENTRY'!A238)</f>
        <v/>
      </c>
      <c r="B221" s="551"/>
      <c r="C221" s="552"/>
      <c r="D221" s="551"/>
      <c r="E221" s="551"/>
      <c r="F221" s="551"/>
      <c r="G221" s="552"/>
      <c r="H221" s="551"/>
      <c r="I221" s="553"/>
      <c r="J221" s="224"/>
      <c r="K221" s="224"/>
      <c r="L221" s="224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AK221" s="297"/>
    </row>
    <row r="222" spans="1:55" s="31" customFormat="1" ht="22.15" customHeight="1">
      <c r="A222" s="76" t="str">
        <f>IF('TECH DATA ENTRY'!A239="","",'TECH DATA ENTRY'!A239)</f>
        <v>Range 400 mA</v>
      </c>
      <c r="H222" s="321"/>
      <c r="O222" s="77"/>
      <c r="AK222" s="1"/>
      <c r="AM222" s="637" t="s">
        <v>116</v>
      </c>
      <c r="AN222" s="637"/>
      <c r="AO222" s="637"/>
      <c r="AP222" s="637"/>
      <c r="AQ222" s="637"/>
      <c r="AR222" s="637"/>
      <c r="AS222" s="637"/>
      <c r="AT222" s="637"/>
      <c r="AV222" s="637" t="s">
        <v>117</v>
      </c>
      <c r="AW222" s="637"/>
      <c r="AX222" s="637"/>
      <c r="AY222" s="637"/>
      <c r="AZ222" s="637"/>
      <c r="BA222" s="637"/>
      <c r="BB222" s="637"/>
      <c r="BC222" s="637"/>
    </row>
    <row r="223" spans="1:55" s="225" customFormat="1" ht="4.9000000000000004" customHeight="1" thickBot="1">
      <c r="A223" s="288" t="str">
        <f>IF('TECH DATA ENTRY'!A240="","",'TECH DATA ENTRY'!A240)</f>
        <v/>
      </c>
      <c r="K223" s="239"/>
      <c r="L223" s="239"/>
      <c r="AK223" s="240"/>
    </row>
    <row r="224" spans="1:55" s="285" customFormat="1" ht="20.149999999999999" customHeight="1">
      <c r="A224" s="644" t="str">
        <f>IF('TECH DATA ENTRY'!A241="","",'TECH DATA ENTRY'!A241)</f>
        <v>Function Tested</v>
      </c>
      <c r="B224" s="646" t="str">
        <f>IF('TECH DATA ENTRY'!B241="","",'TECH DATA ENTRY'!B241)</f>
        <v>Nominal</v>
      </c>
      <c r="C224" s="648" t="s">
        <v>2</v>
      </c>
      <c r="D224" s="648" t="str">
        <f>IF(LEFT(P$11,3)="ROV", "Measured Value", "As Found")</f>
        <v>As Found</v>
      </c>
      <c r="E224" s="648" t="str">
        <f>IF(LEFT(P$11,3)="ROV", "Correction", "As Left")</f>
        <v>As Left</v>
      </c>
      <c r="F224" s="648" t="s">
        <v>3</v>
      </c>
      <c r="G224" s="653" t="s">
        <v>4</v>
      </c>
      <c r="H224" s="659" t="s">
        <v>30</v>
      </c>
      <c r="I224" s="661" t="s">
        <v>28</v>
      </c>
      <c r="J224" s="284"/>
      <c r="L224" s="658" t="s">
        <v>38</v>
      </c>
      <c r="M224" s="616" t="s">
        <v>31</v>
      </c>
      <c r="N224" s="281"/>
      <c r="O224" s="286"/>
      <c r="P224" s="640" t="s">
        <v>136</v>
      </c>
      <c r="Q224" s="641"/>
      <c r="R224" s="642"/>
      <c r="S224" s="638" t="s">
        <v>115</v>
      </c>
      <c r="T224" s="638"/>
      <c r="U224" s="638"/>
      <c r="V224" s="638"/>
      <c r="W224" s="640" t="s">
        <v>64</v>
      </c>
      <c r="X224" s="641"/>
      <c r="Y224" s="641"/>
      <c r="Z224" s="641"/>
      <c r="AA224" s="641"/>
      <c r="AB224" s="642"/>
      <c r="AC224" s="638" t="s">
        <v>97</v>
      </c>
      <c r="AD224" s="638"/>
      <c r="AE224" s="638"/>
      <c r="AF224" s="638" t="s">
        <v>127</v>
      </c>
      <c r="AG224" s="638"/>
      <c r="AH224" s="638" t="s">
        <v>128</v>
      </c>
      <c r="AI224" s="638"/>
      <c r="AJ224" s="638" t="s">
        <v>28</v>
      </c>
      <c r="AK224" s="638" t="s">
        <v>121</v>
      </c>
      <c r="AL224" s="308"/>
      <c r="AM224" s="639" t="s">
        <v>122</v>
      </c>
      <c r="AN224" s="639"/>
      <c r="AO224" s="308"/>
      <c r="AP224" s="639" t="s">
        <v>119</v>
      </c>
      <c r="AQ224" s="639"/>
      <c r="AR224" s="308"/>
      <c r="AS224" s="639" t="s">
        <v>120</v>
      </c>
      <c r="AT224" s="639"/>
      <c r="AU224" s="308"/>
      <c r="AV224" s="639" t="s">
        <v>122</v>
      </c>
      <c r="AW224" s="639"/>
      <c r="AX224" s="308"/>
      <c r="AY224" s="639" t="s">
        <v>119</v>
      </c>
      <c r="AZ224" s="639"/>
      <c r="BA224" s="308"/>
      <c r="BB224" s="639" t="s">
        <v>120</v>
      </c>
      <c r="BC224" s="639"/>
    </row>
    <row r="225" spans="1:55" s="285" customFormat="1" ht="20.149999999999999" customHeight="1" thickBot="1">
      <c r="A225" s="645"/>
      <c r="B225" s="647"/>
      <c r="C225" s="649"/>
      <c r="D225" s="649"/>
      <c r="E225" s="649"/>
      <c r="F225" s="649"/>
      <c r="G225" s="654"/>
      <c r="H225" s="660"/>
      <c r="I225" s="662"/>
      <c r="J225" s="284"/>
      <c r="L225" s="649"/>
      <c r="M225" s="617"/>
      <c r="O225" s="281"/>
      <c r="P225" s="309" t="s">
        <v>122</v>
      </c>
      <c r="Q225" s="309" t="s">
        <v>119</v>
      </c>
      <c r="R225" s="309" t="s">
        <v>120</v>
      </c>
      <c r="S225" s="309" t="s">
        <v>122</v>
      </c>
      <c r="T225" s="309" t="s">
        <v>119</v>
      </c>
      <c r="U225" s="309" t="s">
        <v>120</v>
      </c>
      <c r="V225" s="309" t="s">
        <v>118</v>
      </c>
      <c r="W225" s="309" t="s">
        <v>63</v>
      </c>
      <c r="X225" s="309" t="s">
        <v>69</v>
      </c>
      <c r="Y225" s="309" t="s">
        <v>71</v>
      </c>
      <c r="Z225" s="309" t="s">
        <v>72</v>
      </c>
      <c r="AA225" s="309" t="s">
        <v>70</v>
      </c>
      <c r="AB225" s="309" t="s">
        <v>75</v>
      </c>
      <c r="AC225" s="309" t="s">
        <v>78</v>
      </c>
      <c r="AD225" s="309" t="s">
        <v>119</v>
      </c>
      <c r="AE225" s="309" t="s">
        <v>120</v>
      </c>
      <c r="AF225" s="309" t="s">
        <v>129</v>
      </c>
      <c r="AG225" s="309" t="s">
        <v>130</v>
      </c>
      <c r="AH225" s="309" t="s">
        <v>129</v>
      </c>
      <c r="AI225" s="309" t="s">
        <v>130</v>
      </c>
      <c r="AJ225" s="652"/>
      <c r="AK225" s="652"/>
      <c r="AL225" s="308"/>
      <c r="AM225" s="310" t="s">
        <v>67</v>
      </c>
      <c r="AN225" s="310" t="s">
        <v>68</v>
      </c>
      <c r="AO225" s="308"/>
      <c r="AP225" s="310" t="s">
        <v>67</v>
      </c>
      <c r="AQ225" s="310" t="s">
        <v>68</v>
      </c>
      <c r="AR225" s="308"/>
      <c r="AS225" s="310" t="s">
        <v>67</v>
      </c>
      <c r="AT225" s="310" t="s">
        <v>68</v>
      </c>
      <c r="AU225" s="308"/>
      <c r="AV225" s="310" t="s">
        <v>67</v>
      </c>
      <c r="AW225" s="310" t="s">
        <v>68</v>
      </c>
      <c r="AX225" s="308"/>
      <c r="AY225" s="310" t="s">
        <v>67</v>
      </c>
      <c r="AZ225" s="310" t="s">
        <v>68</v>
      </c>
      <c r="BA225" s="308"/>
      <c r="BB225" s="310" t="s">
        <v>67</v>
      </c>
      <c r="BC225" s="310" t="s">
        <v>68</v>
      </c>
    </row>
    <row r="226" spans="1:55" s="86" customFormat="1" ht="25" customHeight="1" thickTop="1">
      <c r="A226" s="479">
        <f>IF('TECH DATA ENTRY'!A243="","",'TECH DATA ENTRY'!A243)</f>
        <v>0</v>
      </c>
      <c r="B226" s="451">
        <f>IF('TECH DATA ENTRY'!B243="","",'TECH DATA ENTRY'!B243)</f>
        <v>0</v>
      </c>
      <c r="C226" s="565">
        <f>IF(B226="","",IFERROR('TECH DATA ENTRY'!F243,"NA"))</f>
        <v>-0.02</v>
      </c>
      <c r="D226" s="565" t="str">
        <f>IF('TECH DATA ENTRY'!L243="","",'TECH DATA ENTRY'!L243)</f>
        <v/>
      </c>
      <c r="E226" s="565" t="str">
        <f t="shared" si="97"/>
        <v/>
      </c>
      <c r="F226" s="565">
        <f>IF(B226="","",IFERROR('TECH DATA ENTRY'!G243,"NA"))</f>
        <v>0.02</v>
      </c>
      <c r="G226" s="566" t="str">
        <f t="shared" si="98"/>
        <v/>
      </c>
      <c r="H226" s="565" t="str">
        <f>IF(OR(ISTEXT(B226)=TRUE, D226="NA",D226=""),"NA", roundsf(MAX(L226,M226),C226))</f>
        <v>NA</v>
      </c>
      <c r="I226" s="558" t="str">
        <f t="shared" si="99"/>
        <v>NA</v>
      </c>
      <c r="J226" s="299"/>
      <c r="K226" s="245"/>
      <c r="L226" s="506">
        <f>(95/1000000)*ABS(B226)+(12/1000)</f>
        <v>1.2E-2</v>
      </c>
      <c r="M226" s="244" t="str">
        <f>UNC_CALCULATION!AM215</f>
        <v>NA</v>
      </c>
      <c r="N226" s="85"/>
      <c r="O226" s="58"/>
      <c r="P226" s="69" t="e">
        <f>IF(B226="","",INDEX('AUX TABLES'!$G$4:$K$8,AV226,AW226))</f>
        <v>#VALUE!</v>
      </c>
      <c r="Q226" s="150" t="e">
        <f>IF(AJ$11=FALSE,IF(B226="","",IF(AJ226="NA",P226,INDEX('AUX TABLES'!$G$4:$K$8,AY226,AZ226))),IF(P226="FAIL",P226,INDEX('AUX TABLES'!$G$4:$K$8,AY226,AZ226)))</f>
        <v>#VALUE!</v>
      </c>
      <c r="R226" s="150" t="e">
        <f>IF(AJ$11=FALSE,IF(B226="","",IF(AJ226="NA",P226,INDEX('AUX TABLES'!$G$4:$K$8,BB226,BC226))),IF(P226="FAIL",P226,INDEX('AUX TABLES'!$G$4:$K$8,BB226,BC226)))</f>
        <v>#VALUE!</v>
      </c>
      <c r="S226" s="69" t="e">
        <f>INDEX('AUX TABLES'!$G$4:$K$8,AM226,AN226)</f>
        <v>#VALUE!</v>
      </c>
      <c r="T226" s="69" t="e">
        <f>IF(AJ$11=FALSE,IF(AJ226="NA",S226,INDEX('AUX TABLES'!$G$4:$K$8,AP226,AQ226)),IF(S226="FAIL",S226,INDEX('AUX TABLES'!$G$4:$K$8,AP226,AQ226)))</f>
        <v>#VALUE!</v>
      </c>
      <c r="U226" s="150" t="e">
        <f>IF(AJ$11=FALSE,IF(AJ226="NA",S226,INDEX('AUX TABLES'!$G$4:$K$8,AS226,AT226)),IF(S226="FAIL",S226,INDEX('AUX TABLES'!$G$4:$K$8,AS226,AT226)))</f>
        <v>#VALUE!</v>
      </c>
      <c r="V226" s="150" t="str">
        <f t="shared" si="100"/>
        <v/>
      </c>
      <c r="W226" s="74">
        <f t="shared" si="101"/>
        <v>0.02</v>
      </c>
      <c r="X226" s="74" t="str">
        <f t="shared" si="102"/>
        <v>NA</v>
      </c>
      <c r="Y226" s="74" t="str">
        <f t="shared" si="103"/>
        <v>NA</v>
      </c>
      <c r="Z226" s="74" t="str">
        <f t="shared" si="104"/>
        <v>NA</v>
      </c>
      <c r="AA226" s="74" t="str">
        <f t="shared" si="105"/>
        <v>NA</v>
      </c>
      <c r="AB226" s="74">
        <f t="shared" si="106"/>
        <v>-0.02</v>
      </c>
      <c r="AC226" s="69" t="str">
        <f>IF(ISTEXT('TECH DATA ENTRY'!L243)=TRUE,"NA",'TECH DATA ENTRY'!H243)</f>
        <v>NA</v>
      </c>
      <c r="AD226" s="69" t="str">
        <f t="shared" si="107"/>
        <v>NA</v>
      </c>
      <c r="AE226" s="69" t="str">
        <f t="shared" si="108"/>
        <v>NA</v>
      </c>
      <c r="AF226" s="69" t="e">
        <f t="shared" si="109"/>
        <v>#VALUE!</v>
      </c>
      <c r="AG226" s="69" t="e">
        <f t="shared" si="110"/>
        <v>#VALUE!</v>
      </c>
      <c r="AH226" s="69" t="e">
        <f t="shared" si="111"/>
        <v>#VALUE!</v>
      </c>
      <c r="AI226" s="69" t="e">
        <f t="shared" si="112"/>
        <v>#VALUE!</v>
      </c>
      <c r="AJ226" s="70" t="str">
        <f>IF(OR(ISTEXT('TECH DATA ENTRY'!L243)=TRUE,ISTEXT('TECH DATA ENTRY'!F243)=TRUE,ISTEXT('TECH DATA ENTRY'!G243)=TRUE),"NA",(W226-AB226)/(2*MAX(M226,L226)))</f>
        <v>NA</v>
      </c>
      <c r="AK226" s="69" t="str">
        <f t="shared" si="113"/>
        <v>NA</v>
      </c>
      <c r="AM226" s="73" t="e">
        <f t="shared" si="114"/>
        <v>#VALUE!</v>
      </c>
      <c r="AN226" s="73" t="e">
        <f t="shared" si="115"/>
        <v>#VALUE!</v>
      </c>
      <c r="AO226" s="87"/>
      <c r="AP226" s="73" t="e">
        <f t="shared" si="116"/>
        <v>#VALUE!</v>
      </c>
      <c r="AQ226" s="73" t="e">
        <f t="shared" si="117"/>
        <v>#VALUE!</v>
      </c>
      <c r="AR226" s="87"/>
      <c r="AS226" s="73" t="e">
        <f t="shared" si="118"/>
        <v>#VALUE!</v>
      </c>
      <c r="AT226" s="73" t="e">
        <f t="shared" si="119"/>
        <v>#VALUE!</v>
      </c>
      <c r="AV226" s="73" t="e">
        <f t="shared" si="120"/>
        <v>#VALUE!</v>
      </c>
      <c r="AW226" s="73" t="e">
        <f t="shared" si="121"/>
        <v>#VALUE!</v>
      </c>
      <c r="AX226" s="87"/>
      <c r="AY226" s="73" t="e">
        <f t="shared" si="122"/>
        <v>#VALUE!</v>
      </c>
      <c r="AZ226" s="73" t="e">
        <f t="shared" si="123"/>
        <v>#VALUE!</v>
      </c>
      <c r="BA226" s="87"/>
      <c r="BB226" s="73" t="e">
        <f t="shared" si="124"/>
        <v>#VALUE!</v>
      </c>
      <c r="BC226" s="73" t="e">
        <f t="shared" si="125"/>
        <v>#VALUE!</v>
      </c>
    </row>
    <row r="227" spans="1:55" s="86" customFormat="1" ht="25" customHeight="1">
      <c r="A227" s="479">
        <f>IF('TECH DATA ENTRY'!A244="","",'TECH DATA ENTRY'!A244)</f>
        <v>400</v>
      </c>
      <c r="B227" s="451">
        <f>IF('TECH DATA ENTRY'!B244="","",'TECH DATA ENTRY'!B244)</f>
        <v>400</v>
      </c>
      <c r="C227" s="451">
        <f>IF(B227="","",IFERROR('TECH DATA ENTRY'!F244,"NA"))</f>
        <v>399.78</v>
      </c>
      <c r="D227" s="451" t="str">
        <f>IF('TECH DATA ENTRY'!L244="","",'TECH DATA ENTRY'!L244)</f>
        <v/>
      </c>
      <c r="E227" s="451" t="str">
        <f t="shared" si="97"/>
        <v/>
      </c>
      <c r="F227" s="451">
        <f>IF(B227="","",IFERROR('TECH DATA ENTRY'!G244,"NA"))</f>
        <v>400.22</v>
      </c>
      <c r="G227" s="594" t="str">
        <f t="shared" si="98"/>
        <v/>
      </c>
      <c r="H227" s="451" t="str">
        <f>IF(OR(ISTEXT(B227)=TRUE, D227="NA",D227=""),"NA", roundsf(MAX(L227,M227),C227))</f>
        <v>NA</v>
      </c>
      <c r="I227" s="325" t="str">
        <f t="shared" si="99"/>
        <v>NA</v>
      </c>
      <c r="J227" s="299"/>
      <c r="K227" s="245"/>
      <c r="L227" s="506">
        <f t="shared" ref="L227:L228" si="127">(95/1000000)*ABS(B227)+(12/1000)</f>
        <v>0.05</v>
      </c>
      <c r="M227" s="244" t="str">
        <f>UNC_CALCULATION!AM216</f>
        <v>NA</v>
      </c>
      <c r="N227" s="85"/>
      <c r="O227" s="58"/>
      <c r="P227" s="69" t="e">
        <f>IF(B227="","",INDEX('AUX TABLES'!$G$4:$K$8,AV227,AW227))</f>
        <v>#VALUE!</v>
      </c>
      <c r="Q227" s="150" t="e">
        <f>IF(AJ$11=FALSE,IF(B227="","",IF(AJ227="NA",P227,INDEX('AUX TABLES'!$G$4:$K$8,AY227,AZ227))),IF(P227="FAIL",P227,INDEX('AUX TABLES'!$G$4:$K$8,AY227,AZ227)))</f>
        <v>#VALUE!</v>
      </c>
      <c r="R227" s="150" t="e">
        <f>IF(AJ$11=FALSE,IF(B227="","",IF(AJ227="NA",P227,INDEX('AUX TABLES'!$G$4:$K$8,BB227,BC227))),IF(P227="FAIL",P227,INDEX('AUX TABLES'!$G$4:$K$8,BB227,BC227)))</f>
        <v>#VALUE!</v>
      </c>
      <c r="S227" s="69" t="e">
        <f>INDEX('AUX TABLES'!$G$4:$K$8,AM227,AN227)</f>
        <v>#VALUE!</v>
      </c>
      <c r="T227" s="69" t="e">
        <f>IF(AJ$11=FALSE,IF(AJ227="NA",S227,INDEX('AUX TABLES'!$G$4:$K$8,AP227,AQ227)),IF(S227="FAIL",S227,INDEX('AUX TABLES'!$G$4:$K$8,AP227,AQ227)))</f>
        <v>#VALUE!</v>
      </c>
      <c r="U227" s="150" t="e">
        <f>IF(AJ$11=FALSE,IF(AJ227="NA",S227,INDEX('AUX TABLES'!$G$4:$K$8,AS227,AT227)),IF(S227="FAIL",S227,INDEX('AUX TABLES'!$G$4:$K$8,AS227,AT227)))</f>
        <v>#VALUE!</v>
      </c>
      <c r="V227" s="150" t="str">
        <f t="shared" si="100"/>
        <v/>
      </c>
      <c r="W227" s="74">
        <f t="shared" si="101"/>
        <v>400.22</v>
      </c>
      <c r="X227" s="74" t="str">
        <f t="shared" si="102"/>
        <v>NA</v>
      </c>
      <c r="Y227" s="74" t="str">
        <f t="shared" si="103"/>
        <v>NA</v>
      </c>
      <c r="Z227" s="74" t="str">
        <f t="shared" si="104"/>
        <v>NA</v>
      </c>
      <c r="AA227" s="74" t="str">
        <f t="shared" si="105"/>
        <v>NA</v>
      </c>
      <c r="AB227" s="74">
        <f t="shared" si="106"/>
        <v>399.78</v>
      </c>
      <c r="AC227" s="69" t="str">
        <f>IF(ISTEXT('TECH DATA ENTRY'!L244)=TRUE,"NA",'TECH DATA ENTRY'!H244)</f>
        <v>NA</v>
      </c>
      <c r="AD227" s="69" t="str">
        <f t="shared" si="107"/>
        <v>NA</v>
      </c>
      <c r="AE227" s="69" t="str">
        <f t="shared" si="108"/>
        <v>NA</v>
      </c>
      <c r="AF227" s="69" t="e">
        <f t="shared" si="109"/>
        <v>#VALUE!</v>
      </c>
      <c r="AG227" s="69" t="e">
        <f t="shared" si="110"/>
        <v>#VALUE!</v>
      </c>
      <c r="AH227" s="69" t="e">
        <f t="shared" si="111"/>
        <v>#VALUE!</v>
      </c>
      <c r="AI227" s="69" t="e">
        <f t="shared" si="112"/>
        <v>#VALUE!</v>
      </c>
      <c r="AJ227" s="70" t="str">
        <f>IF(OR(ISTEXT('TECH DATA ENTRY'!L244)=TRUE,ISTEXT('TECH DATA ENTRY'!F244)=TRUE,ISTEXT('TECH DATA ENTRY'!G244)=TRUE),"NA",(W227-AB227)/(2*MAX(M227,L227)))</f>
        <v>NA</v>
      </c>
      <c r="AK227" s="69" t="str">
        <f t="shared" si="113"/>
        <v>NA</v>
      </c>
      <c r="AM227" s="73" t="e">
        <f t="shared" si="114"/>
        <v>#VALUE!</v>
      </c>
      <c r="AN227" s="73" t="e">
        <f t="shared" si="115"/>
        <v>#VALUE!</v>
      </c>
      <c r="AO227" s="87"/>
      <c r="AP227" s="73" t="e">
        <f t="shared" si="116"/>
        <v>#VALUE!</v>
      </c>
      <c r="AQ227" s="73" t="e">
        <f t="shared" si="117"/>
        <v>#VALUE!</v>
      </c>
      <c r="AR227" s="87"/>
      <c r="AS227" s="73" t="e">
        <f t="shared" si="118"/>
        <v>#VALUE!</v>
      </c>
      <c r="AT227" s="73" t="e">
        <f t="shared" si="119"/>
        <v>#VALUE!</v>
      </c>
      <c r="AV227" s="73" t="e">
        <f t="shared" si="120"/>
        <v>#VALUE!</v>
      </c>
      <c r="AW227" s="73" t="e">
        <f t="shared" si="121"/>
        <v>#VALUE!</v>
      </c>
      <c r="AX227" s="87"/>
      <c r="AY227" s="73" t="e">
        <f t="shared" si="122"/>
        <v>#VALUE!</v>
      </c>
      <c r="AZ227" s="73" t="e">
        <f t="shared" si="123"/>
        <v>#VALUE!</v>
      </c>
      <c r="BA227" s="87"/>
      <c r="BB227" s="73" t="e">
        <f t="shared" si="124"/>
        <v>#VALUE!</v>
      </c>
      <c r="BC227" s="73" t="e">
        <f t="shared" si="125"/>
        <v>#VALUE!</v>
      </c>
    </row>
    <row r="228" spans="1:55" s="86" customFormat="1" ht="25" customHeight="1" thickBot="1">
      <c r="A228" s="480">
        <f>IF('TECH DATA ENTRY'!A245="","",'TECH DATA ENTRY'!A245)</f>
        <v>-400</v>
      </c>
      <c r="B228" s="470">
        <f>IF('TECH DATA ENTRY'!B245="","",'TECH DATA ENTRY'!B245)</f>
        <v>-400</v>
      </c>
      <c r="C228" s="582">
        <f>IF(B228="","",IFERROR('TECH DATA ENTRY'!F245,"NA"))</f>
        <v>-400.22</v>
      </c>
      <c r="D228" s="582" t="str">
        <f>IF('TECH DATA ENTRY'!L245="","",'TECH DATA ENTRY'!L245)</f>
        <v/>
      </c>
      <c r="E228" s="582" t="str">
        <f t="shared" si="97"/>
        <v/>
      </c>
      <c r="F228" s="582">
        <f>IF(B228="","",IFERROR('TECH DATA ENTRY'!G245,"NA"))</f>
        <v>-399.78</v>
      </c>
      <c r="G228" s="583" t="str">
        <f t="shared" si="98"/>
        <v/>
      </c>
      <c r="H228" s="582" t="str">
        <f>IF(OR(ISTEXT(B228)=TRUE, D228="NA",D228=""),"NA", roundsf(MAX(L228,M228),C228))</f>
        <v>NA</v>
      </c>
      <c r="I228" s="575" t="str">
        <f t="shared" si="99"/>
        <v>NA</v>
      </c>
      <c r="J228" s="299"/>
      <c r="K228" s="245"/>
      <c r="L228" s="506">
        <f t="shared" si="127"/>
        <v>0.05</v>
      </c>
      <c r="M228" s="244" t="str">
        <f>UNC_CALCULATION!AM217</f>
        <v>NA</v>
      </c>
      <c r="N228" s="85"/>
      <c r="O228" s="58"/>
      <c r="P228" s="69" t="e">
        <f>IF(B228="","",INDEX('AUX TABLES'!$G$4:$K$8,AV228,AW228))</f>
        <v>#VALUE!</v>
      </c>
      <c r="Q228" s="150" t="e">
        <f>IF(AJ$11=FALSE,IF(B228="","",IF(AJ228="NA",P228,INDEX('AUX TABLES'!$G$4:$K$8,AY228,AZ228))),IF(P228="FAIL",P228,INDEX('AUX TABLES'!$G$4:$K$8,AY228,AZ228)))</f>
        <v>#VALUE!</v>
      </c>
      <c r="R228" s="150" t="e">
        <f>IF(AJ$11=FALSE,IF(B228="","",IF(AJ228="NA",P228,INDEX('AUX TABLES'!$G$4:$K$8,BB228,BC228))),IF(P228="FAIL",P228,INDEX('AUX TABLES'!$G$4:$K$8,BB228,BC228)))</f>
        <v>#VALUE!</v>
      </c>
      <c r="S228" s="69" t="e">
        <f>INDEX('AUX TABLES'!$G$4:$K$8,AM228,AN228)</f>
        <v>#VALUE!</v>
      </c>
      <c r="T228" s="69" t="e">
        <f>IF(AJ$11=FALSE,IF(AJ228="NA",S228,INDEX('AUX TABLES'!$G$4:$K$8,AP228,AQ228)),IF(S228="FAIL",S228,INDEX('AUX TABLES'!$G$4:$K$8,AP228,AQ228)))</f>
        <v>#VALUE!</v>
      </c>
      <c r="U228" s="150" t="e">
        <f>IF(AJ$11=FALSE,IF(AJ228="NA",S228,INDEX('AUX TABLES'!$G$4:$K$8,AS228,AT228)),IF(S228="FAIL",S228,INDEX('AUX TABLES'!$G$4:$K$8,AS228,AT228)))</f>
        <v>#VALUE!</v>
      </c>
      <c r="V228" s="150" t="str">
        <f t="shared" si="100"/>
        <v/>
      </c>
      <c r="W228" s="74">
        <f t="shared" si="101"/>
        <v>-399.78</v>
      </c>
      <c r="X228" s="74" t="str">
        <f t="shared" si="102"/>
        <v>NA</v>
      </c>
      <c r="Y228" s="74" t="str">
        <f t="shared" si="103"/>
        <v>NA</v>
      </c>
      <c r="Z228" s="74" t="str">
        <f t="shared" si="104"/>
        <v>NA</v>
      </c>
      <c r="AA228" s="74" t="str">
        <f t="shared" si="105"/>
        <v>NA</v>
      </c>
      <c r="AB228" s="74">
        <f t="shared" si="106"/>
        <v>-400.22</v>
      </c>
      <c r="AC228" s="69" t="str">
        <f>IF(ISTEXT('TECH DATA ENTRY'!L245)=TRUE,"NA",'TECH DATA ENTRY'!H245)</f>
        <v>NA</v>
      </c>
      <c r="AD228" s="69" t="str">
        <f t="shared" si="107"/>
        <v>NA</v>
      </c>
      <c r="AE228" s="69" t="str">
        <f t="shared" si="108"/>
        <v>NA</v>
      </c>
      <c r="AF228" s="69" t="e">
        <f t="shared" si="109"/>
        <v>#VALUE!</v>
      </c>
      <c r="AG228" s="69" t="e">
        <f t="shared" si="110"/>
        <v>#VALUE!</v>
      </c>
      <c r="AH228" s="69" t="e">
        <f t="shared" si="111"/>
        <v>#VALUE!</v>
      </c>
      <c r="AI228" s="69" t="e">
        <f t="shared" si="112"/>
        <v>#VALUE!</v>
      </c>
      <c r="AJ228" s="70" t="str">
        <f>IF(OR(ISTEXT('TECH DATA ENTRY'!L245)=TRUE,ISTEXT('TECH DATA ENTRY'!F245)=TRUE,ISTEXT('TECH DATA ENTRY'!G245)=TRUE),"NA",(W228-AB228)/(2*MAX(M228,L228)))</f>
        <v>NA</v>
      </c>
      <c r="AK228" s="69" t="str">
        <f t="shared" si="113"/>
        <v>NA</v>
      </c>
      <c r="AM228" s="73" t="e">
        <f t="shared" si="114"/>
        <v>#VALUE!</v>
      </c>
      <c r="AN228" s="73" t="e">
        <f t="shared" si="115"/>
        <v>#VALUE!</v>
      </c>
      <c r="AO228" s="87"/>
      <c r="AP228" s="73" t="e">
        <f t="shared" si="116"/>
        <v>#VALUE!</v>
      </c>
      <c r="AQ228" s="73" t="e">
        <f t="shared" si="117"/>
        <v>#VALUE!</v>
      </c>
      <c r="AR228" s="87"/>
      <c r="AS228" s="73" t="e">
        <f t="shared" si="118"/>
        <v>#VALUE!</v>
      </c>
      <c r="AT228" s="73" t="e">
        <f t="shared" si="119"/>
        <v>#VALUE!</v>
      </c>
      <c r="AV228" s="73" t="e">
        <f t="shared" si="120"/>
        <v>#VALUE!</v>
      </c>
      <c r="AW228" s="73" t="e">
        <f t="shared" si="121"/>
        <v>#VALUE!</v>
      </c>
      <c r="AX228" s="87"/>
      <c r="AY228" s="73" t="e">
        <f t="shared" si="122"/>
        <v>#VALUE!</v>
      </c>
      <c r="AZ228" s="73" t="e">
        <f t="shared" si="123"/>
        <v>#VALUE!</v>
      </c>
      <c r="BA228" s="87"/>
      <c r="BB228" s="73" t="e">
        <f t="shared" si="124"/>
        <v>#VALUE!</v>
      </c>
      <c r="BC228" s="73" t="e">
        <f t="shared" si="125"/>
        <v>#VALUE!</v>
      </c>
    </row>
    <row r="229" spans="1:55" s="296" customFormat="1" ht="28.15" customHeight="1">
      <c r="A229" s="550" t="str">
        <f>IF('TECH DATA ENTRY'!A246="","",'TECH DATA ENTRY'!A246)</f>
        <v/>
      </c>
      <c r="B229" s="551"/>
      <c r="C229" s="552"/>
      <c r="D229" s="551"/>
      <c r="E229" s="551"/>
      <c r="F229" s="551"/>
      <c r="G229" s="552"/>
      <c r="H229" s="551"/>
      <c r="I229" s="553"/>
      <c r="J229" s="224"/>
      <c r="K229" s="224"/>
      <c r="L229" s="224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AK229" s="297"/>
    </row>
    <row r="230" spans="1:55" s="31" customFormat="1" ht="22.15" customHeight="1">
      <c r="A230" s="76" t="str">
        <f>IF('TECH DATA ENTRY'!A247="","",'TECH DATA ENTRY'!A247)</f>
        <v xml:space="preserve"> Range 1.0 A</v>
      </c>
      <c r="H230" s="321"/>
      <c r="O230" s="77"/>
      <c r="AK230" s="1"/>
      <c r="AM230" s="637" t="s">
        <v>116</v>
      </c>
      <c r="AN230" s="637"/>
      <c r="AO230" s="637"/>
      <c r="AP230" s="637"/>
      <c r="AQ230" s="637"/>
      <c r="AR230" s="637"/>
      <c r="AS230" s="637"/>
      <c r="AT230" s="637"/>
      <c r="AV230" s="637" t="s">
        <v>117</v>
      </c>
      <c r="AW230" s="637"/>
      <c r="AX230" s="637"/>
      <c r="AY230" s="637"/>
      <c r="AZ230" s="637"/>
      <c r="BA230" s="637"/>
      <c r="BB230" s="637"/>
      <c r="BC230" s="637"/>
    </row>
    <row r="231" spans="1:55" s="225" customFormat="1" ht="4.9000000000000004" customHeight="1" thickBot="1">
      <c r="A231" s="288" t="str">
        <f>IF('TECH DATA ENTRY'!A248="","",'TECH DATA ENTRY'!A248)</f>
        <v/>
      </c>
      <c r="K231" s="239"/>
      <c r="L231" s="239"/>
      <c r="AK231" s="240"/>
    </row>
    <row r="232" spans="1:55" s="285" customFormat="1" ht="20.149999999999999" customHeight="1">
      <c r="A232" s="644" t="str">
        <f>IF('TECH DATA ENTRY'!A249="","",'TECH DATA ENTRY'!A249)</f>
        <v>Function Tested</v>
      </c>
      <c r="B232" s="646" t="str">
        <f>IF('TECH DATA ENTRY'!B249="","",'TECH DATA ENTRY'!B249)</f>
        <v>Nominal</v>
      </c>
      <c r="C232" s="648" t="s">
        <v>2</v>
      </c>
      <c r="D232" s="648" t="str">
        <f>IF(LEFT(P$11,3)="ROV", "Measured Value", "As Found")</f>
        <v>As Found</v>
      </c>
      <c r="E232" s="648" t="str">
        <f>IF(LEFT(P$11,3)="ROV", "Correction", "As Left")</f>
        <v>As Left</v>
      </c>
      <c r="F232" s="648" t="s">
        <v>3</v>
      </c>
      <c r="G232" s="653" t="s">
        <v>4</v>
      </c>
      <c r="H232" s="659" t="s">
        <v>30</v>
      </c>
      <c r="I232" s="661" t="s">
        <v>28</v>
      </c>
      <c r="J232" s="284"/>
      <c r="L232" s="658" t="s">
        <v>38</v>
      </c>
      <c r="M232" s="616" t="s">
        <v>31</v>
      </c>
      <c r="N232" s="281"/>
      <c r="O232" s="286"/>
      <c r="P232" s="640" t="s">
        <v>136</v>
      </c>
      <c r="Q232" s="641"/>
      <c r="R232" s="642"/>
      <c r="S232" s="638" t="s">
        <v>115</v>
      </c>
      <c r="T232" s="638"/>
      <c r="U232" s="638"/>
      <c r="V232" s="638"/>
      <c r="W232" s="640" t="s">
        <v>64</v>
      </c>
      <c r="X232" s="641"/>
      <c r="Y232" s="641"/>
      <c r="Z232" s="641"/>
      <c r="AA232" s="641"/>
      <c r="AB232" s="642"/>
      <c r="AC232" s="638" t="s">
        <v>97</v>
      </c>
      <c r="AD232" s="638"/>
      <c r="AE232" s="638"/>
      <c r="AF232" s="638" t="s">
        <v>127</v>
      </c>
      <c r="AG232" s="638"/>
      <c r="AH232" s="638" t="s">
        <v>128</v>
      </c>
      <c r="AI232" s="638"/>
      <c r="AJ232" s="638" t="s">
        <v>28</v>
      </c>
      <c r="AK232" s="638" t="s">
        <v>121</v>
      </c>
      <c r="AL232" s="308"/>
      <c r="AM232" s="639" t="s">
        <v>122</v>
      </c>
      <c r="AN232" s="639"/>
      <c r="AO232" s="308"/>
      <c r="AP232" s="639" t="s">
        <v>119</v>
      </c>
      <c r="AQ232" s="639"/>
      <c r="AR232" s="308"/>
      <c r="AS232" s="639" t="s">
        <v>120</v>
      </c>
      <c r="AT232" s="639"/>
      <c r="AU232" s="308"/>
      <c r="AV232" s="639" t="s">
        <v>122</v>
      </c>
      <c r="AW232" s="639"/>
      <c r="AX232" s="308"/>
      <c r="AY232" s="639" t="s">
        <v>119</v>
      </c>
      <c r="AZ232" s="639"/>
      <c r="BA232" s="308"/>
      <c r="BB232" s="639" t="s">
        <v>120</v>
      </c>
      <c r="BC232" s="639"/>
    </row>
    <row r="233" spans="1:55" s="285" customFormat="1" ht="20.149999999999999" customHeight="1" thickBot="1">
      <c r="A233" s="645"/>
      <c r="B233" s="647"/>
      <c r="C233" s="649"/>
      <c r="D233" s="649"/>
      <c r="E233" s="649"/>
      <c r="F233" s="649"/>
      <c r="G233" s="654"/>
      <c r="H233" s="660"/>
      <c r="I233" s="662"/>
      <c r="J233" s="284"/>
      <c r="L233" s="649"/>
      <c r="M233" s="617"/>
      <c r="O233" s="281"/>
      <c r="P233" s="309" t="s">
        <v>122</v>
      </c>
      <c r="Q233" s="309" t="s">
        <v>119</v>
      </c>
      <c r="R233" s="309" t="s">
        <v>120</v>
      </c>
      <c r="S233" s="309" t="s">
        <v>122</v>
      </c>
      <c r="T233" s="309" t="s">
        <v>119</v>
      </c>
      <c r="U233" s="309" t="s">
        <v>120</v>
      </c>
      <c r="V233" s="309" t="s">
        <v>118</v>
      </c>
      <c r="W233" s="309" t="s">
        <v>63</v>
      </c>
      <c r="X233" s="309" t="s">
        <v>69</v>
      </c>
      <c r="Y233" s="309" t="s">
        <v>71</v>
      </c>
      <c r="Z233" s="309" t="s">
        <v>72</v>
      </c>
      <c r="AA233" s="309" t="s">
        <v>70</v>
      </c>
      <c r="AB233" s="309" t="s">
        <v>75</v>
      </c>
      <c r="AC233" s="309" t="s">
        <v>78</v>
      </c>
      <c r="AD233" s="309" t="s">
        <v>119</v>
      </c>
      <c r="AE233" s="309" t="s">
        <v>120</v>
      </c>
      <c r="AF233" s="309" t="s">
        <v>129</v>
      </c>
      <c r="AG233" s="309" t="s">
        <v>130</v>
      </c>
      <c r="AH233" s="309" t="s">
        <v>129</v>
      </c>
      <c r="AI233" s="309" t="s">
        <v>130</v>
      </c>
      <c r="AJ233" s="652"/>
      <c r="AK233" s="652"/>
      <c r="AL233" s="308"/>
      <c r="AM233" s="310" t="s">
        <v>67</v>
      </c>
      <c r="AN233" s="310" t="s">
        <v>68</v>
      </c>
      <c r="AO233" s="308"/>
      <c r="AP233" s="310" t="s">
        <v>67</v>
      </c>
      <c r="AQ233" s="310" t="s">
        <v>68</v>
      </c>
      <c r="AR233" s="308"/>
      <c r="AS233" s="310" t="s">
        <v>67</v>
      </c>
      <c r="AT233" s="310" t="s">
        <v>68</v>
      </c>
      <c r="AU233" s="308"/>
      <c r="AV233" s="310" t="s">
        <v>67</v>
      </c>
      <c r="AW233" s="310" t="s">
        <v>68</v>
      </c>
      <c r="AX233" s="308"/>
      <c r="AY233" s="310" t="s">
        <v>67</v>
      </c>
      <c r="AZ233" s="310" t="s">
        <v>68</v>
      </c>
      <c r="BA233" s="308"/>
      <c r="BB233" s="310" t="s">
        <v>67</v>
      </c>
      <c r="BC233" s="310" t="s">
        <v>68</v>
      </c>
    </row>
    <row r="234" spans="1:55" s="86" customFormat="1" ht="25" customHeight="1" thickTop="1">
      <c r="A234" s="475">
        <f>IF('TECH DATA ENTRY'!A251="","",'TECH DATA ENTRY'!A251)</f>
        <v>0</v>
      </c>
      <c r="B234" s="456">
        <f>IF('TECH DATA ENTRY'!B251="","",'TECH DATA ENTRY'!B251)</f>
        <v>0</v>
      </c>
      <c r="C234" s="567">
        <f>IF(B234="","",IFERROR('TECH DATA ENTRY'!F251,"NA"))</f>
        <v>-2.0000000000000001E-4</v>
      </c>
      <c r="D234" s="567" t="str">
        <f>IF('TECH DATA ENTRY'!L251="","",'TECH DATA ENTRY'!L251)</f>
        <v/>
      </c>
      <c r="E234" s="567" t="str">
        <f t="shared" si="97"/>
        <v/>
      </c>
      <c r="F234" s="567">
        <f>IF(B234="","",IFERROR('TECH DATA ENTRY'!G251,"NA"))</f>
        <v>2.0000000000000001E-4</v>
      </c>
      <c r="G234" s="568" t="str">
        <f t="shared" si="98"/>
        <v/>
      </c>
      <c r="H234" s="567" t="str">
        <f>IF(OR(ISTEXT(B234)=TRUE, D234="NA",D234=""),"NA", roundsf(MAX(L234,M234),C234))</f>
        <v>NA</v>
      </c>
      <c r="I234" s="558" t="str">
        <f t="shared" si="99"/>
        <v>NA</v>
      </c>
      <c r="J234" s="299"/>
      <c r="K234" s="245"/>
      <c r="L234" s="506">
        <f>(95/1000000)*ABS(B234)+(12/1000000)</f>
        <v>1.2E-5</v>
      </c>
      <c r="M234" s="244" t="str">
        <f>UNC_CALCULATION!AM223</f>
        <v>NA</v>
      </c>
      <c r="N234" s="85"/>
      <c r="O234" s="58"/>
      <c r="P234" s="69" t="e">
        <f>IF(B234="","",INDEX('AUX TABLES'!$G$4:$K$8,AV234,AW234))</f>
        <v>#VALUE!</v>
      </c>
      <c r="Q234" s="150" t="e">
        <f>IF(AJ$11=FALSE,IF(B234="","",IF(AJ234="NA",P234,INDEX('AUX TABLES'!$G$4:$K$8,AY234,AZ234))),IF(P234="FAIL",P234,INDEX('AUX TABLES'!$G$4:$K$8,AY234,AZ234)))</f>
        <v>#VALUE!</v>
      </c>
      <c r="R234" s="150" t="e">
        <f>IF(AJ$11=FALSE,IF(B234="","",IF(AJ234="NA",P234,INDEX('AUX TABLES'!$G$4:$K$8,BB234,BC234))),IF(P234="FAIL",P234,INDEX('AUX TABLES'!$G$4:$K$8,BB234,BC234)))</f>
        <v>#VALUE!</v>
      </c>
      <c r="S234" s="69" t="e">
        <f>INDEX('AUX TABLES'!$G$4:$K$8,AM234,AN234)</f>
        <v>#VALUE!</v>
      </c>
      <c r="T234" s="69" t="e">
        <f>IF(AJ$11=FALSE,IF(AJ234="NA",S234,INDEX('AUX TABLES'!$G$4:$K$8,AP234,AQ234)),IF(S234="FAIL",S234,INDEX('AUX TABLES'!$G$4:$K$8,AP234,AQ234)))</f>
        <v>#VALUE!</v>
      </c>
      <c r="U234" s="150" t="e">
        <f>IF(AJ$11=FALSE,IF(AJ234="NA",S234,INDEX('AUX TABLES'!$G$4:$K$8,AS234,AT234)),IF(S234="FAIL",S234,INDEX('AUX TABLES'!$G$4:$K$8,AS234,AT234)))</f>
        <v>#VALUE!</v>
      </c>
      <c r="V234" s="150" t="str">
        <f t="shared" si="100"/>
        <v/>
      </c>
      <c r="W234" s="74">
        <f t="shared" si="101"/>
        <v>2.0000000000000001E-4</v>
      </c>
      <c r="X234" s="74" t="str">
        <f t="shared" si="102"/>
        <v>NA</v>
      </c>
      <c r="Y234" s="74" t="str">
        <f t="shared" si="103"/>
        <v>NA</v>
      </c>
      <c r="Z234" s="74" t="str">
        <f t="shared" si="104"/>
        <v>NA</v>
      </c>
      <c r="AA234" s="74" t="str">
        <f t="shared" si="105"/>
        <v>NA</v>
      </c>
      <c r="AB234" s="74">
        <f t="shared" si="106"/>
        <v>-2.0000000000000001E-4</v>
      </c>
      <c r="AC234" s="69" t="str">
        <f>IF(ISTEXT('TECH DATA ENTRY'!L251)=TRUE,"NA",'TECH DATA ENTRY'!H251)</f>
        <v>NA</v>
      </c>
      <c r="AD234" s="69" t="str">
        <f t="shared" si="107"/>
        <v>NA</v>
      </c>
      <c r="AE234" s="69" t="str">
        <f t="shared" si="108"/>
        <v>NA</v>
      </c>
      <c r="AF234" s="69" t="e">
        <f t="shared" si="109"/>
        <v>#VALUE!</v>
      </c>
      <c r="AG234" s="69" t="e">
        <f t="shared" si="110"/>
        <v>#VALUE!</v>
      </c>
      <c r="AH234" s="69" t="e">
        <f t="shared" si="111"/>
        <v>#VALUE!</v>
      </c>
      <c r="AI234" s="69" t="e">
        <f t="shared" si="112"/>
        <v>#VALUE!</v>
      </c>
      <c r="AJ234" s="70" t="str">
        <f>IF(OR(ISTEXT('TECH DATA ENTRY'!L251)=TRUE,ISTEXT('TECH DATA ENTRY'!F251)=TRUE,ISTEXT('TECH DATA ENTRY'!G251)=TRUE),"NA",(W234-AB234)/(2*MAX(M234,L234)))</f>
        <v>NA</v>
      </c>
      <c r="AK234" s="69" t="str">
        <f t="shared" si="113"/>
        <v>NA</v>
      </c>
      <c r="AM234" s="73" t="e">
        <f t="shared" si="114"/>
        <v>#VALUE!</v>
      </c>
      <c r="AN234" s="73" t="e">
        <f t="shared" si="115"/>
        <v>#VALUE!</v>
      </c>
      <c r="AO234" s="87"/>
      <c r="AP234" s="73" t="e">
        <f t="shared" si="116"/>
        <v>#VALUE!</v>
      </c>
      <c r="AQ234" s="73" t="e">
        <f t="shared" si="117"/>
        <v>#VALUE!</v>
      </c>
      <c r="AR234" s="87"/>
      <c r="AS234" s="73" t="e">
        <f t="shared" si="118"/>
        <v>#VALUE!</v>
      </c>
      <c r="AT234" s="73" t="e">
        <f t="shared" si="119"/>
        <v>#VALUE!</v>
      </c>
      <c r="AV234" s="73" t="e">
        <f t="shared" si="120"/>
        <v>#VALUE!</v>
      </c>
      <c r="AW234" s="73" t="e">
        <f t="shared" si="121"/>
        <v>#VALUE!</v>
      </c>
      <c r="AX234" s="87"/>
      <c r="AY234" s="73" t="e">
        <f t="shared" si="122"/>
        <v>#VALUE!</v>
      </c>
      <c r="AZ234" s="73" t="e">
        <f t="shared" si="123"/>
        <v>#VALUE!</v>
      </c>
      <c r="BA234" s="87"/>
      <c r="BB234" s="73" t="e">
        <f t="shared" si="124"/>
        <v>#VALUE!</v>
      </c>
      <c r="BC234" s="73" t="e">
        <f t="shared" si="125"/>
        <v>#VALUE!</v>
      </c>
    </row>
    <row r="235" spans="1:55" s="86" customFormat="1" ht="25" customHeight="1">
      <c r="A235" s="475">
        <f>IF('TECH DATA ENTRY'!A252="","",'TECH DATA ENTRY'!A252)</f>
        <v>1</v>
      </c>
      <c r="B235" s="456">
        <f>IF('TECH DATA ENTRY'!B252="","",'TECH DATA ENTRY'!B252)</f>
        <v>1</v>
      </c>
      <c r="C235" s="456">
        <f>IF(B235="","",IFERROR('TECH DATA ENTRY'!F252,"NA"))</f>
        <v>0.99929999999999997</v>
      </c>
      <c r="D235" s="456" t="str">
        <f>IF('TECH DATA ENTRY'!L252="","",'TECH DATA ENTRY'!L252)</f>
        <v/>
      </c>
      <c r="E235" s="456" t="str">
        <f t="shared" si="97"/>
        <v/>
      </c>
      <c r="F235" s="456">
        <f>IF(B235="","",IFERROR('TECH DATA ENTRY'!G252,"NA"))</f>
        <v>1.0006999999999999</v>
      </c>
      <c r="G235" s="595" t="str">
        <f t="shared" si="98"/>
        <v/>
      </c>
      <c r="H235" s="456" t="str">
        <f>IF(OR(ISTEXT(B235)=TRUE, D235="NA",D235=""),"NA", roundsf(MAX(L235,M235),C235))</f>
        <v>NA</v>
      </c>
      <c r="I235" s="325" t="str">
        <f t="shared" si="99"/>
        <v>NA</v>
      </c>
      <c r="J235" s="299"/>
      <c r="K235" s="245"/>
      <c r="L235" s="506">
        <f t="shared" ref="L235:L236" si="128">(95/1000000)*ABS(B235)+(12/1000000)</f>
        <v>1.07E-4</v>
      </c>
      <c r="M235" s="244" t="str">
        <f>UNC_CALCULATION!AM224</f>
        <v>NA</v>
      </c>
      <c r="N235" s="85"/>
      <c r="O235" s="58"/>
      <c r="P235" s="69" t="e">
        <f>IF(B235="","",INDEX('AUX TABLES'!$G$4:$K$8,AV235,AW235))</f>
        <v>#VALUE!</v>
      </c>
      <c r="Q235" s="150" t="e">
        <f>IF(AJ$11=FALSE,IF(B235="","",IF(AJ235="NA",P235,INDEX('AUX TABLES'!$G$4:$K$8,AY235,AZ235))),IF(P235="FAIL",P235,INDEX('AUX TABLES'!$G$4:$K$8,AY235,AZ235)))</f>
        <v>#VALUE!</v>
      </c>
      <c r="R235" s="150" t="e">
        <f>IF(AJ$11=FALSE,IF(B235="","",IF(AJ235="NA",P235,INDEX('AUX TABLES'!$G$4:$K$8,BB235,BC235))),IF(P235="FAIL",P235,INDEX('AUX TABLES'!$G$4:$K$8,BB235,BC235)))</f>
        <v>#VALUE!</v>
      </c>
      <c r="S235" s="69" t="e">
        <f>INDEX('AUX TABLES'!$G$4:$K$8,AM235,AN235)</f>
        <v>#VALUE!</v>
      </c>
      <c r="T235" s="69" t="e">
        <f>IF(AJ$11=FALSE,IF(AJ235="NA",S235,INDEX('AUX TABLES'!$G$4:$K$8,AP235,AQ235)),IF(S235="FAIL",S235,INDEX('AUX TABLES'!$G$4:$K$8,AP235,AQ235)))</f>
        <v>#VALUE!</v>
      </c>
      <c r="U235" s="150" t="e">
        <f>IF(AJ$11=FALSE,IF(AJ235="NA",S235,INDEX('AUX TABLES'!$G$4:$K$8,AS235,AT235)),IF(S235="FAIL",S235,INDEX('AUX TABLES'!$G$4:$K$8,AS235,AT235)))</f>
        <v>#VALUE!</v>
      </c>
      <c r="V235" s="150" t="str">
        <f t="shared" si="100"/>
        <v/>
      </c>
      <c r="W235" s="74">
        <f t="shared" si="101"/>
        <v>1.0006999999999999</v>
      </c>
      <c r="X235" s="74" t="str">
        <f t="shared" si="102"/>
        <v>NA</v>
      </c>
      <c r="Y235" s="74" t="str">
        <f t="shared" si="103"/>
        <v>NA</v>
      </c>
      <c r="Z235" s="74" t="str">
        <f t="shared" si="104"/>
        <v>NA</v>
      </c>
      <c r="AA235" s="74" t="str">
        <f t="shared" si="105"/>
        <v>NA</v>
      </c>
      <c r="AB235" s="74">
        <f t="shared" si="106"/>
        <v>0.99929999999999997</v>
      </c>
      <c r="AC235" s="69" t="str">
        <f>IF(ISTEXT('TECH DATA ENTRY'!L252)=TRUE,"NA",'TECH DATA ENTRY'!H252)</f>
        <v>NA</v>
      </c>
      <c r="AD235" s="69" t="str">
        <f t="shared" si="107"/>
        <v>NA</v>
      </c>
      <c r="AE235" s="69" t="str">
        <f t="shared" si="108"/>
        <v>NA</v>
      </c>
      <c r="AF235" s="69" t="e">
        <f t="shared" si="109"/>
        <v>#VALUE!</v>
      </c>
      <c r="AG235" s="69" t="e">
        <f t="shared" si="110"/>
        <v>#VALUE!</v>
      </c>
      <c r="AH235" s="69" t="e">
        <f t="shared" si="111"/>
        <v>#VALUE!</v>
      </c>
      <c r="AI235" s="69" t="e">
        <f t="shared" si="112"/>
        <v>#VALUE!</v>
      </c>
      <c r="AJ235" s="70" t="str">
        <f>IF(OR(ISTEXT('TECH DATA ENTRY'!L252)=TRUE,ISTEXT('TECH DATA ENTRY'!F252)=TRUE,ISTEXT('TECH DATA ENTRY'!G252)=TRUE),"NA",(W235-AB235)/(2*MAX(M235,L235)))</f>
        <v>NA</v>
      </c>
      <c r="AK235" s="69" t="str">
        <f t="shared" si="113"/>
        <v>NA</v>
      </c>
      <c r="AM235" s="73" t="e">
        <f t="shared" si="114"/>
        <v>#VALUE!</v>
      </c>
      <c r="AN235" s="73" t="e">
        <f t="shared" si="115"/>
        <v>#VALUE!</v>
      </c>
      <c r="AO235" s="87"/>
      <c r="AP235" s="73" t="e">
        <f t="shared" si="116"/>
        <v>#VALUE!</v>
      </c>
      <c r="AQ235" s="73" t="e">
        <f t="shared" si="117"/>
        <v>#VALUE!</v>
      </c>
      <c r="AR235" s="87"/>
      <c r="AS235" s="73" t="e">
        <f t="shared" si="118"/>
        <v>#VALUE!</v>
      </c>
      <c r="AT235" s="73" t="e">
        <f t="shared" si="119"/>
        <v>#VALUE!</v>
      </c>
      <c r="AV235" s="73" t="e">
        <f t="shared" si="120"/>
        <v>#VALUE!</v>
      </c>
      <c r="AW235" s="73" t="e">
        <f t="shared" si="121"/>
        <v>#VALUE!</v>
      </c>
      <c r="AX235" s="87"/>
      <c r="AY235" s="73" t="e">
        <f t="shared" si="122"/>
        <v>#VALUE!</v>
      </c>
      <c r="AZ235" s="73" t="e">
        <f t="shared" si="123"/>
        <v>#VALUE!</v>
      </c>
      <c r="BA235" s="87"/>
      <c r="BB235" s="73" t="e">
        <f t="shared" si="124"/>
        <v>#VALUE!</v>
      </c>
      <c r="BC235" s="73" t="e">
        <f t="shared" si="125"/>
        <v>#VALUE!</v>
      </c>
    </row>
    <row r="236" spans="1:55" s="86" customFormat="1" ht="25" customHeight="1" thickBot="1">
      <c r="A236" s="476">
        <f>IF('TECH DATA ENTRY'!A253="","",'TECH DATA ENTRY'!A253)</f>
        <v>-1</v>
      </c>
      <c r="B236" s="469">
        <f>IF('TECH DATA ENTRY'!B253="","",'TECH DATA ENTRY'!B253)</f>
        <v>-1</v>
      </c>
      <c r="C236" s="584">
        <f>IF(B236="","",IFERROR('TECH DATA ENTRY'!F253,"NA"))</f>
        <v>-1.0006999999999999</v>
      </c>
      <c r="D236" s="584" t="str">
        <f>IF('TECH DATA ENTRY'!L253="","",'TECH DATA ENTRY'!L253)</f>
        <v/>
      </c>
      <c r="E236" s="584" t="str">
        <f t="shared" si="97"/>
        <v/>
      </c>
      <c r="F236" s="584">
        <f>IF(B236="","",IFERROR('TECH DATA ENTRY'!G253,"NA"))</f>
        <v>-0.99929999999999997</v>
      </c>
      <c r="G236" s="585" t="str">
        <f t="shared" si="98"/>
        <v/>
      </c>
      <c r="H236" s="584" t="str">
        <f>IF(OR(ISTEXT(B236)=TRUE, D236="NA",D236=""),"NA", roundsf(MAX(L236,M236),C236))</f>
        <v>NA</v>
      </c>
      <c r="I236" s="575" t="str">
        <f t="shared" si="99"/>
        <v>NA</v>
      </c>
      <c r="J236" s="299"/>
      <c r="K236" s="245"/>
      <c r="L236" s="506">
        <f t="shared" si="128"/>
        <v>1.07E-4</v>
      </c>
      <c r="M236" s="244" t="str">
        <f>UNC_CALCULATION!AM225</f>
        <v>NA</v>
      </c>
      <c r="N236" s="85"/>
      <c r="O236" s="58"/>
      <c r="P236" s="69" t="e">
        <f>IF(B236="","",INDEX('AUX TABLES'!$G$4:$K$8,AV236,AW236))</f>
        <v>#VALUE!</v>
      </c>
      <c r="Q236" s="150" t="e">
        <f>IF(AJ$11=FALSE,IF(B236="","",IF(AJ236="NA",P236,INDEX('AUX TABLES'!$G$4:$K$8,AY236,AZ236))),IF(P236="FAIL",P236,INDEX('AUX TABLES'!$G$4:$K$8,AY236,AZ236)))</f>
        <v>#VALUE!</v>
      </c>
      <c r="R236" s="150" t="e">
        <f>IF(AJ$11=FALSE,IF(B236="","",IF(AJ236="NA",P236,INDEX('AUX TABLES'!$G$4:$K$8,BB236,BC236))),IF(P236="FAIL",P236,INDEX('AUX TABLES'!$G$4:$K$8,BB236,BC236)))</f>
        <v>#VALUE!</v>
      </c>
      <c r="S236" s="69" t="e">
        <f>INDEX('AUX TABLES'!$G$4:$K$8,AM236,AN236)</f>
        <v>#VALUE!</v>
      </c>
      <c r="T236" s="69" t="e">
        <f>IF(AJ$11=FALSE,IF(AJ236="NA",S236,INDEX('AUX TABLES'!$G$4:$K$8,AP236,AQ236)),IF(S236="FAIL",S236,INDEX('AUX TABLES'!$G$4:$K$8,AP236,AQ236)))</f>
        <v>#VALUE!</v>
      </c>
      <c r="U236" s="150" t="e">
        <f>IF(AJ$11=FALSE,IF(AJ236="NA",S236,INDEX('AUX TABLES'!$G$4:$K$8,AS236,AT236)),IF(S236="FAIL",S236,INDEX('AUX TABLES'!$G$4:$K$8,AS236,AT236)))</f>
        <v>#VALUE!</v>
      </c>
      <c r="V236" s="150" t="str">
        <f t="shared" si="100"/>
        <v/>
      </c>
      <c r="W236" s="74">
        <f t="shared" si="101"/>
        <v>-0.99929999999999997</v>
      </c>
      <c r="X236" s="74" t="str">
        <f t="shared" si="102"/>
        <v>NA</v>
      </c>
      <c r="Y236" s="74" t="str">
        <f t="shared" si="103"/>
        <v>NA</v>
      </c>
      <c r="Z236" s="74" t="str">
        <f t="shared" si="104"/>
        <v>NA</v>
      </c>
      <c r="AA236" s="74" t="str">
        <f t="shared" si="105"/>
        <v>NA</v>
      </c>
      <c r="AB236" s="74">
        <f t="shared" si="106"/>
        <v>-1.0006999999999999</v>
      </c>
      <c r="AC236" s="69" t="str">
        <f>IF(ISTEXT('TECH DATA ENTRY'!L253)=TRUE,"NA",'TECH DATA ENTRY'!H253)</f>
        <v>NA</v>
      </c>
      <c r="AD236" s="69" t="str">
        <f t="shared" si="107"/>
        <v>NA</v>
      </c>
      <c r="AE236" s="69" t="str">
        <f t="shared" si="108"/>
        <v>NA</v>
      </c>
      <c r="AF236" s="69" t="e">
        <f t="shared" si="109"/>
        <v>#VALUE!</v>
      </c>
      <c r="AG236" s="69" t="e">
        <f t="shared" si="110"/>
        <v>#VALUE!</v>
      </c>
      <c r="AH236" s="69" t="e">
        <f t="shared" si="111"/>
        <v>#VALUE!</v>
      </c>
      <c r="AI236" s="69" t="e">
        <f t="shared" si="112"/>
        <v>#VALUE!</v>
      </c>
      <c r="AJ236" s="70" t="str">
        <f>IF(OR(ISTEXT('TECH DATA ENTRY'!L253)=TRUE,ISTEXT('TECH DATA ENTRY'!F253)=TRUE,ISTEXT('TECH DATA ENTRY'!G253)=TRUE),"NA",(W236-AB236)/(2*MAX(M236,L236)))</f>
        <v>NA</v>
      </c>
      <c r="AK236" s="69" t="str">
        <f t="shared" si="113"/>
        <v>NA</v>
      </c>
      <c r="AM236" s="73" t="e">
        <f t="shared" si="114"/>
        <v>#VALUE!</v>
      </c>
      <c r="AN236" s="73" t="e">
        <f t="shared" si="115"/>
        <v>#VALUE!</v>
      </c>
      <c r="AO236" s="87"/>
      <c r="AP236" s="73" t="e">
        <f t="shared" si="116"/>
        <v>#VALUE!</v>
      </c>
      <c r="AQ236" s="73" t="e">
        <f t="shared" si="117"/>
        <v>#VALUE!</v>
      </c>
      <c r="AR236" s="87"/>
      <c r="AS236" s="73" t="e">
        <f t="shared" si="118"/>
        <v>#VALUE!</v>
      </c>
      <c r="AT236" s="73" t="e">
        <f t="shared" si="119"/>
        <v>#VALUE!</v>
      </c>
      <c r="AV236" s="73" t="e">
        <f t="shared" si="120"/>
        <v>#VALUE!</v>
      </c>
      <c r="AW236" s="73" t="e">
        <f t="shared" si="121"/>
        <v>#VALUE!</v>
      </c>
      <c r="AX236" s="87"/>
      <c r="AY236" s="73" t="e">
        <f t="shared" si="122"/>
        <v>#VALUE!</v>
      </c>
      <c r="AZ236" s="73" t="e">
        <f t="shared" si="123"/>
        <v>#VALUE!</v>
      </c>
      <c r="BA236" s="87"/>
      <c r="BB236" s="73" t="e">
        <f t="shared" si="124"/>
        <v>#VALUE!</v>
      </c>
      <c r="BC236" s="73" t="e">
        <f t="shared" si="125"/>
        <v>#VALUE!</v>
      </c>
    </row>
    <row r="237" spans="1:55" s="296" customFormat="1" ht="28.15" customHeight="1">
      <c r="A237" s="550" t="str">
        <f>IF('TECH DATA ENTRY'!A254="","",'TECH DATA ENTRY'!A254)</f>
        <v/>
      </c>
      <c r="B237" s="551"/>
      <c r="C237" s="552"/>
      <c r="D237" s="551"/>
      <c r="E237" s="551"/>
      <c r="F237" s="551"/>
      <c r="G237" s="552"/>
      <c r="H237" s="551"/>
      <c r="I237" s="553"/>
      <c r="J237" s="224"/>
      <c r="K237" s="224"/>
      <c r="L237" s="224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AK237" s="297"/>
    </row>
    <row r="238" spans="1:55" s="31" customFormat="1" ht="22.15" customHeight="1">
      <c r="A238" s="76" t="str">
        <f>IF('TECH DATA ENTRY'!A255="","",'TECH DATA ENTRY'!A255)</f>
        <v>Range 3.0 A</v>
      </c>
      <c r="H238" s="321"/>
      <c r="O238" s="77"/>
      <c r="AK238" s="1"/>
      <c r="AM238" s="637" t="s">
        <v>116</v>
      </c>
      <c r="AN238" s="637"/>
      <c r="AO238" s="637"/>
      <c r="AP238" s="637"/>
      <c r="AQ238" s="637"/>
      <c r="AR238" s="637"/>
      <c r="AS238" s="637"/>
      <c r="AT238" s="637"/>
      <c r="AV238" s="637" t="s">
        <v>117</v>
      </c>
      <c r="AW238" s="637"/>
      <c r="AX238" s="637"/>
      <c r="AY238" s="637"/>
      <c r="AZ238" s="637"/>
      <c r="BA238" s="637"/>
      <c r="BB238" s="637"/>
      <c r="BC238" s="637"/>
    </row>
    <row r="239" spans="1:55" s="225" customFormat="1" ht="4.9000000000000004" customHeight="1" thickBot="1">
      <c r="A239" s="288" t="str">
        <f>IF('TECH DATA ENTRY'!A256="","",'TECH DATA ENTRY'!A256)</f>
        <v/>
      </c>
      <c r="K239" s="239"/>
      <c r="L239" s="239"/>
      <c r="AK239" s="240"/>
    </row>
    <row r="240" spans="1:55" s="285" customFormat="1" ht="20.149999999999999" customHeight="1">
      <c r="A240" s="644" t="str">
        <f>IF('TECH DATA ENTRY'!A257="","",'TECH DATA ENTRY'!A257)</f>
        <v>Function Tested</v>
      </c>
      <c r="B240" s="646" t="str">
        <f>IF('TECH DATA ENTRY'!B257="","",'TECH DATA ENTRY'!B257)</f>
        <v>Nominal</v>
      </c>
      <c r="C240" s="648" t="s">
        <v>2</v>
      </c>
      <c r="D240" s="648" t="str">
        <f>IF(LEFT(P$11,3)="ROV", "Measured Value", "As Found")</f>
        <v>As Found</v>
      </c>
      <c r="E240" s="648" t="str">
        <f>IF(LEFT(P$11,3)="ROV", "Correction", "As Left")</f>
        <v>As Left</v>
      </c>
      <c r="F240" s="648" t="s">
        <v>3</v>
      </c>
      <c r="G240" s="653" t="s">
        <v>4</v>
      </c>
      <c r="H240" s="659" t="s">
        <v>30</v>
      </c>
      <c r="I240" s="661" t="s">
        <v>28</v>
      </c>
      <c r="J240" s="284"/>
      <c r="L240" s="658" t="s">
        <v>38</v>
      </c>
      <c r="M240" s="616" t="s">
        <v>31</v>
      </c>
      <c r="N240" s="281"/>
      <c r="O240" s="286"/>
      <c r="P240" s="640" t="s">
        <v>136</v>
      </c>
      <c r="Q240" s="641"/>
      <c r="R240" s="642"/>
      <c r="S240" s="638" t="s">
        <v>115</v>
      </c>
      <c r="T240" s="638"/>
      <c r="U240" s="638"/>
      <c r="V240" s="638"/>
      <c r="W240" s="640" t="s">
        <v>64</v>
      </c>
      <c r="X240" s="641"/>
      <c r="Y240" s="641"/>
      <c r="Z240" s="641"/>
      <c r="AA240" s="641"/>
      <c r="AB240" s="642"/>
      <c r="AC240" s="638" t="s">
        <v>97</v>
      </c>
      <c r="AD240" s="638"/>
      <c r="AE240" s="638"/>
      <c r="AF240" s="638" t="s">
        <v>127</v>
      </c>
      <c r="AG240" s="638"/>
      <c r="AH240" s="638" t="s">
        <v>128</v>
      </c>
      <c r="AI240" s="638"/>
      <c r="AJ240" s="638" t="s">
        <v>28</v>
      </c>
      <c r="AK240" s="638" t="s">
        <v>121</v>
      </c>
      <c r="AL240" s="308"/>
      <c r="AM240" s="639" t="s">
        <v>122</v>
      </c>
      <c r="AN240" s="639"/>
      <c r="AO240" s="308"/>
      <c r="AP240" s="639" t="s">
        <v>119</v>
      </c>
      <c r="AQ240" s="639"/>
      <c r="AR240" s="308"/>
      <c r="AS240" s="639" t="s">
        <v>120</v>
      </c>
      <c r="AT240" s="639"/>
      <c r="AU240" s="308"/>
      <c r="AV240" s="639" t="s">
        <v>122</v>
      </c>
      <c r="AW240" s="639"/>
      <c r="AX240" s="308"/>
      <c r="AY240" s="639" t="s">
        <v>119</v>
      </c>
      <c r="AZ240" s="639"/>
      <c r="BA240" s="308"/>
      <c r="BB240" s="639" t="s">
        <v>120</v>
      </c>
      <c r="BC240" s="639"/>
    </row>
    <row r="241" spans="1:55" s="285" customFormat="1" ht="20.149999999999999" customHeight="1" thickBot="1">
      <c r="A241" s="645"/>
      <c r="B241" s="647"/>
      <c r="C241" s="649"/>
      <c r="D241" s="649"/>
      <c r="E241" s="649"/>
      <c r="F241" s="649"/>
      <c r="G241" s="654"/>
      <c r="H241" s="660"/>
      <c r="I241" s="662"/>
      <c r="J241" s="284"/>
      <c r="L241" s="649"/>
      <c r="M241" s="617"/>
      <c r="O241" s="281"/>
      <c r="P241" s="309" t="s">
        <v>122</v>
      </c>
      <c r="Q241" s="309" t="s">
        <v>119</v>
      </c>
      <c r="R241" s="309" t="s">
        <v>120</v>
      </c>
      <c r="S241" s="309" t="s">
        <v>122</v>
      </c>
      <c r="T241" s="309" t="s">
        <v>119</v>
      </c>
      <c r="U241" s="309" t="s">
        <v>120</v>
      </c>
      <c r="V241" s="309" t="s">
        <v>118</v>
      </c>
      <c r="W241" s="309" t="s">
        <v>63</v>
      </c>
      <c r="X241" s="309" t="s">
        <v>69</v>
      </c>
      <c r="Y241" s="309" t="s">
        <v>71</v>
      </c>
      <c r="Z241" s="309" t="s">
        <v>72</v>
      </c>
      <c r="AA241" s="309" t="s">
        <v>70</v>
      </c>
      <c r="AB241" s="309" t="s">
        <v>75</v>
      </c>
      <c r="AC241" s="309" t="s">
        <v>78</v>
      </c>
      <c r="AD241" s="309" t="s">
        <v>119</v>
      </c>
      <c r="AE241" s="309" t="s">
        <v>120</v>
      </c>
      <c r="AF241" s="309" t="s">
        <v>129</v>
      </c>
      <c r="AG241" s="309" t="s">
        <v>130</v>
      </c>
      <c r="AH241" s="309" t="s">
        <v>129</v>
      </c>
      <c r="AI241" s="309" t="s">
        <v>130</v>
      </c>
      <c r="AJ241" s="652"/>
      <c r="AK241" s="652"/>
      <c r="AL241" s="308"/>
      <c r="AM241" s="310" t="s">
        <v>67</v>
      </c>
      <c r="AN241" s="310" t="s">
        <v>68</v>
      </c>
      <c r="AO241" s="308"/>
      <c r="AP241" s="310" t="s">
        <v>67</v>
      </c>
      <c r="AQ241" s="310" t="s">
        <v>68</v>
      </c>
      <c r="AR241" s="308"/>
      <c r="AS241" s="310" t="s">
        <v>67</v>
      </c>
      <c r="AT241" s="310" t="s">
        <v>68</v>
      </c>
      <c r="AU241" s="308"/>
      <c r="AV241" s="310" t="s">
        <v>67</v>
      </c>
      <c r="AW241" s="310" t="s">
        <v>68</v>
      </c>
      <c r="AX241" s="308"/>
      <c r="AY241" s="310" t="s">
        <v>67</v>
      </c>
      <c r="AZ241" s="310" t="s">
        <v>68</v>
      </c>
      <c r="BA241" s="308"/>
      <c r="BB241" s="310" t="s">
        <v>67</v>
      </c>
      <c r="BC241" s="310" t="s">
        <v>68</v>
      </c>
    </row>
    <row r="242" spans="1:55" s="86" customFormat="1" ht="25" customHeight="1" thickTop="1">
      <c r="A242" s="477">
        <f>IF('TECH DATA ENTRY'!A259="","",'TECH DATA ENTRY'!A259)</f>
        <v>0</v>
      </c>
      <c r="B242" s="460">
        <f>IF('TECH DATA ENTRY'!B259="","",'TECH DATA ENTRY'!B259)</f>
        <v>0</v>
      </c>
      <c r="C242" s="569">
        <f>IF(B242="","",IFERROR('TECH DATA ENTRY'!F259,"NA"))</f>
        <v>-5.9999999999999995E-4</v>
      </c>
      <c r="D242" s="569" t="str">
        <f>IF('TECH DATA ENTRY'!L259="","",'TECH DATA ENTRY'!L259)</f>
        <v/>
      </c>
      <c r="E242" s="569" t="str">
        <f t="shared" si="97"/>
        <v/>
      </c>
      <c r="F242" s="569">
        <f>IF(B242="","",IFERROR('TECH DATA ENTRY'!G259,"NA"))</f>
        <v>5.9999999999999995E-4</v>
      </c>
      <c r="G242" s="570" t="str">
        <f t="shared" si="98"/>
        <v/>
      </c>
      <c r="H242" s="569" t="str">
        <f>IF(OR(ISTEXT(B242)=TRUE, D242="NA",D242=""),"NA", roundsf(MAX(L242,M242),C242))</f>
        <v>NA</v>
      </c>
      <c r="I242" s="558" t="str">
        <f t="shared" si="99"/>
        <v>NA</v>
      </c>
      <c r="J242" s="299"/>
      <c r="K242" s="245"/>
      <c r="L242" s="506">
        <f t="shared" ref="L242:L244" si="129">(95/1000000)*ABS(B242)+(12/1000000)</f>
        <v>1.2E-5</v>
      </c>
      <c r="M242" s="244" t="str">
        <f>UNC_CALCULATION!AM231</f>
        <v>NA</v>
      </c>
      <c r="N242" s="85"/>
      <c r="O242" s="58"/>
      <c r="P242" s="69" t="e">
        <f>IF(B242="","",INDEX('AUX TABLES'!$G$4:$K$8,AV242,AW242))</f>
        <v>#VALUE!</v>
      </c>
      <c r="Q242" s="150" t="e">
        <f>IF(AJ$11=FALSE,IF(B242="","",IF(AJ242="NA",P242,INDEX('AUX TABLES'!$G$4:$K$8,AY242,AZ242))),IF(P242="FAIL",P242,INDEX('AUX TABLES'!$G$4:$K$8,AY242,AZ242)))</f>
        <v>#VALUE!</v>
      </c>
      <c r="R242" s="150" t="e">
        <f>IF(AJ$11=FALSE,IF(B242="","",IF(AJ242="NA",P242,INDEX('AUX TABLES'!$G$4:$K$8,BB242,BC242))),IF(P242="FAIL",P242,INDEX('AUX TABLES'!$G$4:$K$8,BB242,BC242)))</f>
        <v>#VALUE!</v>
      </c>
      <c r="S242" s="69" t="e">
        <f>INDEX('AUX TABLES'!$G$4:$K$8,AM242,AN242)</f>
        <v>#VALUE!</v>
      </c>
      <c r="T242" s="69" t="e">
        <f>IF(AJ$11=FALSE,IF(AJ242="NA",S242,INDEX('AUX TABLES'!$G$4:$K$8,AP242,AQ242)),IF(S242="FAIL",S242,INDEX('AUX TABLES'!$G$4:$K$8,AP242,AQ242)))</f>
        <v>#VALUE!</v>
      </c>
      <c r="U242" s="150" t="e">
        <f>IF(AJ$11=FALSE,IF(AJ242="NA",S242,INDEX('AUX TABLES'!$G$4:$K$8,AS242,AT242)),IF(S242="FAIL",S242,INDEX('AUX TABLES'!$G$4:$K$8,AS242,AT242)))</f>
        <v>#VALUE!</v>
      </c>
      <c r="V242" s="150" t="str">
        <f t="shared" si="100"/>
        <v/>
      </c>
      <c r="W242" s="74">
        <f t="shared" si="101"/>
        <v>5.9999999999999995E-4</v>
      </c>
      <c r="X242" s="74" t="str">
        <f t="shared" si="102"/>
        <v>NA</v>
      </c>
      <c r="Y242" s="74" t="str">
        <f t="shared" si="103"/>
        <v>NA</v>
      </c>
      <c r="Z242" s="74" t="str">
        <f t="shared" si="104"/>
        <v>NA</v>
      </c>
      <c r="AA242" s="74" t="str">
        <f t="shared" si="105"/>
        <v>NA</v>
      </c>
      <c r="AB242" s="74">
        <f t="shared" si="106"/>
        <v>-5.9999999999999995E-4</v>
      </c>
      <c r="AC242" s="69" t="str">
        <f>IF(ISTEXT('TECH DATA ENTRY'!L259)=TRUE,"NA",'TECH DATA ENTRY'!H259)</f>
        <v>NA</v>
      </c>
      <c r="AD242" s="69" t="str">
        <f t="shared" si="107"/>
        <v>NA</v>
      </c>
      <c r="AE242" s="69" t="str">
        <f t="shared" si="108"/>
        <v>NA</v>
      </c>
      <c r="AF242" s="69" t="e">
        <f t="shared" si="109"/>
        <v>#VALUE!</v>
      </c>
      <c r="AG242" s="69" t="e">
        <f t="shared" si="110"/>
        <v>#VALUE!</v>
      </c>
      <c r="AH242" s="69" t="e">
        <f t="shared" si="111"/>
        <v>#VALUE!</v>
      </c>
      <c r="AI242" s="69" t="e">
        <f t="shared" si="112"/>
        <v>#VALUE!</v>
      </c>
      <c r="AJ242" s="70" t="str">
        <f>IF(OR(ISTEXT('TECH DATA ENTRY'!L259)=TRUE,ISTEXT('TECH DATA ENTRY'!F259)=TRUE,ISTEXT('TECH DATA ENTRY'!G259)=TRUE),"NA",(W242-AB242)/(2*MAX(M242,L242)))</f>
        <v>NA</v>
      </c>
      <c r="AK242" s="69" t="str">
        <f t="shared" si="113"/>
        <v>NA</v>
      </c>
      <c r="AM242" s="73" t="e">
        <f t="shared" si="114"/>
        <v>#VALUE!</v>
      </c>
      <c r="AN242" s="73" t="e">
        <f t="shared" si="115"/>
        <v>#VALUE!</v>
      </c>
      <c r="AO242" s="87"/>
      <c r="AP242" s="73" t="e">
        <f t="shared" si="116"/>
        <v>#VALUE!</v>
      </c>
      <c r="AQ242" s="73" t="e">
        <f t="shared" si="117"/>
        <v>#VALUE!</v>
      </c>
      <c r="AR242" s="87"/>
      <c r="AS242" s="73" t="e">
        <f t="shared" si="118"/>
        <v>#VALUE!</v>
      </c>
      <c r="AT242" s="73" t="e">
        <f t="shared" si="119"/>
        <v>#VALUE!</v>
      </c>
      <c r="AV242" s="73" t="e">
        <f t="shared" si="120"/>
        <v>#VALUE!</v>
      </c>
      <c r="AW242" s="73" t="e">
        <f t="shared" si="121"/>
        <v>#VALUE!</v>
      </c>
      <c r="AX242" s="87"/>
      <c r="AY242" s="73" t="e">
        <f t="shared" si="122"/>
        <v>#VALUE!</v>
      </c>
      <c r="AZ242" s="73" t="e">
        <f t="shared" si="123"/>
        <v>#VALUE!</v>
      </c>
      <c r="BA242" s="87"/>
      <c r="BB242" s="73" t="e">
        <f t="shared" si="124"/>
        <v>#VALUE!</v>
      </c>
      <c r="BC242" s="73" t="e">
        <f t="shared" si="125"/>
        <v>#VALUE!</v>
      </c>
    </row>
    <row r="243" spans="1:55" s="86" customFormat="1" ht="25" customHeight="1">
      <c r="A243" s="477">
        <f>IF('TECH DATA ENTRY'!A260="","",'TECH DATA ENTRY'!A260)</f>
        <v>1.9</v>
      </c>
      <c r="B243" s="460">
        <f>IF('TECH DATA ENTRY'!B260="","",'TECH DATA ENTRY'!B260)</f>
        <v>1.9</v>
      </c>
      <c r="C243" s="460">
        <f>IF(B243="","",IFERROR('TECH DATA ENTRY'!F260,"NA"))</f>
        <v>1.8975</v>
      </c>
      <c r="D243" s="460" t="str">
        <f>IF('TECH DATA ENTRY'!L260="","",'TECH DATA ENTRY'!L260)</f>
        <v/>
      </c>
      <c r="E243" s="460" t="str">
        <f t="shared" si="97"/>
        <v/>
      </c>
      <c r="F243" s="460">
        <f>IF(B243="","",IFERROR('TECH DATA ENTRY'!G260,"NA"))</f>
        <v>1.9024999999999999</v>
      </c>
      <c r="G243" s="596" t="str">
        <f t="shared" si="98"/>
        <v/>
      </c>
      <c r="H243" s="460" t="str">
        <f>IF(OR(ISTEXT(B243)=TRUE, D243="NA",D243=""),"NA", roundsf(MAX(L243,M243),C243))</f>
        <v>NA</v>
      </c>
      <c r="I243" s="325" t="str">
        <f t="shared" si="99"/>
        <v>NA</v>
      </c>
      <c r="J243" s="299"/>
      <c r="K243" s="245"/>
      <c r="L243" s="506">
        <f t="shared" si="129"/>
        <v>1.9249999999999999E-4</v>
      </c>
      <c r="M243" s="244" t="str">
        <f>UNC_CALCULATION!AM232</f>
        <v>NA</v>
      </c>
      <c r="N243" s="85"/>
      <c r="O243" s="58"/>
      <c r="P243" s="69" t="e">
        <f>IF(B243="","",INDEX('AUX TABLES'!$G$4:$K$8,AV243,AW243))</f>
        <v>#VALUE!</v>
      </c>
      <c r="Q243" s="150" t="e">
        <f>IF(AJ$11=FALSE,IF(B243="","",IF(AJ243="NA",P243,INDEX('AUX TABLES'!$G$4:$K$8,AY243,AZ243))),IF(P243="FAIL",P243,INDEX('AUX TABLES'!$G$4:$K$8,AY243,AZ243)))</f>
        <v>#VALUE!</v>
      </c>
      <c r="R243" s="150" t="e">
        <f>IF(AJ$11=FALSE,IF(B243="","",IF(AJ243="NA",P243,INDEX('AUX TABLES'!$G$4:$K$8,BB243,BC243))),IF(P243="FAIL",P243,INDEX('AUX TABLES'!$G$4:$K$8,BB243,BC243)))</f>
        <v>#VALUE!</v>
      </c>
      <c r="S243" s="69" t="e">
        <f>INDEX('AUX TABLES'!$G$4:$K$8,AM243,AN243)</f>
        <v>#VALUE!</v>
      </c>
      <c r="T243" s="69" t="e">
        <f>IF(AJ$11=FALSE,IF(AJ243="NA",S243,INDEX('AUX TABLES'!$G$4:$K$8,AP243,AQ243)),IF(S243="FAIL",S243,INDEX('AUX TABLES'!$G$4:$K$8,AP243,AQ243)))</f>
        <v>#VALUE!</v>
      </c>
      <c r="U243" s="150" t="e">
        <f>IF(AJ$11=FALSE,IF(AJ243="NA",S243,INDEX('AUX TABLES'!$G$4:$K$8,AS243,AT243)),IF(S243="FAIL",S243,INDEX('AUX TABLES'!$G$4:$K$8,AS243,AT243)))</f>
        <v>#VALUE!</v>
      </c>
      <c r="V243" s="150" t="str">
        <f t="shared" si="100"/>
        <v/>
      </c>
      <c r="W243" s="74">
        <f t="shared" si="101"/>
        <v>1.9024999999999999</v>
      </c>
      <c r="X243" s="74" t="str">
        <f t="shared" si="102"/>
        <v>NA</v>
      </c>
      <c r="Y243" s="74" t="str">
        <f t="shared" si="103"/>
        <v>NA</v>
      </c>
      <c r="Z243" s="74" t="str">
        <f t="shared" si="104"/>
        <v>NA</v>
      </c>
      <c r="AA243" s="74" t="str">
        <f t="shared" si="105"/>
        <v>NA</v>
      </c>
      <c r="AB243" s="74">
        <f t="shared" si="106"/>
        <v>1.8975</v>
      </c>
      <c r="AC243" s="69" t="str">
        <f>IF(ISTEXT('TECH DATA ENTRY'!L260)=TRUE,"NA",'TECH DATA ENTRY'!H260)</f>
        <v>NA</v>
      </c>
      <c r="AD243" s="69" t="str">
        <f t="shared" si="107"/>
        <v>NA</v>
      </c>
      <c r="AE243" s="69" t="str">
        <f t="shared" si="108"/>
        <v>NA</v>
      </c>
      <c r="AF243" s="69" t="e">
        <f t="shared" si="109"/>
        <v>#VALUE!</v>
      </c>
      <c r="AG243" s="69" t="e">
        <f t="shared" si="110"/>
        <v>#VALUE!</v>
      </c>
      <c r="AH243" s="69" t="e">
        <f t="shared" si="111"/>
        <v>#VALUE!</v>
      </c>
      <c r="AI243" s="69" t="e">
        <f t="shared" si="112"/>
        <v>#VALUE!</v>
      </c>
      <c r="AJ243" s="70" t="str">
        <f>IF(OR(ISTEXT('TECH DATA ENTRY'!L260)=TRUE,ISTEXT('TECH DATA ENTRY'!F260)=TRUE,ISTEXT('TECH DATA ENTRY'!G260)=TRUE),"NA",(W243-AB243)/(2*MAX(M243,L243)))</f>
        <v>NA</v>
      </c>
      <c r="AK243" s="69" t="str">
        <f t="shared" si="113"/>
        <v>NA</v>
      </c>
      <c r="AM243" s="73" t="e">
        <f t="shared" si="114"/>
        <v>#VALUE!</v>
      </c>
      <c r="AN243" s="73" t="e">
        <f t="shared" si="115"/>
        <v>#VALUE!</v>
      </c>
      <c r="AO243" s="87"/>
      <c r="AP243" s="73" t="e">
        <f t="shared" si="116"/>
        <v>#VALUE!</v>
      </c>
      <c r="AQ243" s="73" t="e">
        <f t="shared" si="117"/>
        <v>#VALUE!</v>
      </c>
      <c r="AR243" s="87"/>
      <c r="AS243" s="73" t="e">
        <f t="shared" si="118"/>
        <v>#VALUE!</v>
      </c>
      <c r="AT243" s="73" t="e">
        <f t="shared" si="119"/>
        <v>#VALUE!</v>
      </c>
      <c r="AV243" s="73" t="e">
        <f t="shared" si="120"/>
        <v>#VALUE!</v>
      </c>
      <c r="AW243" s="73" t="e">
        <f t="shared" si="121"/>
        <v>#VALUE!</v>
      </c>
      <c r="AX243" s="87"/>
      <c r="AY243" s="73" t="e">
        <f t="shared" si="122"/>
        <v>#VALUE!</v>
      </c>
      <c r="AZ243" s="73" t="e">
        <f t="shared" si="123"/>
        <v>#VALUE!</v>
      </c>
      <c r="BA243" s="87"/>
      <c r="BB243" s="73" t="e">
        <f t="shared" si="124"/>
        <v>#VALUE!</v>
      </c>
      <c r="BC243" s="73" t="e">
        <f t="shared" si="125"/>
        <v>#VALUE!</v>
      </c>
    </row>
    <row r="244" spans="1:55" s="86" customFormat="1" ht="25" customHeight="1" thickBot="1">
      <c r="A244" s="478">
        <f>IF('TECH DATA ENTRY'!A261="","",'TECH DATA ENTRY'!A261)</f>
        <v>-1.9</v>
      </c>
      <c r="B244" s="468">
        <f>IF('TECH DATA ENTRY'!B261="","",'TECH DATA ENTRY'!B261)</f>
        <v>-1.9</v>
      </c>
      <c r="C244" s="586">
        <f>IF(B244="","",IFERROR('TECH DATA ENTRY'!F261,"NA"))</f>
        <v>-1.9024999999999999</v>
      </c>
      <c r="D244" s="586" t="str">
        <f>IF('TECH DATA ENTRY'!L261="","",'TECH DATA ENTRY'!L261)</f>
        <v/>
      </c>
      <c r="E244" s="586" t="str">
        <f t="shared" si="97"/>
        <v/>
      </c>
      <c r="F244" s="586">
        <f>IF(B244="","",IFERROR('TECH DATA ENTRY'!G261,"NA"))</f>
        <v>-1.8975</v>
      </c>
      <c r="G244" s="587" t="str">
        <f t="shared" si="98"/>
        <v/>
      </c>
      <c r="H244" s="586" t="str">
        <f>IF(OR(ISTEXT(B244)=TRUE, D244="NA",D244=""),"NA", roundsf(MAX(L244,M244),C244))</f>
        <v>NA</v>
      </c>
      <c r="I244" s="575" t="str">
        <f t="shared" si="99"/>
        <v>NA</v>
      </c>
      <c r="J244" s="299"/>
      <c r="K244" s="245"/>
      <c r="L244" s="506">
        <f t="shared" si="129"/>
        <v>1.9249999999999999E-4</v>
      </c>
      <c r="M244" s="244" t="str">
        <f>UNC_CALCULATION!AM233</f>
        <v>NA</v>
      </c>
      <c r="N244" s="85"/>
      <c r="O244" s="58"/>
      <c r="P244" s="69" t="e">
        <f>IF(B244="","",INDEX('AUX TABLES'!$G$4:$K$8,AV244,AW244))</f>
        <v>#VALUE!</v>
      </c>
      <c r="Q244" s="150" t="e">
        <f>IF(AJ$11=FALSE,IF(B244="","",IF(AJ244="NA",P244,INDEX('AUX TABLES'!$G$4:$K$8,AY244,AZ244))),IF(P244="FAIL",P244,INDEX('AUX TABLES'!$G$4:$K$8,AY244,AZ244)))</f>
        <v>#VALUE!</v>
      </c>
      <c r="R244" s="150" t="e">
        <f>IF(AJ$11=FALSE,IF(B244="","",IF(AJ244="NA",P244,INDEX('AUX TABLES'!$G$4:$K$8,BB244,BC244))),IF(P244="FAIL",P244,INDEX('AUX TABLES'!$G$4:$K$8,BB244,BC244)))</f>
        <v>#VALUE!</v>
      </c>
      <c r="S244" s="69" t="e">
        <f>INDEX('AUX TABLES'!$G$4:$K$8,AM244,AN244)</f>
        <v>#VALUE!</v>
      </c>
      <c r="T244" s="69" t="e">
        <f>IF(AJ$11=FALSE,IF(AJ244="NA",S244,INDEX('AUX TABLES'!$G$4:$K$8,AP244,AQ244)),IF(S244="FAIL",S244,INDEX('AUX TABLES'!$G$4:$K$8,AP244,AQ244)))</f>
        <v>#VALUE!</v>
      </c>
      <c r="U244" s="150" t="e">
        <f>IF(AJ$11=FALSE,IF(AJ244="NA",S244,INDEX('AUX TABLES'!$G$4:$K$8,AS244,AT244)),IF(S244="FAIL",S244,INDEX('AUX TABLES'!$G$4:$K$8,AS244,AT244)))</f>
        <v>#VALUE!</v>
      </c>
      <c r="V244" s="150" t="str">
        <f t="shared" si="100"/>
        <v/>
      </c>
      <c r="W244" s="74">
        <f t="shared" si="101"/>
        <v>-1.8975</v>
      </c>
      <c r="X244" s="74" t="str">
        <f t="shared" si="102"/>
        <v>NA</v>
      </c>
      <c r="Y244" s="74" t="str">
        <f t="shared" si="103"/>
        <v>NA</v>
      </c>
      <c r="Z244" s="74" t="str">
        <f t="shared" si="104"/>
        <v>NA</v>
      </c>
      <c r="AA244" s="74" t="str">
        <f t="shared" si="105"/>
        <v>NA</v>
      </c>
      <c r="AB244" s="74">
        <f t="shared" si="106"/>
        <v>-1.9024999999999999</v>
      </c>
      <c r="AC244" s="69" t="str">
        <f>IF(ISTEXT('TECH DATA ENTRY'!L261)=TRUE,"NA",'TECH DATA ENTRY'!H261)</f>
        <v>NA</v>
      </c>
      <c r="AD244" s="69" t="str">
        <f t="shared" si="107"/>
        <v>NA</v>
      </c>
      <c r="AE244" s="69" t="str">
        <f t="shared" si="108"/>
        <v>NA</v>
      </c>
      <c r="AF244" s="69" t="e">
        <f t="shared" si="109"/>
        <v>#VALUE!</v>
      </c>
      <c r="AG244" s="69" t="e">
        <f t="shared" si="110"/>
        <v>#VALUE!</v>
      </c>
      <c r="AH244" s="69" t="e">
        <f t="shared" si="111"/>
        <v>#VALUE!</v>
      </c>
      <c r="AI244" s="69" t="e">
        <f t="shared" si="112"/>
        <v>#VALUE!</v>
      </c>
      <c r="AJ244" s="70" t="str">
        <f>IF(OR(ISTEXT('TECH DATA ENTRY'!L261)=TRUE,ISTEXT('TECH DATA ENTRY'!F261)=TRUE,ISTEXT('TECH DATA ENTRY'!G261)=TRUE),"NA",(W244-AB244)/(2*MAX(M244,L244)))</f>
        <v>NA</v>
      </c>
      <c r="AK244" s="69" t="str">
        <f t="shared" si="113"/>
        <v>NA</v>
      </c>
      <c r="AM244" s="73" t="e">
        <f t="shared" si="114"/>
        <v>#VALUE!</v>
      </c>
      <c r="AN244" s="73" t="e">
        <f t="shared" si="115"/>
        <v>#VALUE!</v>
      </c>
      <c r="AO244" s="87"/>
      <c r="AP244" s="73" t="e">
        <f t="shared" si="116"/>
        <v>#VALUE!</v>
      </c>
      <c r="AQ244" s="73" t="e">
        <f t="shared" si="117"/>
        <v>#VALUE!</v>
      </c>
      <c r="AR244" s="87"/>
      <c r="AS244" s="73" t="e">
        <f t="shared" si="118"/>
        <v>#VALUE!</v>
      </c>
      <c r="AT244" s="73" t="e">
        <f t="shared" si="119"/>
        <v>#VALUE!</v>
      </c>
      <c r="AV244" s="73" t="e">
        <f t="shared" si="120"/>
        <v>#VALUE!</v>
      </c>
      <c r="AW244" s="73" t="e">
        <f t="shared" si="121"/>
        <v>#VALUE!</v>
      </c>
      <c r="AX244" s="87"/>
      <c r="AY244" s="73" t="e">
        <f t="shared" si="122"/>
        <v>#VALUE!</v>
      </c>
      <c r="AZ244" s="73" t="e">
        <f t="shared" si="123"/>
        <v>#VALUE!</v>
      </c>
      <c r="BA244" s="87"/>
      <c r="BB244" s="73" t="e">
        <f t="shared" si="124"/>
        <v>#VALUE!</v>
      </c>
      <c r="BC244" s="73" t="e">
        <f t="shared" si="125"/>
        <v>#VALUE!</v>
      </c>
    </row>
    <row r="245" spans="1:55" s="296" customFormat="1" ht="28.15" customHeight="1">
      <c r="A245" s="550" t="str">
        <f>IF('TECH DATA ENTRY'!A262="","",'TECH DATA ENTRY'!A262)</f>
        <v/>
      </c>
      <c r="B245" s="551"/>
      <c r="C245" s="552"/>
      <c r="D245" s="551"/>
      <c r="E245" s="551"/>
      <c r="F245" s="551"/>
      <c r="G245" s="552"/>
      <c r="H245" s="551"/>
      <c r="I245" s="553"/>
      <c r="J245" s="224"/>
      <c r="K245" s="224"/>
      <c r="L245" s="224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AK245" s="297"/>
    </row>
    <row r="246" spans="1:55" s="31" customFormat="1" ht="22.15" customHeight="1">
      <c r="A246" s="76" t="str">
        <f>IF('TECH DATA ENTRY'!A263="","",'TECH DATA ENTRY'!A263)</f>
        <v>Range 10.0 A</v>
      </c>
      <c r="H246" s="321"/>
      <c r="O246" s="77"/>
      <c r="AK246" s="1"/>
      <c r="AM246" s="637" t="s">
        <v>116</v>
      </c>
      <c r="AN246" s="637"/>
      <c r="AO246" s="637"/>
      <c r="AP246" s="637"/>
      <c r="AQ246" s="637"/>
      <c r="AR246" s="637"/>
      <c r="AS246" s="637"/>
      <c r="AT246" s="637"/>
      <c r="AV246" s="637" t="s">
        <v>117</v>
      </c>
      <c r="AW246" s="637"/>
      <c r="AX246" s="637"/>
      <c r="AY246" s="637"/>
      <c r="AZ246" s="637"/>
      <c r="BA246" s="637"/>
      <c r="BB246" s="637"/>
      <c r="BC246" s="637"/>
    </row>
    <row r="247" spans="1:55" s="225" customFormat="1" ht="4.9000000000000004" customHeight="1" thickBot="1">
      <c r="A247" s="288" t="str">
        <f>IF('TECH DATA ENTRY'!A264="","",'TECH DATA ENTRY'!A264)</f>
        <v/>
      </c>
      <c r="K247" s="239"/>
      <c r="L247" s="239"/>
      <c r="AK247" s="240"/>
    </row>
    <row r="248" spans="1:55" s="285" customFormat="1" ht="20.149999999999999" customHeight="1">
      <c r="A248" s="644" t="str">
        <f>IF('TECH DATA ENTRY'!A265="","",'TECH DATA ENTRY'!A265)</f>
        <v>Function Tested</v>
      </c>
      <c r="B248" s="646" t="str">
        <f>IF('TECH DATA ENTRY'!B265="","",'TECH DATA ENTRY'!B265)</f>
        <v>Nominal</v>
      </c>
      <c r="C248" s="648" t="s">
        <v>2</v>
      </c>
      <c r="D248" s="648" t="str">
        <f>IF(LEFT(P$11,3)="ROV", "Measured Value", "As Found")</f>
        <v>As Found</v>
      </c>
      <c r="E248" s="648" t="str">
        <f>IF(LEFT(P$11,3)="ROV", "Correction", "As Left")</f>
        <v>As Left</v>
      </c>
      <c r="F248" s="648" t="s">
        <v>3</v>
      </c>
      <c r="G248" s="653" t="s">
        <v>4</v>
      </c>
      <c r="H248" s="659" t="s">
        <v>30</v>
      </c>
      <c r="I248" s="661" t="s">
        <v>28</v>
      </c>
      <c r="J248" s="284"/>
      <c r="L248" s="658" t="s">
        <v>38</v>
      </c>
      <c r="M248" s="616" t="s">
        <v>31</v>
      </c>
      <c r="N248" s="281"/>
      <c r="O248" s="286"/>
      <c r="P248" s="640" t="s">
        <v>136</v>
      </c>
      <c r="Q248" s="641"/>
      <c r="R248" s="642"/>
      <c r="S248" s="638" t="s">
        <v>115</v>
      </c>
      <c r="T248" s="638"/>
      <c r="U248" s="638"/>
      <c r="V248" s="638"/>
      <c r="W248" s="640" t="s">
        <v>64</v>
      </c>
      <c r="X248" s="641"/>
      <c r="Y248" s="641"/>
      <c r="Z248" s="641"/>
      <c r="AA248" s="641"/>
      <c r="AB248" s="642"/>
      <c r="AC248" s="638" t="s">
        <v>97</v>
      </c>
      <c r="AD248" s="638"/>
      <c r="AE248" s="638"/>
      <c r="AF248" s="638" t="s">
        <v>127</v>
      </c>
      <c r="AG248" s="638"/>
      <c r="AH248" s="638" t="s">
        <v>128</v>
      </c>
      <c r="AI248" s="638"/>
      <c r="AJ248" s="638" t="s">
        <v>28</v>
      </c>
      <c r="AK248" s="638" t="s">
        <v>121</v>
      </c>
      <c r="AL248" s="308"/>
      <c r="AM248" s="639" t="s">
        <v>122</v>
      </c>
      <c r="AN248" s="639"/>
      <c r="AO248" s="308"/>
      <c r="AP248" s="639" t="s">
        <v>119</v>
      </c>
      <c r="AQ248" s="639"/>
      <c r="AR248" s="308"/>
      <c r="AS248" s="639" t="s">
        <v>120</v>
      </c>
      <c r="AT248" s="639"/>
      <c r="AU248" s="308"/>
      <c r="AV248" s="639" t="s">
        <v>122</v>
      </c>
      <c r="AW248" s="639"/>
      <c r="AX248" s="308"/>
      <c r="AY248" s="639" t="s">
        <v>119</v>
      </c>
      <c r="AZ248" s="639"/>
      <c r="BA248" s="308"/>
      <c r="BB248" s="639" t="s">
        <v>120</v>
      </c>
      <c r="BC248" s="639"/>
    </row>
    <row r="249" spans="1:55" s="285" customFormat="1" ht="20.149999999999999" customHeight="1" thickBot="1">
      <c r="A249" s="645"/>
      <c r="B249" s="647"/>
      <c r="C249" s="649"/>
      <c r="D249" s="649"/>
      <c r="E249" s="649"/>
      <c r="F249" s="649"/>
      <c r="G249" s="654"/>
      <c r="H249" s="660"/>
      <c r="I249" s="662"/>
      <c r="J249" s="284"/>
      <c r="L249" s="649"/>
      <c r="M249" s="617"/>
      <c r="O249" s="281"/>
      <c r="P249" s="309" t="s">
        <v>122</v>
      </c>
      <c r="Q249" s="309" t="s">
        <v>119</v>
      </c>
      <c r="R249" s="309" t="s">
        <v>120</v>
      </c>
      <c r="S249" s="309" t="s">
        <v>122</v>
      </c>
      <c r="T249" s="309" t="s">
        <v>119</v>
      </c>
      <c r="U249" s="309" t="s">
        <v>120</v>
      </c>
      <c r="V249" s="309" t="s">
        <v>118</v>
      </c>
      <c r="W249" s="309" t="s">
        <v>63</v>
      </c>
      <c r="X249" s="309" t="s">
        <v>69</v>
      </c>
      <c r="Y249" s="309" t="s">
        <v>71</v>
      </c>
      <c r="Z249" s="309" t="s">
        <v>72</v>
      </c>
      <c r="AA249" s="309" t="s">
        <v>70</v>
      </c>
      <c r="AB249" s="309" t="s">
        <v>75</v>
      </c>
      <c r="AC249" s="309" t="s">
        <v>78</v>
      </c>
      <c r="AD249" s="309" t="s">
        <v>119</v>
      </c>
      <c r="AE249" s="309" t="s">
        <v>120</v>
      </c>
      <c r="AF249" s="309" t="s">
        <v>129</v>
      </c>
      <c r="AG249" s="309" t="s">
        <v>130</v>
      </c>
      <c r="AH249" s="309" t="s">
        <v>129</v>
      </c>
      <c r="AI249" s="309" t="s">
        <v>130</v>
      </c>
      <c r="AJ249" s="652"/>
      <c r="AK249" s="652"/>
      <c r="AL249" s="308"/>
      <c r="AM249" s="310" t="s">
        <v>67</v>
      </c>
      <c r="AN249" s="310" t="s">
        <v>68</v>
      </c>
      <c r="AO249" s="308"/>
      <c r="AP249" s="310" t="s">
        <v>67</v>
      </c>
      <c r="AQ249" s="310" t="s">
        <v>68</v>
      </c>
      <c r="AR249" s="308"/>
      <c r="AS249" s="310" t="s">
        <v>67</v>
      </c>
      <c r="AT249" s="310" t="s">
        <v>68</v>
      </c>
      <c r="AU249" s="308"/>
      <c r="AV249" s="310" t="s">
        <v>67</v>
      </c>
      <c r="AW249" s="310" t="s">
        <v>68</v>
      </c>
      <c r="AX249" s="308"/>
      <c r="AY249" s="310" t="s">
        <v>67</v>
      </c>
      <c r="AZ249" s="310" t="s">
        <v>68</v>
      </c>
      <c r="BA249" s="308"/>
      <c r="BB249" s="310" t="s">
        <v>67</v>
      </c>
      <c r="BC249" s="310" t="s">
        <v>68</v>
      </c>
    </row>
    <row r="250" spans="1:55" s="86" customFormat="1" ht="25" customHeight="1" thickTop="1">
      <c r="A250" s="475">
        <f>IF('TECH DATA ENTRY'!A267="","",'TECH DATA ENTRY'!A267)</f>
        <v>0</v>
      </c>
      <c r="B250" s="460">
        <f>IF('TECH DATA ENTRY'!B267="","",'TECH DATA ENTRY'!B267)</f>
        <v>0</v>
      </c>
      <c r="C250" s="569">
        <f>IF(B250="","",IFERROR('TECH DATA ENTRY'!F267,"NA"))</f>
        <v>-8.0000000000000004E-4</v>
      </c>
      <c r="D250" s="569" t="str">
        <f>IF('TECH DATA ENTRY'!L267="","",'TECH DATA ENTRY'!L267)</f>
        <v/>
      </c>
      <c r="E250" s="569" t="str">
        <f t="shared" si="97"/>
        <v/>
      </c>
      <c r="F250" s="569">
        <f>IF(B250="","",IFERROR('TECH DATA ENTRY'!G267,"NA"))</f>
        <v>8.0000000000000004E-4</v>
      </c>
      <c r="G250" s="570" t="str">
        <f t="shared" si="98"/>
        <v/>
      </c>
      <c r="H250" s="569" t="str">
        <f>IF(OR(ISTEXT(B250)=TRUE, D250="NA",D250=""),"NA", roundsf(MAX(L250,M250),C250))</f>
        <v>NA</v>
      </c>
      <c r="I250" s="558" t="str">
        <f t="shared" si="99"/>
        <v>NA</v>
      </c>
      <c r="J250" s="299"/>
      <c r="K250" s="245"/>
      <c r="L250" s="506">
        <f>(335/1000000)*ABS(B250)+(1/1000)</f>
        <v>1E-3</v>
      </c>
      <c r="M250" s="244" t="str">
        <f>UNC_CALCULATION!AM239</f>
        <v>NA</v>
      </c>
      <c r="N250" s="85"/>
      <c r="O250" s="58"/>
      <c r="P250" s="69" t="e">
        <f>IF(B250="","",INDEX('AUX TABLES'!$G$4:$K$8,AV250,AW250))</f>
        <v>#VALUE!</v>
      </c>
      <c r="Q250" s="150" t="e">
        <f>IF(AJ$11=FALSE,IF(B250="","",IF(AJ250="NA",P250,INDEX('AUX TABLES'!$G$4:$K$8,AY250,AZ250))),IF(P250="FAIL",P250,INDEX('AUX TABLES'!$G$4:$K$8,AY250,AZ250)))</f>
        <v>#VALUE!</v>
      </c>
      <c r="R250" s="150" t="e">
        <f>IF(AJ$11=FALSE,IF(B250="","",IF(AJ250="NA",P250,INDEX('AUX TABLES'!$G$4:$K$8,BB250,BC250))),IF(P250="FAIL",P250,INDEX('AUX TABLES'!$G$4:$K$8,BB250,BC250)))</f>
        <v>#VALUE!</v>
      </c>
      <c r="S250" s="69" t="e">
        <f>INDEX('AUX TABLES'!$G$4:$K$8,AM250,AN250)</f>
        <v>#VALUE!</v>
      </c>
      <c r="T250" s="69" t="e">
        <f>IF(AJ$11=FALSE,IF(AJ250="NA",S250,INDEX('AUX TABLES'!$G$4:$K$8,AP250,AQ250)),IF(S250="FAIL",S250,INDEX('AUX TABLES'!$G$4:$K$8,AP250,AQ250)))</f>
        <v>#VALUE!</v>
      </c>
      <c r="U250" s="150" t="e">
        <f>IF(AJ$11=FALSE,IF(AJ250="NA",S250,INDEX('AUX TABLES'!$G$4:$K$8,AS250,AT250)),IF(S250="FAIL",S250,INDEX('AUX TABLES'!$G$4:$K$8,AS250,AT250)))</f>
        <v>#VALUE!</v>
      </c>
      <c r="V250" s="150" t="str">
        <f t="shared" si="100"/>
        <v/>
      </c>
      <c r="W250" s="74">
        <f t="shared" si="101"/>
        <v>8.0000000000000004E-4</v>
      </c>
      <c r="X250" s="74" t="str">
        <f t="shared" si="102"/>
        <v>NA</v>
      </c>
      <c r="Y250" s="74" t="str">
        <f t="shared" si="103"/>
        <v>NA</v>
      </c>
      <c r="Z250" s="74" t="str">
        <f t="shared" si="104"/>
        <v>NA</v>
      </c>
      <c r="AA250" s="74" t="str">
        <f t="shared" si="105"/>
        <v>NA</v>
      </c>
      <c r="AB250" s="74">
        <f t="shared" si="106"/>
        <v>-8.0000000000000004E-4</v>
      </c>
      <c r="AC250" s="69" t="str">
        <f>IF(ISTEXT('TECH DATA ENTRY'!L267)=TRUE,"NA",'TECH DATA ENTRY'!H267)</f>
        <v>NA</v>
      </c>
      <c r="AD250" s="69" t="str">
        <f t="shared" si="107"/>
        <v>NA</v>
      </c>
      <c r="AE250" s="69" t="str">
        <f t="shared" si="108"/>
        <v>NA</v>
      </c>
      <c r="AF250" s="69" t="e">
        <f t="shared" si="109"/>
        <v>#VALUE!</v>
      </c>
      <c r="AG250" s="69" t="e">
        <f t="shared" si="110"/>
        <v>#VALUE!</v>
      </c>
      <c r="AH250" s="69" t="e">
        <f t="shared" si="111"/>
        <v>#VALUE!</v>
      </c>
      <c r="AI250" s="69" t="e">
        <f t="shared" si="112"/>
        <v>#VALUE!</v>
      </c>
      <c r="AJ250" s="70" t="str">
        <f>IF(OR(ISTEXT('TECH DATA ENTRY'!L267)=TRUE,ISTEXT('TECH DATA ENTRY'!F267)=TRUE,ISTEXT('TECH DATA ENTRY'!G267)=TRUE),"NA",(W250-AB250)/(2*MAX(M250,L250)))</f>
        <v>NA</v>
      </c>
      <c r="AK250" s="69" t="str">
        <f t="shared" si="113"/>
        <v>NA</v>
      </c>
      <c r="AM250" s="73" t="e">
        <f t="shared" si="114"/>
        <v>#VALUE!</v>
      </c>
      <c r="AN250" s="73" t="e">
        <f t="shared" si="115"/>
        <v>#VALUE!</v>
      </c>
      <c r="AO250" s="87"/>
      <c r="AP250" s="73" t="e">
        <f t="shared" si="116"/>
        <v>#VALUE!</v>
      </c>
      <c r="AQ250" s="73" t="e">
        <f t="shared" si="117"/>
        <v>#VALUE!</v>
      </c>
      <c r="AR250" s="87"/>
      <c r="AS250" s="73" t="e">
        <f t="shared" si="118"/>
        <v>#VALUE!</v>
      </c>
      <c r="AT250" s="73" t="e">
        <f t="shared" si="119"/>
        <v>#VALUE!</v>
      </c>
      <c r="AV250" s="73" t="e">
        <f t="shared" si="120"/>
        <v>#VALUE!</v>
      </c>
      <c r="AW250" s="73" t="e">
        <f t="shared" si="121"/>
        <v>#VALUE!</v>
      </c>
      <c r="AX250" s="87"/>
      <c r="AY250" s="73" t="e">
        <f t="shared" si="122"/>
        <v>#VALUE!</v>
      </c>
      <c r="AZ250" s="73" t="e">
        <f t="shared" si="123"/>
        <v>#VALUE!</v>
      </c>
      <c r="BA250" s="87"/>
      <c r="BB250" s="73" t="e">
        <f t="shared" si="124"/>
        <v>#VALUE!</v>
      </c>
      <c r="BC250" s="73" t="e">
        <f t="shared" si="125"/>
        <v>#VALUE!</v>
      </c>
    </row>
    <row r="251" spans="1:55" s="86" customFormat="1" ht="25" customHeight="1">
      <c r="A251" s="475">
        <f>IF('TECH DATA ENTRY'!A268="","",'TECH DATA ENTRY'!A268)</f>
        <v>10</v>
      </c>
      <c r="B251" s="460">
        <f>IF('TECH DATA ENTRY'!B268="","",'TECH DATA ENTRY'!B268)</f>
        <v>10</v>
      </c>
      <c r="C251" s="460">
        <f>IF(B251="","",IFERROR('TECH DATA ENTRY'!F268,"NA"))</f>
        <v>9.9841999999999995</v>
      </c>
      <c r="D251" s="460" t="str">
        <f>IF('TECH DATA ENTRY'!L268="","",'TECH DATA ENTRY'!L268)</f>
        <v/>
      </c>
      <c r="E251" s="460" t="str">
        <f t="shared" si="97"/>
        <v/>
      </c>
      <c r="F251" s="460">
        <f>IF(B251="","",IFERROR('TECH DATA ENTRY'!G268,"NA"))</f>
        <v>10.0158</v>
      </c>
      <c r="G251" s="596" t="str">
        <f t="shared" si="98"/>
        <v/>
      </c>
      <c r="H251" s="460" t="str">
        <f>IF(OR(ISTEXT(B251)=TRUE, D251="NA",D251=""),"NA", roundsf(MAX(L251,M251),C251))</f>
        <v>NA</v>
      </c>
      <c r="I251" s="325" t="str">
        <f t="shared" si="99"/>
        <v>NA</v>
      </c>
      <c r="J251" s="299"/>
      <c r="K251" s="245"/>
      <c r="L251" s="506">
        <f t="shared" ref="L251:L252" si="130">(335/1000000)*ABS(B251)+(1/1000)</f>
        <v>4.3499999999999997E-3</v>
      </c>
      <c r="M251" s="244" t="str">
        <f>UNC_CALCULATION!AM240</f>
        <v>NA</v>
      </c>
      <c r="N251" s="85"/>
      <c r="O251" s="58"/>
      <c r="P251" s="69" t="e">
        <f>IF(B251="","",INDEX('AUX TABLES'!$G$4:$K$8,AV251,AW251))</f>
        <v>#VALUE!</v>
      </c>
      <c r="Q251" s="150" t="e">
        <f>IF(AJ$11=FALSE,IF(B251="","",IF(AJ251="NA",P251,INDEX('AUX TABLES'!$G$4:$K$8,AY251,AZ251))),IF(P251="FAIL",P251,INDEX('AUX TABLES'!$G$4:$K$8,AY251,AZ251)))</f>
        <v>#VALUE!</v>
      </c>
      <c r="R251" s="150" t="e">
        <f>IF(AJ$11=FALSE,IF(B251="","",IF(AJ251="NA",P251,INDEX('AUX TABLES'!$G$4:$K$8,BB251,BC251))),IF(P251="FAIL",P251,INDEX('AUX TABLES'!$G$4:$K$8,BB251,BC251)))</f>
        <v>#VALUE!</v>
      </c>
      <c r="S251" s="69" t="e">
        <f>INDEX('AUX TABLES'!$G$4:$K$8,AM251,AN251)</f>
        <v>#VALUE!</v>
      </c>
      <c r="T251" s="69" t="e">
        <f>IF(AJ$11=FALSE,IF(AJ251="NA",S251,INDEX('AUX TABLES'!$G$4:$K$8,AP251,AQ251)),IF(S251="FAIL",S251,INDEX('AUX TABLES'!$G$4:$K$8,AP251,AQ251)))</f>
        <v>#VALUE!</v>
      </c>
      <c r="U251" s="150" t="e">
        <f>IF(AJ$11=FALSE,IF(AJ251="NA",S251,INDEX('AUX TABLES'!$G$4:$K$8,AS251,AT251)),IF(S251="FAIL",S251,INDEX('AUX TABLES'!$G$4:$K$8,AS251,AT251)))</f>
        <v>#VALUE!</v>
      </c>
      <c r="V251" s="150" t="str">
        <f t="shared" si="100"/>
        <v/>
      </c>
      <c r="W251" s="74">
        <f t="shared" si="101"/>
        <v>10.0158</v>
      </c>
      <c r="X251" s="74" t="str">
        <f t="shared" si="102"/>
        <v>NA</v>
      </c>
      <c r="Y251" s="74" t="str">
        <f t="shared" si="103"/>
        <v>NA</v>
      </c>
      <c r="Z251" s="74" t="str">
        <f t="shared" si="104"/>
        <v>NA</v>
      </c>
      <c r="AA251" s="74" t="str">
        <f t="shared" si="105"/>
        <v>NA</v>
      </c>
      <c r="AB251" s="74">
        <f t="shared" si="106"/>
        <v>9.9841999999999995</v>
      </c>
      <c r="AC251" s="69" t="str">
        <f>IF(ISTEXT('TECH DATA ENTRY'!L268)=TRUE,"NA",'TECH DATA ENTRY'!H268)</f>
        <v>NA</v>
      </c>
      <c r="AD251" s="69" t="str">
        <f t="shared" si="107"/>
        <v>NA</v>
      </c>
      <c r="AE251" s="69" t="str">
        <f t="shared" si="108"/>
        <v>NA</v>
      </c>
      <c r="AF251" s="69" t="e">
        <f t="shared" si="109"/>
        <v>#VALUE!</v>
      </c>
      <c r="AG251" s="69" t="e">
        <f t="shared" si="110"/>
        <v>#VALUE!</v>
      </c>
      <c r="AH251" s="69" t="e">
        <f t="shared" si="111"/>
        <v>#VALUE!</v>
      </c>
      <c r="AI251" s="69" t="e">
        <f t="shared" si="112"/>
        <v>#VALUE!</v>
      </c>
      <c r="AJ251" s="70" t="str">
        <f>IF(OR(ISTEXT('TECH DATA ENTRY'!L268)=TRUE,ISTEXT('TECH DATA ENTRY'!F268)=TRUE,ISTEXT('TECH DATA ENTRY'!G268)=TRUE),"NA",(W251-AB251)/(2*MAX(M251,L251)))</f>
        <v>NA</v>
      </c>
      <c r="AK251" s="69" t="str">
        <f t="shared" si="113"/>
        <v>NA</v>
      </c>
      <c r="AM251" s="73" t="e">
        <f t="shared" si="114"/>
        <v>#VALUE!</v>
      </c>
      <c r="AN251" s="73" t="e">
        <f t="shared" si="115"/>
        <v>#VALUE!</v>
      </c>
      <c r="AO251" s="87"/>
      <c r="AP251" s="73" t="e">
        <f t="shared" si="116"/>
        <v>#VALUE!</v>
      </c>
      <c r="AQ251" s="73" t="e">
        <f t="shared" si="117"/>
        <v>#VALUE!</v>
      </c>
      <c r="AR251" s="87"/>
      <c r="AS251" s="73" t="e">
        <f t="shared" si="118"/>
        <v>#VALUE!</v>
      </c>
      <c r="AT251" s="73" t="e">
        <f t="shared" si="119"/>
        <v>#VALUE!</v>
      </c>
      <c r="AV251" s="73" t="e">
        <f t="shared" si="120"/>
        <v>#VALUE!</v>
      </c>
      <c r="AW251" s="73" t="e">
        <f t="shared" si="121"/>
        <v>#VALUE!</v>
      </c>
      <c r="AX251" s="87"/>
      <c r="AY251" s="73" t="e">
        <f t="shared" si="122"/>
        <v>#VALUE!</v>
      </c>
      <c r="AZ251" s="73" t="e">
        <f t="shared" si="123"/>
        <v>#VALUE!</v>
      </c>
      <c r="BA251" s="87"/>
      <c r="BB251" s="73" t="e">
        <f t="shared" si="124"/>
        <v>#VALUE!</v>
      </c>
      <c r="BC251" s="73" t="e">
        <f t="shared" si="125"/>
        <v>#VALUE!</v>
      </c>
    </row>
    <row r="252" spans="1:55" s="86" customFormat="1" ht="25" customHeight="1" thickBot="1">
      <c r="A252" s="476">
        <f>IF('TECH DATA ENTRY'!A269="","",'TECH DATA ENTRY'!A269)</f>
        <v>-10</v>
      </c>
      <c r="B252" s="468">
        <f>IF('TECH DATA ENTRY'!B269="","",'TECH DATA ENTRY'!B269)</f>
        <v>-10</v>
      </c>
      <c r="C252" s="586">
        <f>IF(B252="","",IFERROR('TECH DATA ENTRY'!F269,"NA"))</f>
        <v>-10.0158</v>
      </c>
      <c r="D252" s="586" t="str">
        <f>IF('TECH DATA ENTRY'!L269="","",'TECH DATA ENTRY'!L269)</f>
        <v/>
      </c>
      <c r="E252" s="586" t="str">
        <f t="shared" si="97"/>
        <v/>
      </c>
      <c r="F252" s="586">
        <f>IF(B252="","",IFERROR('TECH DATA ENTRY'!G269,"NA"))</f>
        <v>-9.9841999999999995</v>
      </c>
      <c r="G252" s="587" t="str">
        <f t="shared" si="98"/>
        <v/>
      </c>
      <c r="H252" s="586" t="str">
        <f>IF(OR(ISTEXT(B252)=TRUE, D252="NA",D252=""),"NA", roundsf(MAX(L252,M252),C252))</f>
        <v>NA</v>
      </c>
      <c r="I252" s="575" t="str">
        <f t="shared" si="99"/>
        <v>NA</v>
      </c>
      <c r="J252" s="299"/>
      <c r="K252" s="245"/>
      <c r="L252" s="506">
        <f t="shared" si="130"/>
        <v>4.3499999999999997E-3</v>
      </c>
      <c r="M252" s="244" t="str">
        <f>UNC_CALCULATION!AM241</f>
        <v>NA</v>
      </c>
      <c r="N252" s="85"/>
      <c r="O252" s="58"/>
      <c r="P252" s="69" t="e">
        <f>IF(B252="","",INDEX('AUX TABLES'!$G$4:$K$8,AV252,AW252))</f>
        <v>#VALUE!</v>
      </c>
      <c r="Q252" s="150" t="e">
        <f>IF(AJ$11=FALSE,IF(B252="","",IF(AJ252="NA",P252,INDEX('AUX TABLES'!$G$4:$K$8,AY252,AZ252))),IF(P252="FAIL",P252,INDEX('AUX TABLES'!$G$4:$K$8,AY252,AZ252)))</f>
        <v>#VALUE!</v>
      </c>
      <c r="R252" s="150" t="e">
        <f>IF(AJ$11=FALSE,IF(B252="","",IF(AJ252="NA",P252,INDEX('AUX TABLES'!$G$4:$K$8,BB252,BC252))),IF(P252="FAIL",P252,INDEX('AUX TABLES'!$G$4:$K$8,BB252,BC252)))</f>
        <v>#VALUE!</v>
      </c>
      <c r="S252" s="69" t="e">
        <f>INDEX('AUX TABLES'!$G$4:$K$8,AM252,AN252)</f>
        <v>#VALUE!</v>
      </c>
      <c r="T252" s="69" t="e">
        <f>IF(AJ$11=FALSE,IF(AJ252="NA",S252,INDEX('AUX TABLES'!$G$4:$K$8,AP252,AQ252)),IF(S252="FAIL",S252,INDEX('AUX TABLES'!$G$4:$K$8,AP252,AQ252)))</f>
        <v>#VALUE!</v>
      </c>
      <c r="U252" s="150" t="e">
        <f>IF(AJ$11=FALSE,IF(AJ252="NA",S252,INDEX('AUX TABLES'!$G$4:$K$8,AS252,AT252)),IF(S252="FAIL",S252,INDEX('AUX TABLES'!$G$4:$K$8,AS252,AT252)))</f>
        <v>#VALUE!</v>
      </c>
      <c r="V252" s="150" t="str">
        <f t="shared" si="100"/>
        <v/>
      </c>
      <c r="W252" s="74">
        <f t="shared" si="101"/>
        <v>-9.9841999999999995</v>
      </c>
      <c r="X252" s="74" t="str">
        <f t="shared" si="102"/>
        <v>NA</v>
      </c>
      <c r="Y252" s="74" t="str">
        <f t="shared" si="103"/>
        <v>NA</v>
      </c>
      <c r="Z252" s="74" t="str">
        <f t="shared" si="104"/>
        <v>NA</v>
      </c>
      <c r="AA252" s="74" t="str">
        <f t="shared" si="105"/>
        <v>NA</v>
      </c>
      <c r="AB252" s="74">
        <f t="shared" si="106"/>
        <v>-10.0158</v>
      </c>
      <c r="AC252" s="69" t="str">
        <f>IF(ISTEXT('TECH DATA ENTRY'!L269)=TRUE,"NA",'TECH DATA ENTRY'!H269)</f>
        <v>NA</v>
      </c>
      <c r="AD252" s="69" t="str">
        <f t="shared" si="107"/>
        <v>NA</v>
      </c>
      <c r="AE252" s="69" t="str">
        <f t="shared" si="108"/>
        <v>NA</v>
      </c>
      <c r="AF252" s="69" t="e">
        <f t="shared" si="109"/>
        <v>#VALUE!</v>
      </c>
      <c r="AG252" s="69" t="e">
        <f t="shared" si="110"/>
        <v>#VALUE!</v>
      </c>
      <c r="AH252" s="69" t="e">
        <f t="shared" si="111"/>
        <v>#VALUE!</v>
      </c>
      <c r="AI252" s="69" t="e">
        <f t="shared" si="112"/>
        <v>#VALUE!</v>
      </c>
      <c r="AJ252" s="70" t="str">
        <f>IF(OR(ISTEXT('TECH DATA ENTRY'!L269)=TRUE,ISTEXT('TECH DATA ENTRY'!F269)=TRUE,ISTEXT('TECH DATA ENTRY'!G269)=TRUE),"NA",(W252-AB252)/(2*MAX(M252,L252)))</f>
        <v>NA</v>
      </c>
      <c r="AK252" s="69" t="str">
        <f t="shared" si="113"/>
        <v>NA</v>
      </c>
      <c r="AM252" s="73" t="e">
        <f t="shared" si="114"/>
        <v>#VALUE!</v>
      </c>
      <c r="AN252" s="73" t="e">
        <f t="shared" si="115"/>
        <v>#VALUE!</v>
      </c>
      <c r="AO252" s="87"/>
      <c r="AP252" s="73" t="e">
        <f t="shared" si="116"/>
        <v>#VALUE!</v>
      </c>
      <c r="AQ252" s="73" t="e">
        <f t="shared" si="117"/>
        <v>#VALUE!</v>
      </c>
      <c r="AR252" s="87"/>
      <c r="AS252" s="73" t="e">
        <f t="shared" si="118"/>
        <v>#VALUE!</v>
      </c>
      <c r="AT252" s="73" t="e">
        <f t="shared" si="119"/>
        <v>#VALUE!</v>
      </c>
      <c r="AV252" s="73" t="e">
        <f t="shared" si="120"/>
        <v>#VALUE!</v>
      </c>
      <c r="AW252" s="73" t="e">
        <f t="shared" si="121"/>
        <v>#VALUE!</v>
      </c>
      <c r="AX252" s="87"/>
      <c r="AY252" s="73" t="e">
        <f t="shared" si="122"/>
        <v>#VALUE!</v>
      </c>
      <c r="AZ252" s="73" t="e">
        <f t="shared" si="123"/>
        <v>#VALUE!</v>
      </c>
      <c r="BA252" s="87"/>
      <c r="BB252" s="73" t="e">
        <f t="shared" si="124"/>
        <v>#VALUE!</v>
      </c>
      <c r="BC252" s="73" t="e">
        <f t="shared" si="125"/>
        <v>#VALUE!</v>
      </c>
    </row>
    <row r="253" spans="1:55" s="1" customFormat="1" ht="34.9" customHeight="1">
      <c r="A253" s="64"/>
      <c r="B253" s="554"/>
      <c r="C253" s="554"/>
      <c r="D253" s="554"/>
      <c r="E253" s="554"/>
      <c r="F253" s="554"/>
      <c r="G253" s="554"/>
      <c r="H253" s="554"/>
      <c r="I253" s="555"/>
      <c r="J253" s="56"/>
      <c r="K253" s="56"/>
      <c r="L253" s="58"/>
      <c r="M253" s="58"/>
      <c r="N253" s="31"/>
      <c r="O253" s="77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AP253" s="267"/>
    </row>
    <row r="254" spans="1:55" s="296" customFormat="1" ht="28.15" customHeight="1">
      <c r="A254" s="289" t="str">
        <f>IF('TECH DATA ENTRY'!A271="","",'TECH DATA ENTRY'!A271)</f>
        <v>AC Current Accuracy</v>
      </c>
      <c r="B254" s="293"/>
      <c r="C254" s="294"/>
      <c r="D254" s="293"/>
      <c r="E254" s="293"/>
      <c r="F254" s="293"/>
      <c r="G254" s="294"/>
      <c r="H254" s="293"/>
      <c r="I254" s="295"/>
      <c r="J254" s="224"/>
      <c r="K254" s="224"/>
      <c r="L254" s="224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AK254" s="297"/>
    </row>
    <row r="255" spans="1:55" s="31" customFormat="1" ht="22.15" customHeight="1">
      <c r="A255" s="76" t="str">
        <f>IF('TECH DATA ENTRY'!A272="","",'TECH DATA ENTRY'!A272)</f>
        <v>Range 100 μA</v>
      </c>
      <c r="H255" s="321"/>
      <c r="O255" s="77"/>
      <c r="AK255" s="1"/>
      <c r="AM255" s="637" t="s">
        <v>116</v>
      </c>
      <c r="AN255" s="637"/>
      <c r="AO255" s="637"/>
      <c r="AP255" s="637"/>
      <c r="AQ255" s="637"/>
      <c r="AR255" s="637"/>
      <c r="AS255" s="637"/>
      <c r="AT255" s="637"/>
      <c r="AV255" s="637" t="s">
        <v>117</v>
      </c>
      <c r="AW255" s="637"/>
      <c r="AX255" s="637"/>
      <c r="AY255" s="637"/>
      <c r="AZ255" s="637"/>
      <c r="BA255" s="637"/>
      <c r="BB255" s="637"/>
      <c r="BC255" s="637"/>
    </row>
    <row r="256" spans="1:55" s="225" customFormat="1" ht="4.9000000000000004" customHeight="1" thickBot="1">
      <c r="A256" s="288" t="str">
        <f>IF('TECH DATA ENTRY'!A273="","",'TECH DATA ENTRY'!A273)</f>
        <v/>
      </c>
      <c r="K256" s="239"/>
      <c r="L256" s="239"/>
      <c r="AK256" s="240"/>
    </row>
    <row r="257" spans="1:55" s="285" customFormat="1" ht="20.149999999999999" customHeight="1">
      <c r="A257" s="644" t="str">
        <f>IF('TECH DATA ENTRY'!A274="","",'TECH DATA ENTRY'!A274)</f>
        <v>Applied</v>
      </c>
      <c r="B257" s="646" t="str">
        <f>IF('TECH DATA ENTRY'!B274="","",'TECH DATA ENTRY'!B274)</f>
        <v>Nominal</v>
      </c>
      <c r="C257" s="648" t="s">
        <v>2</v>
      </c>
      <c r="D257" s="648" t="str">
        <f>IF(LEFT(P$11,3)="ROV", "Measured Value", "As Found")</f>
        <v>As Found</v>
      </c>
      <c r="E257" s="648" t="str">
        <f>IF(LEFT(P$11,3)="ROV", "Correction", "As Left")</f>
        <v>As Left</v>
      </c>
      <c r="F257" s="648" t="s">
        <v>3</v>
      </c>
      <c r="G257" s="653" t="s">
        <v>4</v>
      </c>
      <c r="H257" s="659" t="s">
        <v>30</v>
      </c>
      <c r="I257" s="661" t="s">
        <v>28</v>
      </c>
      <c r="J257" s="284"/>
      <c r="L257" s="658" t="s">
        <v>38</v>
      </c>
      <c r="M257" s="616" t="s">
        <v>31</v>
      </c>
      <c r="N257" s="281"/>
      <c r="O257" s="286"/>
      <c r="P257" s="640" t="s">
        <v>136</v>
      </c>
      <c r="Q257" s="641"/>
      <c r="R257" s="642"/>
      <c r="S257" s="638" t="s">
        <v>115</v>
      </c>
      <c r="T257" s="638"/>
      <c r="U257" s="638"/>
      <c r="V257" s="638"/>
      <c r="W257" s="640" t="s">
        <v>64</v>
      </c>
      <c r="X257" s="641"/>
      <c r="Y257" s="641"/>
      <c r="Z257" s="641"/>
      <c r="AA257" s="641"/>
      <c r="AB257" s="642"/>
      <c r="AC257" s="638" t="s">
        <v>97</v>
      </c>
      <c r="AD257" s="638"/>
      <c r="AE257" s="638"/>
      <c r="AF257" s="638" t="s">
        <v>127</v>
      </c>
      <c r="AG257" s="638"/>
      <c r="AH257" s="638" t="s">
        <v>128</v>
      </c>
      <c r="AI257" s="638"/>
      <c r="AJ257" s="638" t="s">
        <v>28</v>
      </c>
      <c r="AK257" s="638" t="s">
        <v>121</v>
      </c>
      <c r="AL257" s="308"/>
      <c r="AM257" s="639" t="s">
        <v>122</v>
      </c>
      <c r="AN257" s="639"/>
      <c r="AO257" s="308"/>
      <c r="AP257" s="639" t="s">
        <v>119</v>
      </c>
      <c r="AQ257" s="639"/>
      <c r="AR257" s="308"/>
      <c r="AS257" s="639" t="s">
        <v>120</v>
      </c>
      <c r="AT257" s="639"/>
      <c r="AU257" s="308"/>
      <c r="AV257" s="639" t="s">
        <v>122</v>
      </c>
      <c r="AW257" s="639"/>
      <c r="AX257" s="308"/>
      <c r="AY257" s="639" t="s">
        <v>119</v>
      </c>
      <c r="AZ257" s="639"/>
      <c r="BA257" s="308"/>
      <c r="BB257" s="639" t="s">
        <v>120</v>
      </c>
      <c r="BC257" s="639"/>
    </row>
    <row r="258" spans="1:55" s="285" customFormat="1" ht="20.149999999999999" customHeight="1" thickBot="1">
      <c r="A258" s="645"/>
      <c r="B258" s="647"/>
      <c r="C258" s="649"/>
      <c r="D258" s="649"/>
      <c r="E258" s="649"/>
      <c r="F258" s="649"/>
      <c r="G258" s="654"/>
      <c r="H258" s="660"/>
      <c r="I258" s="662"/>
      <c r="J258" s="284"/>
      <c r="L258" s="649"/>
      <c r="M258" s="617"/>
      <c r="O258" s="281"/>
      <c r="P258" s="309" t="s">
        <v>122</v>
      </c>
      <c r="Q258" s="309" t="s">
        <v>119</v>
      </c>
      <c r="R258" s="309" t="s">
        <v>120</v>
      </c>
      <c r="S258" s="309" t="s">
        <v>122</v>
      </c>
      <c r="T258" s="309" t="s">
        <v>119</v>
      </c>
      <c r="U258" s="309" t="s">
        <v>120</v>
      </c>
      <c r="V258" s="309" t="s">
        <v>118</v>
      </c>
      <c r="W258" s="309" t="s">
        <v>63</v>
      </c>
      <c r="X258" s="309" t="s">
        <v>69</v>
      </c>
      <c r="Y258" s="309" t="s">
        <v>71</v>
      </c>
      <c r="Z258" s="309" t="s">
        <v>72</v>
      </c>
      <c r="AA258" s="309" t="s">
        <v>70</v>
      </c>
      <c r="AB258" s="309" t="s">
        <v>75</v>
      </c>
      <c r="AC258" s="309" t="s">
        <v>78</v>
      </c>
      <c r="AD258" s="309" t="s">
        <v>119</v>
      </c>
      <c r="AE258" s="309" t="s">
        <v>120</v>
      </c>
      <c r="AF258" s="309" t="s">
        <v>129</v>
      </c>
      <c r="AG258" s="309" t="s">
        <v>130</v>
      </c>
      <c r="AH258" s="309" t="s">
        <v>129</v>
      </c>
      <c r="AI258" s="309" t="s">
        <v>130</v>
      </c>
      <c r="AJ258" s="652"/>
      <c r="AK258" s="652"/>
      <c r="AL258" s="308"/>
      <c r="AM258" s="310" t="s">
        <v>67</v>
      </c>
      <c r="AN258" s="310" t="s">
        <v>68</v>
      </c>
      <c r="AO258" s="308"/>
      <c r="AP258" s="310" t="s">
        <v>67</v>
      </c>
      <c r="AQ258" s="310" t="s">
        <v>68</v>
      </c>
      <c r="AR258" s="308"/>
      <c r="AS258" s="310" t="s">
        <v>67</v>
      </c>
      <c r="AT258" s="310" t="s">
        <v>68</v>
      </c>
      <c r="AU258" s="308"/>
      <c r="AV258" s="310" t="s">
        <v>67</v>
      </c>
      <c r="AW258" s="310" t="s">
        <v>68</v>
      </c>
      <c r="AX258" s="308"/>
      <c r="AY258" s="310" t="s">
        <v>67</v>
      </c>
      <c r="AZ258" s="310" t="s">
        <v>68</v>
      </c>
      <c r="BA258" s="308"/>
      <c r="BB258" s="310" t="s">
        <v>67</v>
      </c>
      <c r="BC258" s="310" t="s">
        <v>68</v>
      </c>
    </row>
    <row r="259" spans="1:55" s="86" customFormat="1" ht="25" customHeight="1" thickTop="1">
      <c r="A259" s="466" t="str">
        <f>IF('TECH DATA ENTRY'!A276="","",'TECH DATA ENTRY'!A276)</f>
        <v>10 Hz</v>
      </c>
      <c r="B259" s="463">
        <f>IF('TECH DATA ENTRY'!B276="","",'TECH DATA ENTRY'!B276)</f>
        <v>100</v>
      </c>
      <c r="C259" s="571">
        <f>IF(B259="","",IFERROR('TECH DATA ENTRY'!F276,"NA"))</f>
        <v>99.86</v>
      </c>
      <c r="D259" s="571" t="str">
        <f>IF('TECH DATA ENTRY'!L276="","",'TECH DATA ENTRY'!L276)</f>
        <v/>
      </c>
      <c r="E259" s="571" t="str">
        <f t="shared" si="97"/>
        <v/>
      </c>
      <c r="F259" s="571">
        <f>IF(B259="","",IFERROR('TECH DATA ENTRY'!G276,"NA"))</f>
        <v>100.14</v>
      </c>
      <c r="G259" s="572" t="str">
        <f t="shared" si="98"/>
        <v/>
      </c>
      <c r="H259" s="571" t="str">
        <f>IF(OR(ISTEXT(B259)=TRUE, D259="NA",D259=""),"NA", roundsf(MAX(L259,M259),C259))</f>
        <v>NA</v>
      </c>
      <c r="I259" s="558" t="str">
        <f t="shared" si="99"/>
        <v>NA</v>
      </c>
      <c r="J259" s="299"/>
      <c r="K259" s="245"/>
      <c r="L259" s="506">
        <f>(265/1000000)*B259+(16/1000)</f>
        <v>4.2499999999999996E-2</v>
      </c>
      <c r="M259" s="244" t="str">
        <f>UNC_CALCULATION!AM248</f>
        <v>NA</v>
      </c>
      <c r="N259" s="85"/>
      <c r="O259" s="58"/>
      <c r="P259" s="69" t="e">
        <f>IF(B259="","",INDEX('AUX TABLES'!$G$4:$K$8,AV259,AW259))</f>
        <v>#VALUE!</v>
      </c>
      <c r="Q259" s="150" t="e">
        <f>IF(AJ$11=FALSE,IF(B259="","",IF(AJ259="NA",P259,INDEX('AUX TABLES'!$G$4:$K$8,AY259,AZ259))),IF(P259="FAIL",P259,INDEX('AUX TABLES'!$G$4:$K$8,AY259,AZ259)))</f>
        <v>#VALUE!</v>
      </c>
      <c r="R259" s="150" t="e">
        <f>IF(AJ$11=FALSE,IF(B259="","",IF(AJ259="NA",P259,INDEX('AUX TABLES'!$G$4:$K$8,BB259,BC259))),IF(P259="FAIL",P259,INDEX('AUX TABLES'!$G$4:$K$8,BB259,BC259)))</f>
        <v>#VALUE!</v>
      </c>
      <c r="S259" s="69" t="e">
        <f>INDEX('AUX TABLES'!$G$4:$K$8,AM259,AN259)</f>
        <v>#VALUE!</v>
      </c>
      <c r="T259" s="69" t="e">
        <f>IF(AJ$11=FALSE,IF(AJ259="NA",S259,INDEX('AUX TABLES'!$G$4:$K$8,AP259,AQ259)),IF(S259="FAIL",S259,INDEX('AUX TABLES'!$G$4:$K$8,AP259,AQ259)))</f>
        <v>#VALUE!</v>
      </c>
      <c r="U259" s="150" t="e">
        <f>IF(AJ$11=FALSE,IF(AJ259="NA",S259,INDEX('AUX TABLES'!$G$4:$K$8,AS259,AT259)),IF(S259="FAIL",S259,INDEX('AUX TABLES'!$G$4:$K$8,AS259,AT259)))</f>
        <v>#VALUE!</v>
      </c>
      <c r="V259" s="150" t="str">
        <f t="shared" si="100"/>
        <v/>
      </c>
      <c r="W259" s="74">
        <f t="shared" si="101"/>
        <v>100.14</v>
      </c>
      <c r="X259" s="74" t="str">
        <f t="shared" si="102"/>
        <v>NA</v>
      </c>
      <c r="Y259" s="74" t="str">
        <f t="shared" si="103"/>
        <v>NA</v>
      </c>
      <c r="Z259" s="74" t="str">
        <f t="shared" si="104"/>
        <v>NA</v>
      </c>
      <c r="AA259" s="74" t="str">
        <f t="shared" si="105"/>
        <v>NA</v>
      </c>
      <c r="AB259" s="74">
        <f t="shared" si="106"/>
        <v>99.86</v>
      </c>
      <c r="AC259" s="69" t="str">
        <f>IF(ISTEXT('TECH DATA ENTRY'!L276)=TRUE,"NA",'TECH DATA ENTRY'!H276)</f>
        <v>NA</v>
      </c>
      <c r="AD259" s="69" t="str">
        <f t="shared" si="107"/>
        <v>NA</v>
      </c>
      <c r="AE259" s="69" t="str">
        <f t="shared" si="108"/>
        <v>NA</v>
      </c>
      <c r="AF259" s="69" t="e">
        <f t="shared" si="109"/>
        <v>#VALUE!</v>
      </c>
      <c r="AG259" s="69" t="e">
        <f t="shared" si="110"/>
        <v>#VALUE!</v>
      </c>
      <c r="AH259" s="69" t="e">
        <f t="shared" si="111"/>
        <v>#VALUE!</v>
      </c>
      <c r="AI259" s="69" t="e">
        <f t="shared" si="112"/>
        <v>#VALUE!</v>
      </c>
      <c r="AJ259" s="70" t="str">
        <f>IF(OR(ISTEXT('TECH DATA ENTRY'!L276)=TRUE,ISTEXT('TECH DATA ENTRY'!F276)=TRUE,ISTEXT('TECH DATA ENTRY'!G276)=TRUE),"NA",(W259-AB259)/(2*MAX(M259,L259)))</f>
        <v>NA</v>
      </c>
      <c r="AK259" s="69" t="str">
        <f t="shared" si="113"/>
        <v>NA</v>
      </c>
      <c r="AM259" s="73" t="e">
        <f t="shared" si="114"/>
        <v>#VALUE!</v>
      </c>
      <c r="AN259" s="73" t="e">
        <f t="shared" si="115"/>
        <v>#VALUE!</v>
      </c>
      <c r="AO259" s="87"/>
      <c r="AP259" s="73" t="e">
        <f t="shared" si="116"/>
        <v>#VALUE!</v>
      </c>
      <c r="AQ259" s="73" t="e">
        <f t="shared" si="117"/>
        <v>#VALUE!</v>
      </c>
      <c r="AR259" s="87"/>
      <c r="AS259" s="73" t="e">
        <f t="shared" si="118"/>
        <v>#VALUE!</v>
      </c>
      <c r="AT259" s="73" t="e">
        <f t="shared" si="119"/>
        <v>#VALUE!</v>
      </c>
      <c r="AV259" s="73" t="e">
        <f t="shared" si="120"/>
        <v>#VALUE!</v>
      </c>
      <c r="AW259" s="73" t="e">
        <f t="shared" si="121"/>
        <v>#VALUE!</v>
      </c>
      <c r="AX259" s="87"/>
      <c r="AY259" s="73" t="e">
        <f t="shared" si="122"/>
        <v>#VALUE!</v>
      </c>
      <c r="AZ259" s="73" t="e">
        <f t="shared" si="123"/>
        <v>#VALUE!</v>
      </c>
      <c r="BA259" s="87"/>
      <c r="BB259" s="73" t="e">
        <f t="shared" si="124"/>
        <v>#VALUE!</v>
      </c>
      <c r="BC259" s="73" t="e">
        <f t="shared" si="125"/>
        <v>#VALUE!</v>
      </c>
    </row>
    <row r="260" spans="1:55" s="86" customFormat="1" ht="25" customHeight="1">
      <c r="A260" s="466" t="str">
        <f>IF('TECH DATA ENTRY'!A277="","",'TECH DATA ENTRY'!A277)</f>
        <v>1 kHz</v>
      </c>
      <c r="B260" s="463">
        <f>IF('TECH DATA ENTRY'!B277="","",'TECH DATA ENTRY'!B277)</f>
        <v>100</v>
      </c>
      <c r="C260" s="463">
        <f>IF(B260="","",IFERROR('TECH DATA ENTRY'!F277,"NA"))</f>
        <v>99.86</v>
      </c>
      <c r="D260" s="463" t="str">
        <f>IF('TECH DATA ENTRY'!L277="","",'TECH DATA ENTRY'!L277)</f>
        <v/>
      </c>
      <c r="E260" s="463" t="str">
        <f t="shared" si="97"/>
        <v/>
      </c>
      <c r="F260" s="463">
        <f>IF(B260="","",IFERROR('TECH DATA ENTRY'!G277,"NA"))</f>
        <v>100.14</v>
      </c>
      <c r="G260" s="597" t="str">
        <f t="shared" si="98"/>
        <v/>
      </c>
      <c r="H260" s="463" t="str">
        <f>IF(OR(ISTEXT(B260)=TRUE, D260="NA",D260=""),"NA", roundsf(MAX(L260,M260),C260))</f>
        <v>NA</v>
      </c>
      <c r="I260" s="325" t="str">
        <f t="shared" si="99"/>
        <v>NA</v>
      </c>
      <c r="J260" s="299"/>
      <c r="K260" s="245"/>
      <c r="L260" s="506">
        <f>(130/1000000)*B260+(8/1000)</f>
        <v>2.0999999999999998E-2</v>
      </c>
      <c r="M260" s="244" t="str">
        <f>UNC_CALCULATION!AM249</f>
        <v>NA</v>
      </c>
      <c r="N260" s="85"/>
      <c r="O260" s="58"/>
      <c r="P260" s="69" t="e">
        <f>IF(B260="","",INDEX('AUX TABLES'!$G$4:$K$8,AV260,AW260))</f>
        <v>#VALUE!</v>
      </c>
      <c r="Q260" s="150" t="e">
        <f>IF(AJ$11=FALSE,IF(B260="","",IF(AJ260="NA",P260,INDEX('AUX TABLES'!$G$4:$K$8,AY260,AZ260))),IF(P260="FAIL",P260,INDEX('AUX TABLES'!$G$4:$K$8,AY260,AZ260)))</f>
        <v>#VALUE!</v>
      </c>
      <c r="R260" s="150" t="e">
        <f>IF(AJ$11=FALSE,IF(B260="","",IF(AJ260="NA",P260,INDEX('AUX TABLES'!$G$4:$K$8,BB260,BC260))),IF(P260="FAIL",P260,INDEX('AUX TABLES'!$G$4:$K$8,BB260,BC260)))</f>
        <v>#VALUE!</v>
      </c>
      <c r="S260" s="69" t="e">
        <f>INDEX('AUX TABLES'!$G$4:$K$8,AM260,AN260)</f>
        <v>#VALUE!</v>
      </c>
      <c r="T260" s="69" t="e">
        <f>IF(AJ$11=FALSE,IF(AJ260="NA",S260,INDEX('AUX TABLES'!$G$4:$K$8,AP260,AQ260)),IF(S260="FAIL",S260,INDEX('AUX TABLES'!$G$4:$K$8,AP260,AQ260)))</f>
        <v>#VALUE!</v>
      </c>
      <c r="U260" s="150" t="e">
        <f>IF(AJ$11=FALSE,IF(AJ260="NA",S260,INDEX('AUX TABLES'!$G$4:$K$8,AS260,AT260)),IF(S260="FAIL",S260,INDEX('AUX TABLES'!$G$4:$K$8,AS260,AT260)))</f>
        <v>#VALUE!</v>
      </c>
      <c r="V260" s="150" t="str">
        <f t="shared" si="100"/>
        <v/>
      </c>
      <c r="W260" s="74">
        <f t="shared" si="101"/>
        <v>100.14</v>
      </c>
      <c r="X260" s="74" t="str">
        <f t="shared" si="102"/>
        <v>NA</v>
      </c>
      <c r="Y260" s="74" t="str">
        <f t="shared" si="103"/>
        <v>NA</v>
      </c>
      <c r="Z260" s="74" t="str">
        <f t="shared" si="104"/>
        <v>NA</v>
      </c>
      <c r="AA260" s="74" t="str">
        <f t="shared" si="105"/>
        <v>NA</v>
      </c>
      <c r="AB260" s="74">
        <f t="shared" si="106"/>
        <v>99.86</v>
      </c>
      <c r="AC260" s="69" t="str">
        <f>IF(ISTEXT('TECH DATA ENTRY'!L277)=TRUE,"NA",'TECH DATA ENTRY'!H277)</f>
        <v>NA</v>
      </c>
      <c r="AD260" s="69" t="str">
        <f t="shared" si="107"/>
        <v>NA</v>
      </c>
      <c r="AE260" s="69" t="str">
        <f t="shared" si="108"/>
        <v>NA</v>
      </c>
      <c r="AF260" s="69" t="e">
        <f t="shared" si="109"/>
        <v>#VALUE!</v>
      </c>
      <c r="AG260" s="69" t="e">
        <f t="shared" si="110"/>
        <v>#VALUE!</v>
      </c>
      <c r="AH260" s="69" t="e">
        <f t="shared" si="111"/>
        <v>#VALUE!</v>
      </c>
      <c r="AI260" s="69" t="e">
        <f t="shared" si="112"/>
        <v>#VALUE!</v>
      </c>
      <c r="AJ260" s="70" t="str">
        <f>IF(OR(ISTEXT('TECH DATA ENTRY'!L277)=TRUE,ISTEXT('TECH DATA ENTRY'!F277)=TRUE,ISTEXT('TECH DATA ENTRY'!G277)=TRUE),"NA",(W260-AB260)/(2*MAX(M260,L260)))</f>
        <v>NA</v>
      </c>
      <c r="AK260" s="69" t="str">
        <f t="shared" si="113"/>
        <v>NA</v>
      </c>
      <c r="AM260" s="73" t="e">
        <f t="shared" si="114"/>
        <v>#VALUE!</v>
      </c>
      <c r="AN260" s="73" t="e">
        <f t="shared" si="115"/>
        <v>#VALUE!</v>
      </c>
      <c r="AO260" s="87"/>
      <c r="AP260" s="73" t="e">
        <f t="shared" si="116"/>
        <v>#VALUE!</v>
      </c>
      <c r="AQ260" s="73" t="e">
        <f t="shared" si="117"/>
        <v>#VALUE!</v>
      </c>
      <c r="AR260" s="87"/>
      <c r="AS260" s="73" t="e">
        <f t="shared" si="118"/>
        <v>#VALUE!</v>
      </c>
      <c r="AT260" s="73" t="e">
        <f t="shared" si="119"/>
        <v>#VALUE!</v>
      </c>
      <c r="AV260" s="73" t="e">
        <f t="shared" si="120"/>
        <v>#VALUE!</v>
      </c>
      <c r="AW260" s="73" t="e">
        <f t="shared" si="121"/>
        <v>#VALUE!</v>
      </c>
      <c r="AX260" s="87"/>
      <c r="AY260" s="73" t="e">
        <f t="shared" si="122"/>
        <v>#VALUE!</v>
      </c>
      <c r="AZ260" s="73" t="e">
        <f t="shared" si="123"/>
        <v>#VALUE!</v>
      </c>
      <c r="BA260" s="87"/>
      <c r="BB260" s="73" t="e">
        <f t="shared" si="124"/>
        <v>#VALUE!</v>
      </c>
      <c r="BC260" s="73" t="e">
        <f t="shared" si="125"/>
        <v>#VALUE!</v>
      </c>
    </row>
    <row r="261" spans="1:55" s="86" customFormat="1" ht="25" customHeight="1">
      <c r="A261" s="466" t="str">
        <f>IF('TECH DATA ENTRY'!A278="","",'TECH DATA ENTRY'!A278)</f>
        <v>5 kHz</v>
      </c>
      <c r="B261" s="463">
        <f>IF('TECH DATA ENTRY'!B278="","",'TECH DATA ENTRY'!B278)</f>
        <v>100</v>
      </c>
      <c r="C261" s="463">
        <f>IF(B261="","",IFERROR('TECH DATA ENTRY'!F278,"NA"))</f>
        <v>99.86</v>
      </c>
      <c r="D261" s="463" t="str">
        <f>IF('TECH DATA ENTRY'!L278="","",'TECH DATA ENTRY'!L278)</f>
        <v/>
      </c>
      <c r="E261" s="463" t="str">
        <f t="shared" si="97"/>
        <v/>
      </c>
      <c r="F261" s="463">
        <f>IF(B261="","",IFERROR('TECH DATA ENTRY'!G278,"NA"))</f>
        <v>100.14</v>
      </c>
      <c r="G261" s="597" t="str">
        <f t="shared" si="98"/>
        <v/>
      </c>
      <c r="H261" s="463" t="str">
        <f>IF(OR(ISTEXT(B261)=TRUE, D261="NA",D261=""),"NA", roundsf(MAX(L261,M261),C261))</f>
        <v>NA</v>
      </c>
      <c r="I261" s="325" t="str">
        <f t="shared" si="99"/>
        <v>NA</v>
      </c>
      <c r="J261" s="299"/>
      <c r="K261" s="245"/>
      <c r="L261" s="506">
        <f>(285/1000000)*B261+(12/1000)</f>
        <v>4.0499999999999994E-2</v>
      </c>
      <c r="M261" s="244" t="str">
        <f>UNC_CALCULATION!AM250</f>
        <v>NA</v>
      </c>
      <c r="N261" s="85"/>
      <c r="O261" s="58"/>
      <c r="P261" s="69" t="e">
        <f>IF(B261="","",INDEX('AUX TABLES'!$G$4:$K$8,AV261,AW261))</f>
        <v>#VALUE!</v>
      </c>
      <c r="Q261" s="150" t="e">
        <f>IF(AJ$11=FALSE,IF(B261="","",IF(AJ261="NA",P261,INDEX('AUX TABLES'!$G$4:$K$8,AY261,AZ261))),IF(P261="FAIL",P261,INDEX('AUX TABLES'!$G$4:$K$8,AY261,AZ261)))</f>
        <v>#VALUE!</v>
      </c>
      <c r="R261" s="150" t="e">
        <f>IF(AJ$11=FALSE,IF(B261="","",IF(AJ261="NA",P261,INDEX('AUX TABLES'!$G$4:$K$8,BB261,BC261))),IF(P261="FAIL",P261,INDEX('AUX TABLES'!$G$4:$K$8,BB261,BC261)))</f>
        <v>#VALUE!</v>
      </c>
      <c r="S261" s="69" t="e">
        <f>INDEX('AUX TABLES'!$G$4:$K$8,AM261,AN261)</f>
        <v>#VALUE!</v>
      </c>
      <c r="T261" s="69" t="e">
        <f>IF(AJ$11=FALSE,IF(AJ261="NA",S261,INDEX('AUX TABLES'!$G$4:$K$8,AP261,AQ261)),IF(S261="FAIL",S261,INDEX('AUX TABLES'!$G$4:$K$8,AP261,AQ261)))</f>
        <v>#VALUE!</v>
      </c>
      <c r="U261" s="150" t="e">
        <f>IF(AJ$11=FALSE,IF(AJ261="NA",S261,INDEX('AUX TABLES'!$G$4:$K$8,AS261,AT261)),IF(S261="FAIL",S261,INDEX('AUX TABLES'!$G$4:$K$8,AS261,AT261)))</f>
        <v>#VALUE!</v>
      </c>
      <c r="V261" s="150" t="str">
        <f t="shared" si="100"/>
        <v/>
      </c>
      <c r="W261" s="74">
        <f t="shared" si="101"/>
        <v>100.14</v>
      </c>
      <c r="X261" s="74" t="str">
        <f t="shared" si="102"/>
        <v>NA</v>
      </c>
      <c r="Y261" s="74" t="str">
        <f t="shared" si="103"/>
        <v>NA</v>
      </c>
      <c r="Z261" s="74" t="str">
        <f t="shared" si="104"/>
        <v>NA</v>
      </c>
      <c r="AA261" s="74" t="str">
        <f t="shared" si="105"/>
        <v>NA</v>
      </c>
      <c r="AB261" s="74">
        <f t="shared" si="106"/>
        <v>99.86</v>
      </c>
      <c r="AC261" s="69" t="str">
        <f>IF(ISTEXT('TECH DATA ENTRY'!L278)=TRUE,"NA",'TECH DATA ENTRY'!H278)</f>
        <v>NA</v>
      </c>
      <c r="AD261" s="69" t="str">
        <f t="shared" si="107"/>
        <v>NA</v>
      </c>
      <c r="AE261" s="69" t="str">
        <f t="shared" si="108"/>
        <v>NA</v>
      </c>
      <c r="AF261" s="69" t="e">
        <f t="shared" si="109"/>
        <v>#VALUE!</v>
      </c>
      <c r="AG261" s="69" t="e">
        <f t="shared" si="110"/>
        <v>#VALUE!</v>
      </c>
      <c r="AH261" s="69" t="e">
        <f t="shared" si="111"/>
        <v>#VALUE!</v>
      </c>
      <c r="AI261" s="69" t="e">
        <f t="shared" si="112"/>
        <v>#VALUE!</v>
      </c>
      <c r="AJ261" s="70" t="str">
        <f>IF(OR(ISTEXT('TECH DATA ENTRY'!L278)=TRUE,ISTEXT('TECH DATA ENTRY'!F278)=TRUE,ISTEXT('TECH DATA ENTRY'!G278)=TRUE),"NA",(W261-AB261)/(2*MAX(M261,L261)))</f>
        <v>NA</v>
      </c>
      <c r="AK261" s="69" t="str">
        <f t="shared" si="113"/>
        <v>NA</v>
      </c>
      <c r="AM261" s="73" t="e">
        <f t="shared" si="114"/>
        <v>#VALUE!</v>
      </c>
      <c r="AN261" s="73" t="e">
        <f t="shared" si="115"/>
        <v>#VALUE!</v>
      </c>
      <c r="AO261" s="87"/>
      <c r="AP261" s="73" t="e">
        <f t="shared" si="116"/>
        <v>#VALUE!</v>
      </c>
      <c r="AQ261" s="73" t="e">
        <f t="shared" si="117"/>
        <v>#VALUE!</v>
      </c>
      <c r="AR261" s="87"/>
      <c r="AS261" s="73" t="e">
        <f t="shared" si="118"/>
        <v>#VALUE!</v>
      </c>
      <c r="AT261" s="73" t="e">
        <f t="shared" si="119"/>
        <v>#VALUE!</v>
      </c>
      <c r="AV261" s="73" t="e">
        <f t="shared" si="120"/>
        <v>#VALUE!</v>
      </c>
      <c r="AW261" s="73" t="e">
        <f t="shared" si="121"/>
        <v>#VALUE!</v>
      </c>
      <c r="AX261" s="87"/>
      <c r="AY261" s="73" t="e">
        <f t="shared" si="122"/>
        <v>#VALUE!</v>
      </c>
      <c r="AZ261" s="73" t="e">
        <f t="shared" si="123"/>
        <v>#VALUE!</v>
      </c>
      <c r="BA261" s="87"/>
      <c r="BB261" s="73" t="e">
        <f t="shared" si="124"/>
        <v>#VALUE!</v>
      </c>
      <c r="BC261" s="73" t="e">
        <f t="shared" si="125"/>
        <v>#VALUE!</v>
      </c>
    </row>
    <row r="262" spans="1:55" s="86" customFormat="1" ht="25" customHeight="1" thickBot="1">
      <c r="A262" s="467" t="str">
        <f>IF('TECH DATA ENTRY'!A279="","",'TECH DATA ENTRY'!A279)</f>
        <v>10 kHz</v>
      </c>
      <c r="B262" s="474">
        <f>IF('TECH DATA ENTRY'!B279="","",'TECH DATA ENTRY'!B279)</f>
        <v>100</v>
      </c>
      <c r="C262" s="588">
        <f>IF(B262="","",IFERROR('TECH DATA ENTRY'!F279,"NA"))</f>
        <v>99.55</v>
      </c>
      <c r="D262" s="588" t="str">
        <f>IF('TECH DATA ENTRY'!L279="","",'TECH DATA ENTRY'!L279)</f>
        <v/>
      </c>
      <c r="E262" s="588" t="str">
        <f t="shared" si="97"/>
        <v/>
      </c>
      <c r="F262" s="588">
        <f>IF(B262="","",IFERROR('TECH DATA ENTRY'!G279,"NA"))</f>
        <v>100.45</v>
      </c>
      <c r="G262" s="589" t="str">
        <f t="shared" si="98"/>
        <v/>
      </c>
      <c r="H262" s="588" t="str">
        <f>IF(OR(ISTEXT(B262)=TRUE, D262="NA",D262=""),"NA", roundsf(MAX(L262,M262),C262))</f>
        <v>NA</v>
      </c>
      <c r="I262" s="575" t="str">
        <f t="shared" si="99"/>
        <v>NA</v>
      </c>
      <c r="J262" s="299"/>
      <c r="K262" s="245"/>
      <c r="L262" s="506">
        <f>(1/1000)*B262+(65/1000)</f>
        <v>0.16500000000000001</v>
      </c>
      <c r="M262" s="244" t="str">
        <f>UNC_CALCULATION!AM251</f>
        <v>NA</v>
      </c>
      <c r="N262" s="85"/>
      <c r="O262" s="58"/>
      <c r="P262" s="69" t="e">
        <f>IF(B262="","",INDEX('AUX TABLES'!$G$4:$K$8,AV262,AW262))</f>
        <v>#VALUE!</v>
      </c>
      <c r="Q262" s="150" t="e">
        <f>IF(AJ$11=FALSE,IF(B262="","",IF(AJ262="NA",P262,INDEX('AUX TABLES'!$G$4:$K$8,AY262,AZ262))),IF(P262="FAIL",P262,INDEX('AUX TABLES'!$G$4:$K$8,AY262,AZ262)))</f>
        <v>#VALUE!</v>
      </c>
      <c r="R262" s="150" t="e">
        <f>IF(AJ$11=FALSE,IF(B262="","",IF(AJ262="NA",P262,INDEX('AUX TABLES'!$G$4:$K$8,BB262,BC262))),IF(P262="FAIL",P262,INDEX('AUX TABLES'!$G$4:$K$8,BB262,BC262)))</f>
        <v>#VALUE!</v>
      </c>
      <c r="S262" s="69" t="e">
        <f>INDEX('AUX TABLES'!$G$4:$K$8,AM262,AN262)</f>
        <v>#VALUE!</v>
      </c>
      <c r="T262" s="69" t="e">
        <f>IF(AJ$11=FALSE,IF(AJ262="NA",S262,INDEX('AUX TABLES'!$G$4:$K$8,AP262,AQ262)),IF(S262="FAIL",S262,INDEX('AUX TABLES'!$G$4:$K$8,AP262,AQ262)))</f>
        <v>#VALUE!</v>
      </c>
      <c r="U262" s="150" t="e">
        <f>IF(AJ$11=FALSE,IF(AJ262="NA",S262,INDEX('AUX TABLES'!$G$4:$K$8,AS262,AT262)),IF(S262="FAIL",S262,INDEX('AUX TABLES'!$G$4:$K$8,AS262,AT262)))</f>
        <v>#VALUE!</v>
      </c>
      <c r="V262" s="150" t="str">
        <f t="shared" si="100"/>
        <v/>
      </c>
      <c r="W262" s="74">
        <f t="shared" si="101"/>
        <v>100.45</v>
      </c>
      <c r="X262" s="74" t="str">
        <f t="shared" si="102"/>
        <v>NA</v>
      </c>
      <c r="Y262" s="74" t="str">
        <f t="shared" si="103"/>
        <v>NA</v>
      </c>
      <c r="Z262" s="74" t="str">
        <f t="shared" si="104"/>
        <v>NA</v>
      </c>
      <c r="AA262" s="74" t="str">
        <f t="shared" si="105"/>
        <v>NA</v>
      </c>
      <c r="AB262" s="74">
        <f t="shared" si="106"/>
        <v>99.55</v>
      </c>
      <c r="AC262" s="69" t="str">
        <f>IF(ISTEXT('TECH DATA ENTRY'!L279)=TRUE,"NA",'TECH DATA ENTRY'!H279)</f>
        <v>NA</v>
      </c>
      <c r="AD262" s="69" t="str">
        <f t="shared" si="107"/>
        <v>NA</v>
      </c>
      <c r="AE262" s="69" t="str">
        <f t="shared" si="108"/>
        <v>NA</v>
      </c>
      <c r="AF262" s="69" t="e">
        <f t="shared" si="109"/>
        <v>#VALUE!</v>
      </c>
      <c r="AG262" s="69" t="e">
        <f t="shared" si="110"/>
        <v>#VALUE!</v>
      </c>
      <c r="AH262" s="69" t="e">
        <f t="shared" si="111"/>
        <v>#VALUE!</v>
      </c>
      <c r="AI262" s="69" t="e">
        <f t="shared" si="112"/>
        <v>#VALUE!</v>
      </c>
      <c r="AJ262" s="70" t="str">
        <f>IF(OR(ISTEXT('TECH DATA ENTRY'!L279)=TRUE,ISTEXT('TECH DATA ENTRY'!F279)=TRUE,ISTEXT('TECH DATA ENTRY'!G279)=TRUE),"NA",(W262-AB262)/(2*MAX(M262,L262)))</f>
        <v>NA</v>
      </c>
      <c r="AK262" s="69" t="str">
        <f t="shared" si="113"/>
        <v>NA</v>
      </c>
      <c r="AM262" s="73" t="e">
        <f t="shared" si="114"/>
        <v>#VALUE!</v>
      </c>
      <c r="AN262" s="73" t="e">
        <f t="shared" si="115"/>
        <v>#VALUE!</v>
      </c>
      <c r="AO262" s="87"/>
      <c r="AP262" s="73" t="e">
        <f t="shared" si="116"/>
        <v>#VALUE!</v>
      </c>
      <c r="AQ262" s="73" t="e">
        <f t="shared" si="117"/>
        <v>#VALUE!</v>
      </c>
      <c r="AR262" s="87"/>
      <c r="AS262" s="73" t="e">
        <f t="shared" si="118"/>
        <v>#VALUE!</v>
      </c>
      <c r="AT262" s="73" t="e">
        <f t="shared" si="119"/>
        <v>#VALUE!</v>
      </c>
      <c r="AV262" s="73" t="e">
        <f t="shared" si="120"/>
        <v>#VALUE!</v>
      </c>
      <c r="AW262" s="73" t="e">
        <f t="shared" si="121"/>
        <v>#VALUE!</v>
      </c>
      <c r="AX262" s="87"/>
      <c r="AY262" s="73" t="e">
        <f t="shared" si="122"/>
        <v>#VALUE!</v>
      </c>
      <c r="AZ262" s="73" t="e">
        <f t="shared" si="123"/>
        <v>#VALUE!</v>
      </c>
      <c r="BA262" s="87"/>
      <c r="BB262" s="73" t="e">
        <f t="shared" si="124"/>
        <v>#VALUE!</v>
      </c>
      <c r="BC262" s="73" t="e">
        <f t="shared" si="125"/>
        <v>#VALUE!</v>
      </c>
    </row>
    <row r="263" spans="1:55" s="296" customFormat="1" ht="28.15" customHeight="1">
      <c r="A263" s="550" t="str">
        <f>IF('TECH DATA ENTRY'!A280="","",'TECH DATA ENTRY'!A280)</f>
        <v/>
      </c>
      <c r="B263" s="551"/>
      <c r="C263" s="552"/>
      <c r="D263" s="551"/>
      <c r="E263" s="551"/>
      <c r="F263" s="551"/>
      <c r="G263" s="552"/>
      <c r="H263" s="551"/>
      <c r="I263" s="553"/>
      <c r="J263" s="224"/>
      <c r="K263" s="224"/>
      <c r="L263" s="224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AK263" s="297"/>
    </row>
    <row r="264" spans="1:55" s="31" customFormat="1" ht="22.15" customHeight="1">
      <c r="A264" s="76" t="str">
        <f>IF('TECH DATA ENTRY'!A281="","",'TECH DATA ENTRY'!A281)</f>
        <v>Range 1 mA</v>
      </c>
      <c r="H264" s="321"/>
      <c r="O264" s="77"/>
      <c r="AK264" s="1"/>
      <c r="AM264" s="637" t="s">
        <v>116</v>
      </c>
      <c r="AN264" s="637"/>
      <c r="AO264" s="637"/>
      <c r="AP264" s="637"/>
      <c r="AQ264" s="637"/>
      <c r="AR264" s="637"/>
      <c r="AS264" s="637"/>
      <c r="AT264" s="637"/>
      <c r="AV264" s="637" t="s">
        <v>117</v>
      </c>
      <c r="AW264" s="637"/>
      <c r="AX264" s="637"/>
      <c r="AY264" s="637"/>
      <c r="AZ264" s="637"/>
      <c r="BA264" s="637"/>
      <c r="BB264" s="637"/>
      <c r="BC264" s="637"/>
    </row>
    <row r="265" spans="1:55" s="225" customFormat="1" ht="4.9000000000000004" customHeight="1" thickBot="1">
      <c r="A265" s="288" t="str">
        <f>IF('TECH DATA ENTRY'!A282="","",'TECH DATA ENTRY'!A282)</f>
        <v/>
      </c>
      <c r="K265" s="239"/>
      <c r="L265" s="239"/>
      <c r="AK265" s="240"/>
    </row>
    <row r="266" spans="1:55" s="285" customFormat="1" ht="20.149999999999999" customHeight="1">
      <c r="A266" s="644" t="str">
        <f>IF('TECH DATA ENTRY'!A283="","",'TECH DATA ENTRY'!A283)</f>
        <v>Applied</v>
      </c>
      <c r="B266" s="646" t="str">
        <f>IF('TECH DATA ENTRY'!B283="","",'TECH DATA ENTRY'!B283)</f>
        <v>Nominal</v>
      </c>
      <c r="C266" s="648" t="s">
        <v>2</v>
      </c>
      <c r="D266" s="648" t="str">
        <f>IF(LEFT(P$11,3)="ROV", "Measured Value", "As Found")</f>
        <v>As Found</v>
      </c>
      <c r="E266" s="648" t="str">
        <f>IF(LEFT(P$11,3)="ROV", "Correction", "As Left")</f>
        <v>As Left</v>
      </c>
      <c r="F266" s="648" t="s">
        <v>3</v>
      </c>
      <c r="G266" s="653" t="s">
        <v>4</v>
      </c>
      <c r="H266" s="659" t="s">
        <v>30</v>
      </c>
      <c r="I266" s="661" t="s">
        <v>28</v>
      </c>
      <c r="J266" s="284"/>
      <c r="L266" s="658" t="s">
        <v>38</v>
      </c>
      <c r="M266" s="616" t="s">
        <v>31</v>
      </c>
      <c r="N266" s="281"/>
      <c r="O266" s="286"/>
      <c r="P266" s="640" t="s">
        <v>136</v>
      </c>
      <c r="Q266" s="641"/>
      <c r="R266" s="642"/>
      <c r="S266" s="638" t="s">
        <v>115</v>
      </c>
      <c r="T266" s="638"/>
      <c r="U266" s="638"/>
      <c r="V266" s="638"/>
      <c r="W266" s="640" t="s">
        <v>64</v>
      </c>
      <c r="X266" s="641"/>
      <c r="Y266" s="641"/>
      <c r="Z266" s="641"/>
      <c r="AA266" s="641"/>
      <c r="AB266" s="642"/>
      <c r="AC266" s="638" t="s">
        <v>97</v>
      </c>
      <c r="AD266" s="638"/>
      <c r="AE266" s="638"/>
      <c r="AF266" s="638" t="s">
        <v>127</v>
      </c>
      <c r="AG266" s="638"/>
      <c r="AH266" s="638" t="s">
        <v>128</v>
      </c>
      <c r="AI266" s="638"/>
      <c r="AJ266" s="638" t="s">
        <v>28</v>
      </c>
      <c r="AK266" s="638" t="s">
        <v>121</v>
      </c>
      <c r="AL266" s="308"/>
      <c r="AM266" s="639" t="s">
        <v>122</v>
      </c>
      <c r="AN266" s="639"/>
      <c r="AO266" s="308"/>
      <c r="AP266" s="639" t="s">
        <v>119</v>
      </c>
      <c r="AQ266" s="639"/>
      <c r="AR266" s="308"/>
      <c r="AS266" s="639" t="s">
        <v>120</v>
      </c>
      <c r="AT266" s="639"/>
      <c r="AU266" s="308"/>
      <c r="AV266" s="639" t="s">
        <v>122</v>
      </c>
      <c r="AW266" s="639"/>
      <c r="AX266" s="308"/>
      <c r="AY266" s="639" t="s">
        <v>119</v>
      </c>
      <c r="AZ266" s="639"/>
      <c r="BA266" s="308"/>
      <c r="BB266" s="639" t="s">
        <v>120</v>
      </c>
      <c r="BC266" s="639"/>
    </row>
    <row r="267" spans="1:55" s="285" customFormat="1" ht="20.149999999999999" customHeight="1" thickBot="1">
      <c r="A267" s="645"/>
      <c r="B267" s="647"/>
      <c r="C267" s="649"/>
      <c r="D267" s="649"/>
      <c r="E267" s="649"/>
      <c r="F267" s="649"/>
      <c r="G267" s="654"/>
      <c r="H267" s="660"/>
      <c r="I267" s="662"/>
      <c r="J267" s="284"/>
      <c r="L267" s="649"/>
      <c r="M267" s="617"/>
      <c r="O267" s="281"/>
      <c r="P267" s="309" t="s">
        <v>122</v>
      </c>
      <c r="Q267" s="309" t="s">
        <v>119</v>
      </c>
      <c r="R267" s="309" t="s">
        <v>120</v>
      </c>
      <c r="S267" s="309" t="s">
        <v>122</v>
      </c>
      <c r="T267" s="309" t="s">
        <v>119</v>
      </c>
      <c r="U267" s="309" t="s">
        <v>120</v>
      </c>
      <c r="V267" s="309" t="s">
        <v>118</v>
      </c>
      <c r="W267" s="309" t="s">
        <v>63</v>
      </c>
      <c r="X267" s="309" t="s">
        <v>69</v>
      </c>
      <c r="Y267" s="309" t="s">
        <v>71</v>
      </c>
      <c r="Z267" s="309" t="s">
        <v>72</v>
      </c>
      <c r="AA267" s="309" t="s">
        <v>70</v>
      </c>
      <c r="AB267" s="309" t="s">
        <v>75</v>
      </c>
      <c r="AC267" s="309" t="s">
        <v>78</v>
      </c>
      <c r="AD267" s="309" t="s">
        <v>119</v>
      </c>
      <c r="AE267" s="309" t="s">
        <v>120</v>
      </c>
      <c r="AF267" s="309" t="s">
        <v>129</v>
      </c>
      <c r="AG267" s="309" t="s">
        <v>130</v>
      </c>
      <c r="AH267" s="309" t="s">
        <v>129</v>
      </c>
      <c r="AI267" s="309" t="s">
        <v>130</v>
      </c>
      <c r="AJ267" s="652"/>
      <c r="AK267" s="652"/>
      <c r="AL267" s="308"/>
      <c r="AM267" s="310" t="s">
        <v>67</v>
      </c>
      <c r="AN267" s="310" t="s">
        <v>68</v>
      </c>
      <c r="AO267" s="308"/>
      <c r="AP267" s="310" t="s">
        <v>67</v>
      </c>
      <c r="AQ267" s="310" t="s">
        <v>68</v>
      </c>
      <c r="AR267" s="308"/>
      <c r="AS267" s="310" t="s">
        <v>67</v>
      </c>
      <c r="AT267" s="310" t="s">
        <v>68</v>
      </c>
      <c r="AU267" s="308"/>
      <c r="AV267" s="310" t="s">
        <v>67</v>
      </c>
      <c r="AW267" s="310" t="s">
        <v>68</v>
      </c>
      <c r="AX267" s="308"/>
      <c r="AY267" s="310" t="s">
        <v>67</v>
      </c>
      <c r="AZ267" s="310" t="s">
        <v>68</v>
      </c>
      <c r="BA267" s="308"/>
      <c r="BB267" s="310" t="s">
        <v>67</v>
      </c>
      <c r="BC267" s="310" t="s">
        <v>68</v>
      </c>
    </row>
    <row r="268" spans="1:55" s="86" customFormat="1" ht="25" customHeight="1" thickTop="1">
      <c r="A268" s="466" t="str">
        <f>IF('TECH DATA ENTRY'!A285="","",'TECH DATA ENTRY'!A285)</f>
        <v>10 Hz</v>
      </c>
      <c r="B268" s="444">
        <f>IF('TECH DATA ENTRY'!B285="","",'TECH DATA ENTRY'!B285)</f>
        <v>1</v>
      </c>
      <c r="C268" s="559">
        <f>IF(B268="","",IFERROR('TECH DATA ENTRY'!F285,"NA"))</f>
        <v>0.99860000000000004</v>
      </c>
      <c r="D268" s="559" t="str">
        <f>IF('TECH DATA ENTRY'!L285="","",'TECH DATA ENTRY'!L285)</f>
        <v/>
      </c>
      <c r="E268" s="559" t="str">
        <f t="shared" si="97"/>
        <v/>
      </c>
      <c r="F268" s="559">
        <f>IF(B268="","",IFERROR('TECH DATA ENTRY'!G285,"NA"))</f>
        <v>1.0014000000000001</v>
      </c>
      <c r="G268" s="560" t="str">
        <f t="shared" si="98"/>
        <v/>
      </c>
      <c r="H268" s="559" t="str">
        <f>IF(OR(ISTEXT(B268)=TRUE, D268="NA",D268=""),"NA", roundsf(MAX(L268,M268),C268))</f>
        <v>NA</v>
      </c>
      <c r="I268" s="558" t="str">
        <f t="shared" si="99"/>
        <v>NA</v>
      </c>
      <c r="J268" s="299"/>
      <c r="K268" s="245"/>
      <c r="L268" s="506">
        <f>(266/1000000)*B268+(40/1000000)</f>
        <v>3.0600000000000001E-4</v>
      </c>
      <c r="M268" s="244" t="str">
        <f>UNC_CALCULATION!AM257</f>
        <v>NA</v>
      </c>
      <c r="N268" s="85"/>
      <c r="O268" s="58"/>
      <c r="P268" s="69" t="e">
        <f>IF(B268="","",INDEX('AUX TABLES'!$G$4:$K$8,AV268,AW268))</f>
        <v>#VALUE!</v>
      </c>
      <c r="Q268" s="150" t="e">
        <f>IF(AJ$11=FALSE,IF(B268="","",IF(AJ268="NA",P268,INDEX('AUX TABLES'!$G$4:$K$8,AY268,AZ268))),IF(P268="FAIL",P268,INDEX('AUX TABLES'!$G$4:$K$8,AY268,AZ268)))</f>
        <v>#VALUE!</v>
      </c>
      <c r="R268" s="150" t="e">
        <f>IF(AJ$11=FALSE,IF(B268="","",IF(AJ268="NA",P268,INDEX('AUX TABLES'!$G$4:$K$8,BB268,BC268))),IF(P268="FAIL",P268,INDEX('AUX TABLES'!$G$4:$K$8,BB268,BC268)))</f>
        <v>#VALUE!</v>
      </c>
      <c r="S268" s="69" t="e">
        <f>INDEX('AUX TABLES'!$G$4:$K$8,AM268,AN268)</f>
        <v>#VALUE!</v>
      </c>
      <c r="T268" s="69" t="e">
        <f>IF(AJ$11=FALSE,IF(AJ268="NA",S268,INDEX('AUX TABLES'!$G$4:$K$8,AP268,AQ268)),IF(S268="FAIL",S268,INDEX('AUX TABLES'!$G$4:$K$8,AP268,AQ268)))</f>
        <v>#VALUE!</v>
      </c>
      <c r="U268" s="150" t="e">
        <f>IF(AJ$11=FALSE,IF(AJ268="NA",S268,INDEX('AUX TABLES'!$G$4:$K$8,AS268,AT268)),IF(S268="FAIL",S268,INDEX('AUX TABLES'!$G$4:$K$8,AS268,AT268)))</f>
        <v>#VALUE!</v>
      </c>
      <c r="V268" s="150" t="str">
        <f t="shared" si="100"/>
        <v/>
      </c>
      <c r="W268" s="74">
        <f t="shared" si="101"/>
        <v>1.0014000000000001</v>
      </c>
      <c r="X268" s="74" t="str">
        <f t="shared" si="102"/>
        <v>NA</v>
      </c>
      <c r="Y268" s="74" t="str">
        <f t="shared" si="103"/>
        <v>NA</v>
      </c>
      <c r="Z268" s="74" t="str">
        <f t="shared" si="104"/>
        <v>NA</v>
      </c>
      <c r="AA268" s="74" t="str">
        <f t="shared" si="105"/>
        <v>NA</v>
      </c>
      <c r="AB268" s="74">
        <f t="shared" si="106"/>
        <v>0.99860000000000004</v>
      </c>
      <c r="AC268" s="69" t="str">
        <f>IF(ISTEXT('TECH DATA ENTRY'!L285)=TRUE,"NA",'TECH DATA ENTRY'!H285)</f>
        <v>NA</v>
      </c>
      <c r="AD268" s="69" t="str">
        <f t="shared" si="107"/>
        <v>NA</v>
      </c>
      <c r="AE268" s="69" t="str">
        <f t="shared" si="108"/>
        <v>NA</v>
      </c>
      <c r="AF268" s="69" t="e">
        <f t="shared" si="109"/>
        <v>#VALUE!</v>
      </c>
      <c r="AG268" s="69" t="e">
        <f t="shared" si="110"/>
        <v>#VALUE!</v>
      </c>
      <c r="AH268" s="69" t="e">
        <f t="shared" si="111"/>
        <v>#VALUE!</v>
      </c>
      <c r="AI268" s="69" t="e">
        <f t="shared" si="112"/>
        <v>#VALUE!</v>
      </c>
      <c r="AJ268" s="70" t="str">
        <f>IF(OR(ISTEXT('TECH DATA ENTRY'!L285)=TRUE,ISTEXT('TECH DATA ENTRY'!F285)=TRUE,ISTEXT('TECH DATA ENTRY'!G285)=TRUE),"NA",(W268-AB268)/(2*MAX(M268,L268)))</f>
        <v>NA</v>
      </c>
      <c r="AK268" s="69" t="str">
        <f t="shared" si="113"/>
        <v>NA</v>
      </c>
      <c r="AM268" s="73" t="e">
        <f t="shared" si="114"/>
        <v>#VALUE!</v>
      </c>
      <c r="AN268" s="73" t="e">
        <f t="shared" si="115"/>
        <v>#VALUE!</v>
      </c>
      <c r="AO268" s="87"/>
      <c r="AP268" s="73" t="e">
        <f t="shared" si="116"/>
        <v>#VALUE!</v>
      </c>
      <c r="AQ268" s="73" t="e">
        <f t="shared" si="117"/>
        <v>#VALUE!</v>
      </c>
      <c r="AR268" s="87"/>
      <c r="AS268" s="73" t="e">
        <f t="shared" si="118"/>
        <v>#VALUE!</v>
      </c>
      <c r="AT268" s="73" t="e">
        <f t="shared" si="119"/>
        <v>#VALUE!</v>
      </c>
      <c r="AV268" s="73" t="e">
        <f t="shared" si="120"/>
        <v>#VALUE!</v>
      </c>
      <c r="AW268" s="73" t="e">
        <f t="shared" si="121"/>
        <v>#VALUE!</v>
      </c>
      <c r="AX268" s="87"/>
      <c r="AY268" s="73" t="e">
        <f t="shared" si="122"/>
        <v>#VALUE!</v>
      </c>
      <c r="AZ268" s="73" t="e">
        <f t="shared" si="123"/>
        <v>#VALUE!</v>
      </c>
      <c r="BA268" s="87"/>
      <c r="BB268" s="73" t="e">
        <f t="shared" si="124"/>
        <v>#VALUE!</v>
      </c>
      <c r="BC268" s="73" t="e">
        <f t="shared" si="125"/>
        <v>#VALUE!</v>
      </c>
    </row>
    <row r="269" spans="1:55" s="86" customFormat="1" ht="25" customHeight="1">
      <c r="A269" s="466" t="str">
        <f>IF('TECH DATA ENTRY'!A286="","",'TECH DATA ENTRY'!A286)</f>
        <v>1 kHz</v>
      </c>
      <c r="B269" s="444">
        <f>IF('TECH DATA ENTRY'!B286="","",'TECH DATA ENTRY'!B286)</f>
        <v>1</v>
      </c>
      <c r="C269" s="444">
        <f>IF(B269="","",IFERROR('TECH DATA ENTRY'!F286,"NA"))</f>
        <v>0.99860000000000004</v>
      </c>
      <c r="D269" s="444" t="str">
        <f>IF('TECH DATA ENTRY'!L286="","",'TECH DATA ENTRY'!L286)</f>
        <v/>
      </c>
      <c r="E269" s="444" t="str">
        <f t="shared" si="97"/>
        <v/>
      </c>
      <c r="F269" s="444">
        <f>IF(B269="","",IFERROR('TECH DATA ENTRY'!G286,"NA"))</f>
        <v>1.0014000000000001</v>
      </c>
      <c r="G269" s="591" t="str">
        <f t="shared" si="98"/>
        <v/>
      </c>
      <c r="H269" s="444" t="str">
        <f>IF(OR(ISTEXT(B269)=TRUE, D269="NA",D269=""),"NA", roundsf(MAX(L269,M269),C269))</f>
        <v>NA</v>
      </c>
      <c r="I269" s="325" t="str">
        <f t="shared" si="99"/>
        <v>NA</v>
      </c>
      <c r="J269" s="299"/>
      <c r="K269" s="245"/>
      <c r="L269" s="506">
        <f>(130/1000000)*B269+(35/1000000)</f>
        <v>1.65E-4</v>
      </c>
      <c r="M269" s="244" t="str">
        <f>UNC_CALCULATION!AM258</f>
        <v>NA</v>
      </c>
      <c r="N269" s="85"/>
      <c r="O269" s="58"/>
      <c r="P269" s="69" t="e">
        <f>IF(B269="","",INDEX('AUX TABLES'!$G$4:$K$8,AV269,AW269))</f>
        <v>#VALUE!</v>
      </c>
      <c r="Q269" s="150" t="e">
        <f>IF(AJ$11=FALSE,IF(B269="","",IF(AJ269="NA",P269,INDEX('AUX TABLES'!$G$4:$K$8,AY269,AZ269))),IF(P269="FAIL",P269,INDEX('AUX TABLES'!$G$4:$K$8,AY269,AZ269)))</f>
        <v>#VALUE!</v>
      </c>
      <c r="R269" s="150" t="e">
        <f>IF(AJ$11=FALSE,IF(B269="","",IF(AJ269="NA",P269,INDEX('AUX TABLES'!$G$4:$K$8,BB269,BC269))),IF(P269="FAIL",P269,INDEX('AUX TABLES'!$G$4:$K$8,BB269,BC269)))</f>
        <v>#VALUE!</v>
      </c>
      <c r="S269" s="69" t="e">
        <f>INDEX('AUX TABLES'!$G$4:$K$8,AM269,AN269)</f>
        <v>#VALUE!</v>
      </c>
      <c r="T269" s="69" t="e">
        <f>IF(AJ$11=FALSE,IF(AJ269="NA",S269,INDEX('AUX TABLES'!$G$4:$K$8,AP269,AQ269)),IF(S269="FAIL",S269,INDEX('AUX TABLES'!$G$4:$K$8,AP269,AQ269)))</f>
        <v>#VALUE!</v>
      </c>
      <c r="U269" s="150" t="e">
        <f>IF(AJ$11=FALSE,IF(AJ269="NA",S269,INDEX('AUX TABLES'!$G$4:$K$8,AS269,AT269)),IF(S269="FAIL",S269,INDEX('AUX TABLES'!$G$4:$K$8,AS269,AT269)))</f>
        <v>#VALUE!</v>
      </c>
      <c r="V269" s="150" t="str">
        <f t="shared" si="100"/>
        <v/>
      </c>
      <c r="W269" s="74">
        <f t="shared" si="101"/>
        <v>1.0014000000000001</v>
      </c>
      <c r="X269" s="74" t="str">
        <f t="shared" si="102"/>
        <v>NA</v>
      </c>
      <c r="Y269" s="74" t="str">
        <f t="shared" si="103"/>
        <v>NA</v>
      </c>
      <c r="Z269" s="74" t="str">
        <f t="shared" si="104"/>
        <v>NA</v>
      </c>
      <c r="AA269" s="74" t="str">
        <f t="shared" si="105"/>
        <v>NA</v>
      </c>
      <c r="AB269" s="74">
        <f t="shared" si="106"/>
        <v>0.99860000000000004</v>
      </c>
      <c r="AC269" s="69" t="str">
        <f>IF(ISTEXT('TECH DATA ENTRY'!L286)=TRUE,"NA",'TECH DATA ENTRY'!H286)</f>
        <v>NA</v>
      </c>
      <c r="AD269" s="69" t="str">
        <f t="shared" si="107"/>
        <v>NA</v>
      </c>
      <c r="AE269" s="69" t="str">
        <f t="shared" si="108"/>
        <v>NA</v>
      </c>
      <c r="AF269" s="69" t="e">
        <f t="shared" si="109"/>
        <v>#VALUE!</v>
      </c>
      <c r="AG269" s="69" t="e">
        <f t="shared" si="110"/>
        <v>#VALUE!</v>
      </c>
      <c r="AH269" s="69" t="e">
        <f t="shared" si="111"/>
        <v>#VALUE!</v>
      </c>
      <c r="AI269" s="69" t="e">
        <f t="shared" si="112"/>
        <v>#VALUE!</v>
      </c>
      <c r="AJ269" s="70" t="str">
        <f>IF(OR(ISTEXT('TECH DATA ENTRY'!L286)=TRUE,ISTEXT('TECH DATA ENTRY'!F286)=TRUE,ISTEXT('TECH DATA ENTRY'!G286)=TRUE),"NA",(W269-AB269)/(2*MAX(M269,L269)))</f>
        <v>NA</v>
      </c>
      <c r="AK269" s="69" t="str">
        <f t="shared" si="113"/>
        <v>NA</v>
      </c>
      <c r="AM269" s="73" t="e">
        <f t="shared" si="114"/>
        <v>#VALUE!</v>
      </c>
      <c r="AN269" s="73" t="e">
        <f t="shared" si="115"/>
        <v>#VALUE!</v>
      </c>
      <c r="AO269" s="87"/>
      <c r="AP269" s="73" t="e">
        <f t="shared" si="116"/>
        <v>#VALUE!</v>
      </c>
      <c r="AQ269" s="73" t="e">
        <f t="shared" si="117"/>
        <v>#VALUE!</v>
      </c>
      <c r="AR269" s="87"/>
      <c r="AS269" s="73" t="e">
        <f t="shared" si="118"/>
        <v>#VALUE!</v>
      </c>
      <c r="AT269" s="73" t="e">
        <f t="shared" si="119"/>
        <v>#VALUE!</v>
      </c>
      <c r="AV269" s="73" t="e">
        <f t="shared" si="120"/>
        <v>#VALUE!</v>
      </c>
      <c r="AW269" s="73" t="e">
        <f t="shared" si="121"/>
        <v>#VALUE!</v>
      </c>
      <c r="AX269" s="87"/>
      <c r="AY269" s="73" t="e">
        <f t="shared" si="122"/>
        <v>#VALUE!</v>
      </c>
      <c r="AZ269" s="73" t="e">
        <f t="shared" si="123"/>
        <v>#VALUE!</v>
      </c>
      <c r="BA269" s="87"/>
      <c r="BB269" s="73" t="e">
        <f t="shared" si="124"/>
        <v>#VALUE!</v>
      </c>
      <c r="BC269" s="73" t="e">
        <f t="shared" si="125"/>
        <v>#VALUE!</v>
      </c>
    </row>
    <row r="270" spans="1:55" s="86" customFormat="1" ht="25" customHeight="1">
      <c r="A270" s="466" t="str">
        <f>IF('TECH DATA ENTRY'!A287="","",'TECH DATA ENTRY'!A287)</f>
        <v>5 kHz</v>
      </c>
      <c r="B270" s="444">
        <f>IF('TECH DATA ENTRY'!B287="","",'TECH DATA ENTRY'!B287)</f>
        <v>1</v>
      </c>
      <c r="C270" s="444">
        <f>IF(B270="","",IFERROR('TECH DATA ENTRY'!F287,"NA"))</f>
        <v>0.99860000000000004</v>
      </c>
      <c r="D270" s="444" t="str">
        <f>IF('TECH DATA ENTRY'!L287="","",'TECH DATA ENTRY'!L287)</f>
        <v/>
      </c>
      <c r="E270" s="444" t="str">
        <f t="shared" si="97"/>
        <v/>
      </c>
      <c r="F270" s="444">
        <f>IF(B270="","",IFERROR('TECH DATA ENTRY'!G287,"NA"))</f>
        <v>1.0014000000000001</v>
      </c>
      <c r="G270" s="591" t="str">
        <f t="shared" si="98"/>
        <v/>
      </c>
      <c r="H270" s="444" t="str">
        <f>IF(OR(ISTEXT(B270)=TRUE, D270="NA",D270=""),"NA", roundsf(MAX(L270,M270),C270))</f>
        <v>NA</v>
      </c>
      <c r="I270" s="325" t="str">
        <f t="shared" si="99"/>
        <v>NA</v>
      </c>
      <c r="J270" s="299"/>
      <c r="K270" s="245"/>
      <c r="L270" s="506">
        <f>(207/1000000)*B270+(110/1000000)</f>
        <v>3.1700000000000001E-4</v>
      </c>
      <c r="M270" s="244" t="str">
        <f>UNC_CALCULATION!AM259</f>
        <v>NA</v>
      </c>
      <c r="N270" s="85"/>
      <c r="O270" s="58"/>
      <c r="P270" s="69" t="e">
        <f>IF(B270="","",INDEX('AUX TABLES'!$G$4:$K$8,AV270,AW270))</f>
        <v>#VALUE!</v>
      </c>
      <c r="Q270" s="150" t="e">
        <f>IF(AJ$11=FALSE,IF(B270="","",IF(AJ270="NA",P270,INDEX('AUX TABLES'!$G$4:$K$8,AY270,AZ270))),IF(P270="FAIL",P270,INDEX('AUX TABLES'!$G$4:$K$8,AY270,AZ270)))</f>
        <v>#VALUE!</v>
      </c>
      <c r="R270" s="150" t="e">
        <f>IF(AJ$11=FALSE,IF(B270="","",IF(AJ270="NA",P270,INDEX('AUX TABLES'!$G$4:$K$8,BB270,BC270))),IF(P270="FAIL",P270,INDEX('AUX TABLES'!$G$4:$K$8,BB270,BC270)))</f>
        <v>#VALUE!</v>
      </c>
      <c r="S270" s="69" t="e">
        <f>INDEX('AUX TABLES'!$G$4:$K$8,AM270,AN270)</f>
        <v>#VALUE!</v>
      </c>
      <c r="T270" s="69" t="e">
        <f>IF(AJ$11=FALSE,IF(AJ270="NA",S270,INDEX('AUX TABLES'!$G$4:$K$8,AP270,AQ270)),IF(S270="FAIL",S270,INDEX('AUX TABLES'!$G$4:$K$8,AP270,AQ270)))</f>
        <v>#VALUE!</v>
      </c>
      <c r="U270" s="150" t="e">
        <f>IF(AJ$11=FALSE,IF(AJ270="NA",S270,INDEX('AUX TABLES'!$G$4:$K$8,AS270,AT270)),IF(S270="FAIL",S270,INDEX('AUX TABLES'!$G$4:$K$8,AS270,AT270)))</f>
        <v>#VALUE!</v>
      </c>
      <c r="V270" s="150" t="str">
        <f t="shared" si="100"/>
        <v/>
      </c>
      <c r="W270" s="74">
        <f t="shared" si="101"/>
        <v>1.0014000000000001</v>
      </c>
      <c r="X270" s="74" t="str">
        <f t="shared" si="102"/>
        <v>NA</v>
      </c>
      <c r="Y270" s="74" t="str">
        <f t="shared" si="103"/>
        <v>NA</v>
      </c>
      <c r="Z270" s="74" t="str">
        <f t="shared" si="104"/>
        <v>NA</v>
      </c>
      <c r="AA270" s="74" t="str">
        <f t="shared" si="105"/>
        <v>NA</v>
      </c>
      <c r="AB270" s="74">
        <f t="shared" si="106"/>
        <v>0.99860000000000004</v>
      </c>
      <c r="AC270" s="69" t="str">
        <f>IF(ISTEXT('TECH DATA ENTRY'!L287)=TRUE,"NA",'TECH DATA ENTRY'!H287)</f>
        <v>NA</v>
      </c>
      <c r="AD270" s="69" t="str">
        <f t="shared" si="107"/>
        <v>NA</v>
      </c>
      <c r="AE270" s="69" t="str">
        <f t="shared" si="108"/>
        <v>NA</v>
      </c>
      <c r="AF270" s="69" t="e">
        <f t="shared" si="109"/>
        <v>#VALUE!</v>
      </c>
      <c r="AG270" s="69" t="e">
        <f t="shared" si="110"/>
        <v>#VALUE!</v>
      </c>
      <c r="AH270" s="69" t="e">
        <f t="shared" si="111"/>
        <v>#VALUE!</v>
      </c>
      <c r="AI270" s="69" t="e">
        <f t="shared" si="112"/>
        <v>#VALUE!</v>
      </c>
      <c r="AJ270" s="70" t="str">
        <f>IF(OR(ISTEXT('TECH DATA ENTRY'!L287)=TRUE,ISTEXT('TECH DATA ENTRY'!F287)=TRUE,ISTEXT('TECH DATA ENTRY'!G287)=TRUE),"NA",(W270-AB270)/(2*MAX(M270,L270)))</f>
        <v>NA</v>
      </c>
      <c r="AK270" s="69" t="str">
        <f t="shared" si="113"/>
        <v>NA</v>
      </c>
      <c r="AM270" s="73" t="e">
        <f t="shared" si="114"/>
        <v>#VALUE!</v>
      </c>
      <c r="AN270" s="73" t="e">
        <f t="shared" si="115"/>
        <v>#VALUE!</v>
      </c>
      <c r="AO270" s="87"/>
      <c r="AP270" s="73" t="e">
        <f t="shared" si="116"/>
        <v>#VALUE!</v>
      </c>
      <c r="AQ270" s="73" t="e">
        <f t="shared" si="117"/>
        <v>#VALUE!</v>
      </c>
      <c r="AR270" s="87"/>
      <c r="AS270" s="73" t="e">
        <f t="shared" si="118"/>
        <v>#VALUE!</v>
      </c>
      <c r="AT270" s="73" t="e">
        <f t="shared" si="119"/>
        <v>#VALUE!</v>
      </c>
      <c r="AV270" s="73" t="e">
        <f t="shared" si="120"/>
        <v>#VALUE!</v>
      </c>
      <c r="AW270" s="73" t="e">
        <f t="shared" si="121"/>
        <v>#VALUE!</v>
      </c>
      <c r="AX270" s="87"/>
      <c r="AY270" s="73" t="e">
        <f t="shared" si="122"/>
        <v>#VALUE!</v>
      </c>
      <c r="AZ270" s="73" t="e">
        <f t="shared" si="123"/>
        <v>#VALUE!</v>
      </c>
      <c r="BA270" s="87"/>
      <c r="BB270" s="73" t="e">
        <f t="shared" si="124"/>
        <v>#VALUE!</v>
      </c>
      <c r="BC270" s="73" t="e">
        <f t="shared" si="125"/>
        <v>#VALUE!</v>
      </c>
    </row>
    <row r="271" spans="1:55" s="86" customFormat="1" ht="25" customHeight="1" thickBot="1">
      <c r="A271" s="467" t="str">
        <f>IF('TECH DATA ENTRY'!A288="","",'TECH DATA ENTRY'!A288)</f>
        <v>10 kHz</v>
      </c>
      <c r="B271" s="473">
        <f>IF('TECH DATA ENTRY'!B288="","",'TECH DATA ENTRY'!B288)</f>
        <v>1</v>
      </c>
      <c r="C271" s="576">
        <f>IF(B271="","",IFERROR('TECH DATA ENTRY'!F288,"NA"))</f>
        <v>0.99550000000000005</v>
      </c>
      <c r="D271" s="576" t="str">
        <f>IF('TECH DATA ENTRY'!L288="","",'TECH DATA ENTRY'!L288)</f>
        <v/>
      </c>
      <c r="E271" s="576" t="str">
        <f t="shared" si="97"/>
        <v/>
      </c>
      <c r="F271" s="576">
        <f>IF(B271="","",IFERROR('TECH DATA ENTRY'!G288,"NA"))</f>
        <v>1.0044999999999999</v>
      </c>
      <c r="G271" s="577" t="str">
        <f t="shared" si="98"/>
        <v/>
      </c>
      <c r="H271" s="576" t="str">
        <f>IF(OR(ISTEXT(B271)=TRUE, D271="NA",D271=""),"NA", roundsf(MAX(L271,M271),C271))</f>
        <v>NA</v>
      </c>
      <c r="I271" s="575" t="str">
        <f t="shared" si="99"/>
        <v>NA</v>
      </c>
      <c r="J271" s="299"/>
      <c r="K271" s="245"/>
      <c r="L271" s="506">
        <f>(1/1000)*B271+(650/1000000)</f>
        <v>1.65E-3</v>
      </c>
      <c r="M271" s="244" t="str">
        <f>UNC_CALCULATION!AM260</f>
        <v>NA</v>
      </c>
      <c r="N271" s="85"/>
      <c r="O271" s="58"/>
      <c r="P271" s="69" t="e">
        <f>IF(B271="","",INDEX('AUX TABLES'!$G$4:$K$8,AV271,AW271))</f>
        <v>#VALUE!</v>
      </c>
      <c r="Q271" s="150" t="e">
        <f>IF(AJ$11=FALSE,IF(B271="","",IF(AJ271="NA",P271,INDEX('AUX TABLES'!$G$4:$K$8,AY271,AZ271))),IF(P271="FAIL",P271,INDEX('AUX TABLES'!$G$4:$K$8,AY271,AZ271)))</f>
        <v>#VALUE!</v>
      </c>
      <c r="R271" s="150" t="e">
        <f>IF(AJ$11=FALSE,IF(B271="","",IF(AJ271="NA",P271,INDEX('AUX TABLES'!$G$4:$K$8,BB271,BC271))),IF(P271="FAIL",P271,INDEX('AUX TABLES'!$G$4:$K$8,BB271,BC271)))</f>
        <v>#VALUE!</v>
      </c>
      <c r="S271" s="69" t="e">
        <f>INDEX('AUX TABLES'!$G$4:$K$8,AM271,AN271)</f>
        <v>#VALUE!</v>
      </c>
      <c r="T271" s="69" t="e">
        <f>IF(AJ$11=FALSE,IF(AJ271="NA",S271,INDEX('AUX TABLES'!$G$4:$K$8,AP271,AQ271)),IF(S271="FAIL",S271,INDEX('AUX TABLES'!$G$4:$K$8,AP271,AQ271)))</f>
        <v>#VALUE!</v>
      </c>
      <c r="U271" s="150" t="e">
        <f>IF(AJ$11=FALSE,IF(AJ271="NA",S271,INDEX('AUX TABLES'!$G$4:$K$8,AS271,AT271)),IF(S271="FAIL",S271,INDEX('AUX TABLES'!$G$4:$K$8,AS271,AT271)))</f>
        <v>#VALUE!</v>
      </c>
      <c r="V271" s="150" t="str">
        <f t="shared" si="100"/>
        <v/>
      </c>
      <c r="W271" s="74">
        <f t="shared" si="101"/>
        <v>1.0044999999999999</v>
      </c>
      <c r="X271" s="74" t="str">
        <f t="shared" si="102"/>
        <v>NA</v>
      </c>
      <c r="Y271" s="74" t="str">
        <f t="shared" si="103"/>
        <v>NA</v>
      </c>
      <c r="Z271" s="74" t="str">
        <f t="shared" si="104"/>
        <v>NA</v>
      </c>
      <c r="AA271" s="74" t="str">
        <f t="shared" si="105"/>
        <v>NA</v>
      </c>
      <c r="AB271" s="74">
        <f t="shared" si="106"/>
        <v>0.99550000000000005</v>
      </c>
      <c r="AC271" s="69" t="str">
        <f>IF(ISTEXT('TECH DATA ENTRY'!L288)=TRUE,"NA",'TECH DATA ENTRY'!H288)</f>
        <v>NA</v>
      </c>
      <c r="AD271" s="69" t="str">
        <f t="shared" si="107"/>
        <v>NA</v>
      </c>
      <c r="AE271" s="69" t="str">
        <f t="shared" si="108"/>
        <v>NA</v>
      </c>
      <c r="AF271" s="69" t="e">
        <f t="shared" si="109"/>
        <v>#VALUE!</v>
      </c>
      <c r="AG271" s="69" t="e">
        <f t="shared" si="110"/>
        <v>#VALUE!</v>
      </c>
      <c r="AH271" s="69" t="e">
        <f t="shared" si="111"/>
        <v>#VALUE!</v>
      </c>
      <c r="AI271" s="69" t="e">
        <f t="shared" si="112"/>
        <v>#VALUE!</v>
      </c>
      <c r="AJ271" s="70" t="str">
        <f>IF(OR(ISTEXT('TECH DATA ENTRY'!L288)=TRUE,ISTEXT('TECH DATA ENTRY'!F288)=TRUE,ISTEXT('TECH DATA ENTRY'!G288)=TRUE),"NA",(W271-AB271)/(2*MAX(M271,L271)))</f>
        <v>NA</v>
      </c>
      <c r="AK271" s="69" t="str">
        <f t="shared" si="113"/>
        <v>NA</v>
      </c>
      <c r="AM271" s="73" t="e">
        <f t="shared" si="114"/>
        <v>#VALUE!</v>
      </c>
      <c r="AN271" s="73" t="e">
        <f t="shared" si="115"/>
        <v>#VALUE!</v>
      </c>
      <c r="AO271" s="87"/>
      <c r="AP271" s="73" t="e">
        <f t="shared" si="116"/>
        <v>#VALUE!</v>
      </c>
      <c r="AQ271" s="73" t="e">
        <f t="shared" si="117"/>
        <v>#VALUE!</v>
      </c>
      <c r="AR271" s="87"/>
      <c r="AS271" s="73" t="e">
        <f t="shared" si="118"/>
        <v>#VALUE!</v>
      </c>
      <c r="AT271" s="73" t="e">
        <f t="shared" si="119"/>
        <v>#VALUE!</v>
      </c>
      <c r="AV271" s="73" t="e">
        <f t="shared" si="120"/>
        <v>#VALUE!</v>
      </c>
      <c r="AW271" s="73" t="e">
        <f t="shared" si="121"/>
        <v>#VALUE!</v>
      </c>
      <c r="AX271" s="87"/>
      <c r="AY271" s="73" t="e">
        <f t="shared" si="122"/>
        <v>#VALUE!</v>
      </c>
      <c r="AZ271" s="73" t="e">
        <f t="shared" si="123"/>
        <v>#VALUE!</v>
      </c>
      <c r="BA271" s="87"/>
      <c r="BB271" s="73" t="e">
        <f t="shared" si="124"/>
        <v>#VALUE!</v>
      </c>
      <c r="BC271" s="73" t="e">
        <f t="shared" si="125"/>
        <v>#VALUE!</v>
      </c>
    </row>
    <row r="272" spans="1:55" s="296" customFormat="1" ht="28.15" customHeight="1">
      <c r="A272" s="550" t="str">
        <f>IF('TECH DATA ENTRY'!A289="","",'TECH DATA ENTRY'!A289)</f>
        <v/>
      </c>
      <c r="B272" s="551"/>
      <c r="C272" s="552"/>
      <c r="D272" s="551"/>
      <c r="E272" s="551"/>
      <c r="F272" s="551"/>
      <c r="G272" s="552"/>
      <c r="H272" s="551"/>
      <c r="I272" s="553"/>
      <c r="J272" s="224"/>
      <c r="K272" s="224"/>
      <c r="L272" s="224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AK272" s="297"/>
    </row>
    <row r="273" spans="1:55" s="31" customFormat="1" ht="22.15" customHeight="1">
      <c r="A273" s="76" t="str">
        <f>IF('TECH DATA ENTRY'!A290="","",'TECH DATA ENTRY'!A290)</f>
        <v>Range 10 mA</v>
      </c>
      <c r="H273" s="321"/>
      <c r="O273" s="77"/>
      <c r="AK273" s="1"/>
      <c r="AM273" s="637" t="s">
        <v>116</v>
      </c>
      <c r="AN273" s="637"/>
      <c r="AO273" s="637"/>
      <c r="AP273" s="637"/>
      <c r="AQ273" s="637"/>
      <c r="AR273" s="637"/>
      <c r="AS273" s="637"/>
      <c r="AT273" s="637"/>
      <c r="AV273" s="637" t="s">
        <v>117</v>
      </c>
      <c r="AW273" s="637"/>
      <c r="AX273" s="637"/>
      <c r="AY273" s="637"/>
      <c r="AZ273" s="637"/>
      <c r="BA273" s="637"/>
      <c r="BB273" s="637"/>
      <c r="BC273" s="637"/>
    </row>
    <row r="274" spans="1:55" s="225" customFormat="1" ht="4.9000000000000004" customHeight="1" thickBot="1">
      <c r="A274" s="288" t="str">
        <f>IF('TECH DATA ENTRY'!A291="","",'TECH DATA ENTRY'!A291)</f>
        <v/>
      </c>
      <c r="K274" s="239"/>
      <c r="L274" s="239"/>
      <c r="AK274" s="240"/>
    </row>
    <row r="275" spans="1:55" s="285" customFormat="1" ht="20.149999999999999" customHeight="1">
      <c r="A275" s="644" t="str">
        <f>IF('TECH DATA ENTRY'!A292="","",'TECH DATA ENTRY'!A292)</f>
        <v>Frequency</v>
      </c>
      <c r="B275" s="646" t="str">
        <f>IF('TECH DATA ENTRY'!B292="","",'TECH DATA ENTRY'!B292)</f>
        <v>Nominal</v>
      </c>
      <c r="C275" s="648" t="s">
        <v>2</v>
      </c>
      <c r="D275" s="648" t="str">
        <f>IF(LEFT(P$11,3)="ROV", "Measured Value", "As Found")</f>
        <v>As Found</v>
      </c>
      <c r="E275" s="648" t="str">
        <f>IF(LEFT(P$11,3)="ROV", "Correction", "As Left")</f>
        <v>As Left</v>
      </c>
      <c r="F275" s="648" t="s">
        <v>3</v>
      </c>
      <c r="G275" s="653" t="s">
        <v>4</v>
      </c>
      <c r="H275" s="659" t="s">
        <v>30</v>
      </c>
      <c r="I275" s="661" t="s">
        <v>28</v>
      </c>
      <c r="J275" s="284"/>
      <c r="L275" s="658" t="s">
        <v>38</v>
      </c>
      <c r="M275" s="616" t="s">
        <v>31</v>
      </c>
      <c r="N275" s="281"/>
      <c r="O275" s="286"/>
      <c r="P275" s="640" t="s">
        <v>136</v>
      </c>
      <c r="Q275" s="641"/>
      <c r="R275" s="642"/>
      <c r="S275" s="638" t="s">
        <v>115</v>
      </c>
      <c r="T275" s="638"/>
      <c r="U275" s="638"/>
      <c r="V275" s="638"/>
      <c r="W275" s="640" t="s">
        <v>64</v>
      </c>
      <c r="X275" s="641"/>
      <c r="Y275" s="641"/>
      <c r="Z275" s="641"/>
      <c r="AA275" s="641"/>
      <c r="AB275" s="642"/>
      <c r="AC275" s="638" t="s">
        <v>97</v>
      </c>
      <c r="AD275" s="638"/>
      <c r="AE275" s="638"/>
      <c r="AF275" s="638" t="s">
        <v>127</v>
      </c>
      <c r="AG275" s="638"/>
      <c r="AH275" s="638" t="s">
        <v>128</v>
      </c>
      <c r="AI275" s="638"/>
      <c r="AJ275" s="638" t="s">
        <v>28</v>
      </c>
      <c r="AK275" s="638" t="s">
        <v>121</v>
      </c>
      <c r="AL275" s="308"/>
      <c r="AM275" s="639" t="s">
        <v>122</v>
      </c>
      <c r="AN275" s="639"/>
      <c r="AO275" s="308"/>
      <c r="AP275" s="639" t="s">
        <v>119</v>
      </c>
      <c r="AQ275" s="639"/>
      <c r="AR275" s="308"/>
      <c r="AS275" s="639" t="s">
        <v>120</v>
      </c>
      <c r="AT275" s="639"/>
      <c r="AU275" s="308"/>
      <c r="AV275" s="639" t="s">
        <v>122</v>
      </c>
      <c r="AW275" s="639"/>
      <c r="AX275" s="308"/>
      <c r="AY275" s="639" t="s">
        <v>119</v>
      </c>
      <c r="AZ275" s="639"/>
      <c r="BA275" s="308"/>
      <c r="BB275" s="639" t="s">
        <v>120</v>
      </c>
      <c r="BC275" s="639"/>
    </row>
    <row r="276" spans="1:55" s="285" customFormat="1" ht="20.149999999999999" customHeight="1" thickBot="1">
      <c r="A276" s="645"/>
      <c r="B276" s="647"/>
      <c r="C276" s="649"/>
      <c r="D276" s="649"/>
      <c r="E276" s="649"/>
      <c r="F276" s="649"/>
      <c r="G276" s="654"/>
      <c r="H276" s="660"/>
      <c r="I276" s="662"/>
      <c r="J276" s="284"/>
      <c r="L276" s="649"/>
      <c r="M276" s="617"/>
      <c r="O276" s="281"/>
      <c r="P276" s="309" t="s">
        <v>122</v>
      </c>
      <c r="Q276" s="309" t="s">
        <v>119</v>
      </c>
      <c r="R276" s="309" t="s">
        <v>120</v>
      </c>
      <c r="S276" s="309" t="s">
        <v>122</v>
      </c>
      <c r="T276" s="309" t="s">
        <v>119</v>
      </c>
      <c r="U276" s="309" t="s">
        <v>120</v>
      </c>
      <c r="V276" s="309" t="s">
        <v>118</v>
      </c>
      <c r="W276" s="309" t="s">
        <v>63</v>
      </c>
      <c r="X276" s="309" t="s">
        <v>69</v>
      </c>
      <c r="Y276" s="309" t="s">
        <v>71</v>
      </c>
      <c r="Z276" s="309" t="s">
        <v>72</v>
      </c>
      <c r="AA276" s="309" t="s">
        <v>70</v>
      </c>
      <c r="AB276" s="309" t="s">
        <v>75</v>
      </c>
      <c r="AC276" s="309" t="s">
        <v>78</v>
      </c>
      <c r="AD276" s="309" t="s">
        <v>119</v>
      </c>
      <c r="AE276" s="309" t="s">
        <v>120</v>
      </c>
      <c r="AF276" s="309" t="s">
        <v>129</v>
      </c>
      <c r="AG276" s="309" t="s">
        <v>130</v>
      </c>
      <c r="AH276" s="309" t="s">
        <v>129</v>
      </c>
      <c r="AI276" s="309" t="s">
        <v>130</v>
      </c>
      <c r="AJ276" s="652"/>
      <c r="AK276" s="652"/>
      <c r="AL276" s="308"/>
      <c r="AM276" s="310" t="s">
        <v>67</v>
      </c>
      <c r="AN276" s="310" t="s">
        <v>68</v>
      </c>
      <c r="AO276" s="308"/>
      <c r="AP276" s="310" t="s">
        <v>67</v>
      </c>
      <c r="AQ276" s="310" t="s">
        <v>68</v>
      </c>
      <c r="AR276" s="308"/>
      <c r="AS276" s="310" t="s">
        <v>67</v>
      </c>
      <c r="AT276" s="310" t="s">
        <v>68</v>
      </c>
      <c r="AU276" s="308"/>
      <c r="AV276" s="310" t="s">
        <v>67</v>
      </c>
      <c r="AW276" s="310" t="s">
        <v>68</v>
      </c>
      <c r="AX276" s="308"/>
      <c r="AY276" s="310" t="s">
        <v>67</v>
      </c>
      <c r="AZ276" s="310" t="s">
        <v>68</v>
      </c>
      <c r="BA276" s="308"/>
      <c r="BB276" s="310" t="s">
        <v>67</v>
      </c>
      <c r="BC276" s="310" t="s">
        <v>68</v>
      </c>
    </row>
    <row r="277" spans="1:55" s="86" customFormat="1" ht="25" customHeight="1" thickTop="1">
      <c r="A277" s="466" t="str">
        <f>IF('TECH DATA ENTRY'!A294="","",'TECH DATA ENTRY'!A294)</f>
        <v>10 Hz</v>
      </c>
      <c r="B277" s="447">
        <f>IF('TECH DATA ENTRY'!B294="","",'TECH DATA ENTRY'!B294)</f>
        <v>10</v>
      </c>
      <c r="C277" s="561">
        <f>IF(B277="","",IFERROR('TECH DATA ENTRY'!F294,"NA"))</f>
        <v>9.9860000000000007</v>
      </c>
      <c r="D277" s="561" t="str">
        <f>IF('TECH DATA ENTRY'!L294="","",'TECH DATA ENTRY'!L294)</f>
        <v/>
      </c>
      <c r="E277" s="561" t="str">
        <f t="shared" ref="E277:E322" si="131">IF(LEFT(P$11,3)="ROV",AK277,D277)</f>
        <v/>
      </c>
      <c r="F277" s="561">
        <f>IF(B277="","",IFERROR('TECH DATA ENTRY'!G294,"NA"))</f>
        <v>10.013999999999999</v>
      </c>
      <c r="G277" s="562" t="str">
        <f t="shared" ref="G277:G322" si="132">IF(D277="","",IF(OR($P$11="ACC CAL WITHOUT GB",$P$11="DATA NO UNC"),P277,IF($P$11="ACC CAL WITH GB - Method 5",R277,Q277)))</f>
        <v/>
      </c>
      <c r="H277" s="561" t="str">
        <f>IF(OR(ISTEXT(B277)=TRUE, D277="NA",D277=""),"NA", roundsf(MAX(L277,M277),C277))</f>
        <v>NA</v>
      </c>
      <c r="I277" s="558" t="str">
        <f t="shared" ref="I277:I322" si="133">IF(AJ277="NA","NA",(IF(AJ277&gt;=4,"≥ 4.0 : 1",TEXT(AJ277,"0.0")&amp;" : 1")))</f>
        <v>NA</v>
      </c>
      <c r="J277" s="299"/>
      <c r="K277" s="245"/>
      <c r="L277" s="506">
        <f>(265/1000000)*B277+(400/1000000)</f>
        <v>3.0500000000000002E-3</v>
      </c>
      <c r="M277" s="244" t="str">
        <f>UNC_CALCULATION!AM266</f>
        <v>NA</v>
      </c>
      <c r="N277" s="85"/>
      <c r="O277" s="58"/>
      <c r="P277" s="69" t="e">
        <f>IF(B277="","",INDEX('AUX TABLES'!$G$4:$K$8,AV277,AW277))</f>
        <v>#VALUE!</v>
      </c>
      <c r="Q277" s="150" t="e">
        <f>IF(AJ$11=FALSE,IF(B277="","",IF(AJ277="NA",P277,INDEX('AUX TABLES'!$G$4:$K$8,AY277,AZ277))),IF(P277="FAIL",P277,INDEX('AUX TABLES'!$G$4:$K$8,AY277,AZ277)))</f>
        <v>#VALUE!</v>
      </c>
      <c r="R277" s="150" t="e">
        <f>IF(AJ$11=FALSE,IF(B277="","",IF(AJ277="NA",P277,INDEX('AUX TABLES'!$G$4:$K$8,BB277,BC277))),IF(P277="FAIL",P277,INDEX('AUX TABLES'!$G$4:$K$8,BB277,BC277)))</f>
        <v>#VALUE!</v>
      </c>
      <c r="S277" s="69" t="e">
        <f>INDEX('AUX TABLES'!$G$4:$K$8,AM277,AN277)</f>
        <v>#VALUE!</v>
      </c>
      <c r="T277" s="69" t="e">
        <f>IF(AJ$11=FALSE,IF(AJ277="NA",S277,INDEX('AUX TABLES'!$G$4:$K$8,AP277,AQ277)),IF(S277="FAIL",S277,INDEX('AUX TABLES'!$G$4:$K$8,AP277,AQ277)))</f>
        <v>#VALUE!</v>
      </c>
      <c r="U277" s="150" t="e">
        <f>IF(AJ$11=FALSE,IF(AJ277="NA",S277,INDEX('AUX TABLES'!$G$4:$K$8,AS277,AT277)),IF(S277="FAIL",S277,INDEX('AUX TABLES'!$G$4:$K$8,AS277,AT277)))</f>
        <v>#VALUE!</v>
      </c>
      <c r="V277" s="150" t="str">
        <f t="shared" ref="V277:V322" si="134">IF(D277="","",IF(OR($P$11="ACC CAL WITHOUT GB",$P$11="DATA NO UNC"),S277,IF($P$11="ACC CAL WITH GB - Method 5",U277,T277)))</f>
        <v/>
      </c>
      <c r="W277" s="74">
        <f t="shared" ref="W277:W322" si="135">F277</f>
        <v>10.013999999999999</v>
      </c>
      <c r="X277" s="74" t="str">
        <f t="shared" ref="X277:X322" si="136">IFERROR(W277-AD277,"NA")</f>
        <v>NA</v>
      </c>
      <c r="Y277" s="74" t="str">
        <f t="shared" ref="Y277:Y322" si="137">IFERROR(W277-AE277,"NA")</f>
        <v>NA</v>
      </c>
      <c r="Z277" s="74" t="str">
        <f t="shared" ref="Z277:Z322" si="138">IFERROR(AB277+AE277,"NA")</f>
        <v>NA</v>
      </c>
      <c r="AA277" s="74" t="str">
        <f t="shared" ref="AA277:AA322" si="139">IFERROR(AB277+AD277,"NA")</f>
        <v>NA</v>
      </c>
      <c r="AB277" s="74">
        <f t="shared" ref="AB277:AB322" si="140">C277</f>
        <v>9.9860000000000007</v>
      </c>
      <c r="AC277" s="69" t="str">
        <f>IF(ISTEXT('TECH DATA ENTRY'!L294)=TRUE,"NA",'TECH DATA ENTRY'!H294)</f>
        <v>NA</v>
      </c>
      <c r="AD277" s="69" t="str">
        <f t="shared" ref="AD277:AD322" si="141">IF(AJ277="NA","NA",IF(AJ277&lt;0,0,ABS(MAX(M277,L277)*(1.04-EXP(0.38*LN((W277-AB277)/(2*MAX(M277,L277)))-0.54)))))</f>
        <v>NA</v>
      </c>
      <c r="AE277" s="69" t="str">
        <f t="shared" ref="AE277:AE322" si="142">IF(ISTEXT(D277)=TRUE,"NA",MAX(L277,M277))</f>
        <v>NA</v>
      </c>
      <c r="AF277" s="69" t="e">
        <f t="shared" ref="AF277:AF322" si="143">D277-MAX(L277:M277)</f>
        <v>#VALUE!</v>
      </c>
      <c r="AG277" s="69" t="e">
        <f t="shared" ref="AG277:AG322" si="144">D277+MAX(L277:M277)</f>
        <v>#VALUE!</v>
      </c>
      <c r="AH277" s="69" t="e">
        <f t="shared" ref="AH277:AH322" si="145">E277-MAX(L277:M277)</f>
        <v>#VALUE!</v>
      </c>
      <c r="AI277" s="69" t="e">
        <f t="shared" ref="AI277:AI322" si="146">E277+MAX(L277:M277)</f>
        <v>#VALUE!</v>
      </c>
      <c r="AJ277" s="70" t="str">
        <f>IF(OR(ISTEXT('TECH DATA ENTRY'!L294)=TRUE,ISTEXT('TECH DATA ENTRY'!F294)=TRUE,ISTEXT('TECH DATA ENTRY'!G294)=TRUE),"NA",(W277-AB277)/(2*MAX(M277,L277)))</f>
        <v>NA</v>
      </c>
      <c r="AK277" s="69" t="str">
        <f t="shared" ref="AK277:AK322" si="147">IF(ISTEXT(D277)=TRUE,"NA",B277-D277)</f>
        <v>NA</v>
      </c>
      <c r="AM277" s="73" t="e">
        <f t="shared" ref="AM277:AM322" si="148">IF(LEFT(P$11,3)="ROV",1,IF(D277="NA",5,IF(ISTEXT(B277)=TRUE,IF(D277=B277,1,4),IF(ISTEXT(F277)=TRUE,5,IF(D277+MAX(L277:M277)*AK$9&lt;=W277,1,IF(AND(OR(D277=B277,D277&lt;=W277),D277+MAX(L277:M277)*AK$9&gt;W277),2,IF(D277-MAX(L277:M277)*AK$9&gt;W277,4,3)))))))</f>
        <v>#VALUE!</v>
      </c>
      <c r="AN277" s="73" t="e">
        <f t="shared" ref="AN277:AN322" si="149">IF(LEFT(P$11,3)="ROV",1,IF(D277="NA",5,IF(ISTEXT(B277)=TRUE,IF(D277=B277,1,4),IF(ISTEXT(C277)=TRUE,5,IF($D277-MAX(L277:M277)*AK$9&gt;=AB277,1,IF(AND(OR(D277=B277,D277&gt;=AB277),D277-MAX(L277:M277)*AK$9&lt;AB277),2,IF($D277+MAX(L277:M277)*AK$9&lt;AB277,4,3)))))))</f>
        <v>#VALUE!</v>
      </c>
      <c r="AO277" s="87"/>
      <c r="AP277" s="73" t="e">
        <f t="shared" ref="AP277:AP322" si="150">IF(LEFT(P$11,3)="ROV",1,IF(D277="NA",5,IF(ISTEXT(B277)=TRUE,IF(D277=B277,1,4),IF(ISTEXT(F277)=TRUE,5,IF((AF277&gt;=W277),4,IF(AND(D277&lt;X277,AG277&gt;=W277),2,IF(AND(D277&gt;=X277,AF277&lt;W277),3,1)))))))</f>
        <v>#VALUE!</v>
      </c>
      <c r="AQ277" s="73" t="e">
        <f t="shared" ref="AQ277:AQ322" si="151">IF(LEFT(P$11,3)="ROV",1,IF(D277="NA",5,IF(ISTEXT(B277)=TRUE,IF(D277=B277,1,4),IF(ISTEXT(C277)=TRUE,5,IF((AG277&lt;=AB277),4,IF(AND(D277&gt;AA277,AF277&lt;=AB277),2,IF(AND(D277&lt;=AA277,AG277&gt;AB277),3,1)))))))</f>
        <v>#VALUE!</v>
      </c>
      <c r="AR277" s="87"/>
      <c r="AS277" s="73" t="e">
        <f t="shared" ref="AS277:AS322" si="152">IF(LEFT(P$11,3)="ROV",1,IF(D277="NA",5,IF(ISTEXT(B277)=TRUE,IF(D277=B277,1,4),IF(ISTEXT(F277)=TRUE,5,IF(AF277&gt;=W277,4,IF(AND(D277&gt;=Y277,AF277&lt;W277),3,1))))))</f>
        <v>#VALUE!</v>
      </c>
      <c r="AT277" s="73" t="e">
        <f t="shared" ref="AT277:AT322" si="153">IF(LEFT(P$11,3)="ROV",1,IF(D277="NA",5,IF(ISTEXT(B277)=TRUE,IF(D277=B277,1,4),IF(ISTEXT(C277)=TRUE,5,IF(AG277&lt;=AB277,4,IF(AND(D277&lt;=Z277,AG277&gt;AB277),3,1))))))</f>
        <v>#VALUE!</v>
      </c>
      <c r="AV277" s="73" t="e">
        <f t="shared" ref="AV277:AV322" si="154">IF(LEFT(P$11,3)="ROV",1,IF(D277="NA",5,IF(ISTEXT(B277)=TRUE,IF(D277=B277,1,4),IF(ISTEXT(F277)=TRUE,5,IF(E277+MAX(L277:M277)*AK$9&lt;=W277,1,IF(AND(OR(E277=B277,E277&lt;=W277),E277+MAX(L277:M277)*AK$9&gt;W277),2,IF(E277-MAX(L277:M277)*AK$9&gt;W277,4,3)))))))</f>
        <v>#VALUE!</v>
      </c>
      <c r="AW277" s="73" t="e">
        <f t="shared" ref="AW277:AW322" si="155">IF(LEFT(P$11,3)="ROV",1,IF(D277="NA",5,IF(ISTEXT(B277)=TRUE,IF(D277=B277,1,4),IF(ISTEXT(C277)=TRUE,5,IF($E277-MAX(L277:M277)*AK$9&gt;=AB277,1,IF(AND(OR(E277=B277,E277&gt;=AB277),E277-MAX(L277:M277)*AK$9&lt;AB277),2,IF($E277+MAX(L277:M277)*AK$9&lt;AB277,4,3)))))))</f>
        <v>#VALUE!</v>
      </c>
      <c r="AX277" s="87"/>
      <c r="AY277" s="73" t="e">
        <f t="shared" ref="AY277:AY322" si="156">IF(LEFT(P$11,3)="ROV",1,IF(D277="NA",5,IF(ISTEXT(B277)=TRUE,IF(D277=B277,1,4),IF(ISTEXT(F277)=TRUE,5,IF((AH277&gt;=W277),4,IF(AND(E277&lt;X277,AI277&gt;=W277),2,IF(AND(E277&gt;=X277,AH277&lt;W277),3,1)))))))</f>
        <v>#VALUE!</v>
      </c>
      <c r="AZ277" s="73" t="e">
        <f t="shared" ref="AZ277:AZ322" si="157">IF(LEFT(P$11,3)="ROV",1,IF(D277="NA",5,IF(ISTEXT(B277)=TRUE,IF(D277=B277,1,4),IF(ISTEXT(C277)=TRUE,5,IF((AI277&lt;=AB277),4,IF(AND(E277&gt;AA277,AH277&lt;=AB277),2,IF(AND(E277&lt;=AA277,AI277&gt;AB277),3,1)))))))</f>
        <v>#VALUE!</v>
      </c>
      <c r="BA277" s="87"/>
      <c r="BB277" s="73" t="e">
        <f t="shared" ref="BB277:BB322" si="158">IF(LEFT(P$11,3)="ROV",1,IF(D277="NA",5,IF(ISTEXT(B277)=TRUE,IF(D277=B277,1,4),IF(ISTEXT(F277)=TRUE,5,IF(AH277&gt;=W277,4,IF(AND(E277&gt;=Y277,AH277&lt;W277),3,1))))))</f>
        <v>#VALUE!</v>
      </c>
      <c r="BC277" s="73" t="e">
        <f t="shared" ref="BC277:BC322" si="159">IF(LEFT(P$11,3)="ROV",1,IF(D277="NA",5,IF(ISTEXT(B277)=TRUE,IF(D277=B277,1,4),IF(ISTEXT(C277)=TRUE,5,IF(AI277&lt;=AB277,4,IF(AND(E277&lt;=Z277,AI277&gt;AB277),3,1))))))</f>
        <v>#VALUE!</v>
      </c>
    </row>
    <row r="278" spans="1:55" s="86" customFormat="1" ht="25" customHeight="1">
      <c r="A278" s="466" t="str">
        <f>IF('TECH DATA ENTRY'!A295="","",'TECH DATA ENTRY'!A295)</f>
        <v>1 kHz</v>
      </c>
      <c r="B278" s="447">
        <f>IF('TECH DATA ENTRY'!B295="","",'TECH DATA ENTRY'!B295)</f>
        <v>10</v>
      </c>
      <c r="C278" s="447">
        <f>IF(B278="","",IFERROR('TECH DATA ENTRY'!F295,"NA"))</f>
        <v>9.9860000000000007</v>
      </c>
      <c r="D278" s="447" t="str">
        <f>IF('TECH DATA ENTRY'!L295="","",'TECH DATA ENTRY'!L295)</f>
        <v/>
      </c>
      <c r="E278" s="447" t="str">
        <f t="shared" si="131"/>
        <v/>
      </c>
      <c r="F278" s="447">
        <f>IF(B278="","",IFERROR('TECH DATA ENTRY'!G295,"NA"))</f>
        <v>10.013999999999999</v>
      </c>
      <c r="G278" s="592" t="str">
        <f t="shared" si="132"/>
        <v/>
      </c>
      <c r="H278" s="447" t="str">
        <f>IF(OR(ISTEXT(B278)=TRUE, D278="NA",D278=""),"NA", roundsf(MAX(L278,M278),C278))</f>
        <v>NA</v>
      </c>
      <c r="I278" s="325" t="str">
        <f t="shared" si="133"/>
        <v>NA</v>
      </c>
      <c r="J278" s="299"/>
      <c r="K278" s="245"/>
      <c r="L278" s="506">
        <f>(130/1000000)*B278+(350/1000000)</f>
        <v>1.65E-3</v>
      </c>
      <c r="M278" s="244" t="str">
        <f>UNC_CALCULATION!AM267</f>
        <v>NA</v>
      </c>
      <c r="N278" s="85"/>
      <c r="O278" s="58"/>
      <c r="P278" s="69" t="e">
        <f>IF(B278="","",INDEX('AUX TABLES'!$G$4:$K$8,AV278,AW278))</f>
        <v>#VALUE!</v>
      </c>
      <c r="Q278" s="150" t="e">
        <f>IF(AJ$11=FALSE,IF(B278="","",IF(AJ278="NA",P278,INDEX('AUX TABLES'!$G$4:$K$8,AY278,AZ278))),IF(P278="FAIL",P278,INDEX('AUX TABLES'!$G$4:$K$8,AY278,AZ278)))</f>
        <v>#VALUE!</v>
      </c>
      <c r="R278" s="150" t="e">
        <f>IF(AJ$11=FALSE,IF(B278="","",IF(AJ278="NA",P278,INDEX('AUX TABLES'!$G$4:$K$8,BB278,BC278))),IF(P278="FAIL",P278,INDEX('AUX TABLES'!$G$4:$K$8,BB278,BC278)))</f>
        <v>#VALUE!</v>
      </c>
      <c r="S278" s="69" t="e">
        <f>INDEX('AUX TABLES'!$G$4:$K$8,AM278,AN278)</f>
        <v>#VALUE!</v>
      </c>
      <c r="T278" s="69" t="e">
        <f>IF(AJ$11=FALSE,IF(AJ278="NA",S278,INDEX('AUX TABLES'!$G$4:$K$8,AP278,AQ278)),IF(S278="FAIL",S278,INDEX('AUX TABLES'!$G$4:$K$8,AP278,AQ278)))</f>
        <v>#VALUE!</v>
      </c>
      <c r="U278" s="150" t="e">
        <f>IF(AJ$11=FALSE,IF(AJ278="NA",S278,INDEX('AUX TABLES'!$G$4:$K$8,AS278,AT278)),IF(S278="FAIL",S278,INDEX('AUX TABLES'!$G$4:$K$8,AS278,AT278)))</f>
        <v>#VALUE!</v>
      </c>
      <c r="V278" s="150" t="str">
        <f t="shared" si="134"/>
        <v/>
      </c>
      <c r="W278" s="74">
        <f t="shared" si="135"/>
        <v>10.013999999999999</v>
      </c>
      <c r="X278" s="74" t="str">
        <f t="shared" si="136"/>
        <v>NA</v>
      </c>
      <c r="Y278" s="74" t="str">
        <f t="shared" si="137"/>
        <v>NA</v>
      </c>
      <c r="Z278" s="74" t="str">
        <f t="shared" si="138"/>
        <v>NA</v>
      </c>
      <c r="AA278" s="74" t="str">
        <f t="shared" si="139"/>
        <v>NA</v>
      </c>
      <c r="AB278" s="74">
        <f t="shared" si="140"/>
        <v>9.9860000000000007</v>
      </c>
      <c r="AC278" s="69" t="str">
        <f>IF(ISTEXT('TECH DATA ENTRY'!L295)=TRUE,"NA",'TECH DATA ENTRY'!H295)</f>
        <v>NA</v>
      </c>
      <c r="AD278" s="69" t="str">
        <f t="shared" si="141"/>
        <v>NA</v>
      </c>
      <c r="AE278" s="69" t="str">
        <f t="shared" si="142"/>
        <v>NA</v>
      </c>
      <c r="AF278" s="69" t="e">
        <f t="shared" si="143"/>
        <v>#VALUE!</v>
      </c>
      <c r="AG278" s="69" t="e">
        <f t="shared" si="144"/>
        <v>#VALUE!</v>
      </c>
      <c r="AH278" s="69" t="e">
        <f t="shared" si="145"/>
        <v>#VALUE!</v>
      </c>
      <c r="AI278" s="69" t="e">
        <f t="shared" si="146"/>
        <v>#VALUE!</v>
      </c>
      <c r="AJ278" s="70" t="str">
        <f>IF(OR(ISTEXT('TECH DATA ENTRY'!L295)=TRUE,ISTEXT('TECH DATA ENTRY'!F295)=TRUE,ISTEXT('TECH DATA ENTRY'!G295)=TRUE),"NA",(W278-AB278)/(2*MAX(M278,L278)))</f>
        <v>NA</v>
      </c>
      <c r="AK278" s="69" t="str">
        <f t="shared" si="147"/>
        <v>NA</v>
      </c>
      <c r="AM278" s="73" t="e">
        <f t="shared" si="148"/>
        <v>#VALUE!</v>
      </c>
      <c r="AN278" s="73" t="e">
        <f t="shared" si="149"/>
        <v>#VALUE!</v>
      </c>
      <c r="AO278" s="87"/>
      <c r="AP278" s="73" t="e">
        <f t="shared" si="150"/>
        <v>#VALUE!</v>
      </c>
      <c r="AQ278" s="73" t="e">
        <f t="shared" si="151"/>
        <v>#VALUE!</v>
      </c>
      <c r="AR278" s="87"/>
      <c r="AS278" s="73" t="e">
        <f t="shared" si="152"/>
        <v>#VALUE!</v>
      </c>
      <c r="AT278" s="73" t="e">
        <f t="shared" si="153"/>
        <v>#VALUE!</v>
      </c>
      <c r="AV278" s="73" t="e">
        <f t="shared" si="154"/>
        <v>#VALUE!</v>
      </c>
      <c r="AW278" s="73" t="e">
        <f t="shared" si="155"/>
        <v>#VALUE!</v>
      </c>
      <c r="AX278" s="87"/>
      <c r="AY278" s="73" t="e">
        <f t="shared" si="156"/>
        <v>#VALUE!</v>
      </c>
      <c r="AZ278" s="73" t="e">
        <f t="shared" si="157"/>
        <v>#VALUE!</v>
      </c>
      <c r="BA278" s="87"/>
      <c r="BB278" s="73" t="e">
        <f t="shared" si="158"/>
        <v>#VALUE!</v>
      </c>
      <c r="BC278" s="73" t="e">
        <f t="shared" si="159"/>
        <v>#VALUE!</v>
      </c>
    </row>
    <row r="279" spans="1:55" s="86" customFormat="1" ht="25" customHeight="1">
      <c r="A279" s="466" t="str">
        <f>IF('TECH DATA ENTRY'!A296="","",'TECH DATA ENTRY'!A296)</f>
        <v>5 kHz</v>
      </c>
      <c r="B279" s="447">
        <f>IF('TECH DATA ENTRY'!B296="","",'TECH DATA ENTRY'!B296)</f>
        <v>10</v>
      </c>
      <c r="C279" s="447">
        <f>IF(B279="","",IFERROR('TECH DATA ENTRY'!F296,"NA"))</f>
        <v>9.9860000000000007</v>
      </c>
      <c r="D279" s="447" t="str">
        <f>IF('TECH DATA ENTRY'!L296="","",'TECH DATA ENTRY'!L296)</f>
        <v/>
      </c>
      <c r="E279" s="447" t="str">
        <f t="shared" si="131"/>
        <v/>
      </c>
      <c r="F279" s="447">
        <f>IF(B279="","",IFERROR('TECH DATA ENTRY'!G296,"NA"))</f>
        <v>10.013999999999999</v>
      </c>
      <c r="G279" s="592" t="str">
        <f t="shared" si="132"/>
        <v/>
      </c>
      <c r="H279" s="447" t="str">
        <f>IF(OR(ISTEXT(B279)=TRUE, D279="NA",D279=""),"NA", roundsf(MAX(L279,M279),C279))</f>
        <v>NA</v>
      </c>
      <c r="I279" s="325" t="str">
        <f t="shared" si="133"/>
        <v>NA</v>
      </c>
      <c r="J279" s="299"/>
      <c r="K279" s="245"/>
      <c r="L279" s="506">
        <f>(207/1000000)*B279+(550/1000000)</f>
        <v>2.6199999999999999E-3</v>
      </c>
      <c r="M279" s="244" t="str">
        <f>UNC_CALCULATION!AM268</f>
        <v>NA</v>
      </c>
      <c r="N279" s="85"/>
      <c r="O279" s="58"/>
      <c r="P279" s="69" t="e">
        <f>IF(B279="","",INDEX('AUX TABLES'!$G$4:$K$8,AV279,AW279))</f>
        <v>#VALUE!</v>
      </c>
      <c r="Q279" s="150" t="e">
        <f>IF(AJ$11=FALSE,IF(B279="","",IF(AJ279="NA",P279,INDEX('AUX TABLES'!$G$4:$K$8,AY279,AZ279))),IF(P279="FAIL",P279,INDEX('AUX TABLES'!$G$4:$K$8,AY279,AZ279)))</f>
        <v>#VALUE!</v>
      </c>
      <c r="R279" s="150" t="e">
        <f>IF(AJ$11=FALSE,IF(B279="","",IF(AJ279="NA",P279,INDEX('AUX TABLES'!$G$4:$K$8,BB279,BC279))),IF(P279="FAIL",P279,INDEX('AUX TABLES'!$G$4:$K$8,BB279,BC279)))</f>
        <v>#VALUE!</v>
      </c>
      <c r="S279" s="69" t="e">
        <f>INDEX('AUX TABLES'!$G$4:$K$8,AM279,AN279)</f>
        <v>#VALUE!</v>
      </c>
      <c r="T279" s="69" t="e">
        <f>IF(AJ$11=FALSE,IF(AJ279="NA",S279,INDEX('AUX TABLES'!$G$4:$K$8,AP279,AQ279)),IF(S279="FAIL",S279,INDEX('AUX TABLES'!$G$4:$K$8,AP279,AQ279)))</f>
        <v>#VALUE!</v>
      </c>
      <c r="U279" s="150" t="e">
        <f>IF(AJ$11=FALSE,IF(AJ279="NA",S279,INDEX('AUX TABLES'!$G$4:$K$8,AS279,AT279)),IF(S279="FAIL",S279,INDEX('AUX TABLES'!$G$4:$K$8,AS279,AT279)))</f>
        <v>#VALUE!</v>
      </c>
      <c r="V279" s="150" t="str">
        <f t="shared" si="134"/>
        <v/>
      </c>
      <c r="W279" s="74">
        <f t="shared" si="135"/>
        <v>10.013999999999999</v>
      </c>
      <c r="X279" s="74" t="str">
        <f t="shared" si="136"/>
        <v>NA</v>
      </c>
      <c r="Y279" s="74" t="str">
        <f t="shared" si="137"/>
        <v>NA</v>
      </c>
      <c r="Z279" s="74" t="str">
        <f t="shared" si="138"/>
        <v>NA</v>
      </c>
      <c r="AA279" s="74" t="str">
        <f t="shared" si="139"/>
        <v>NA</v>
      </c>
      <c r="AB279" s="74">
        <f t="shared" si="140"/>
        <v>9.9860000000000007</v>
      </c>
      <c r="AC279" s="69" t="str">
        <f>IF(ISTEXT('TECH DATA ENTRY'!L296)=TRUE,"NA",'TECH DATA ENTRY'!H296)</f>
        <v>NA</v>
      </c>
      <c r="AD279" s="69" t="str">
        <f t="shared" si="141"/>
        <v>NA</v>
      </c>
      <c r="AE279" s="69" t="str">
        <f t="shared" si="142"/>
        <v>NA</v>
      </c>
      <c r="AF279" s="69" t="e">
        <f t="shared" si="143"/>
        <v>#VALUE!</v>
      </c>
      <c r="AG279" s="69" t="e">
        <f t="shared" si="144"/>
        <v>#VALUE!</v>
      </c>
      <c r="AH279" s="69" t="e">
        <f t="shared" si="145"/>
        <v>#VALUE!</v>
      </c>
      <c r="AI279" s="69" t="e">
        <f t="shared" si="146"/>
        <v>#VALUE!</v>
      </c>
      <c r="AJ279" s="70" t="str">
        <f>IF(OR(ISTEXT('TECH DATA ENTRY'!L296)=TRUE,ISTEXT('TECH DATA ENTRY'!F296)=TRUE,ISTEXT('TECH DATA ENTRY'!G296)=TRUE),"NA",(W279-AB279)/(2*MAX(M279,L279)))</f>
        <v>NA</v>
      </c>
      <c r="AK279" s="69" t="str">
        <f t="shared" si="147"/>
        <v>NA</v>
      </c>
      <c r="AM279" s="73" t="e">
        <f t="shared" si="148"/>
        <v>#VALUE!</v>
      </c>
      <c r="AN279" s="73" t="e">
        <f t="shared" si="149"/>
        <v>#VALUE!</v>
      </c>
      <c r="AO279" s="87"/>
      <c r="AP279" s="73" t="e">
        <f t="shared" si="150"/>
        <v>#VALUE!</v>
      </c>
      <c r="AQ279" s="73" t="e">
        <f t="shared" si="151"/>
        <v>#VALUE!</v>
      </c>
      <c r="AR279" s="87"/>
      <c r="AS279" s="73" t="e">
        <f t="shared" si="152"/>
        <v>#VALUE!</v>
      </c>
      <c r="AT279" s="73" t="e">
        <f t="shared" si="153"/>
        <v>#VALUE!</v>
      </c>
      <c r="AV279" s="73" t="e">
        <f t="shared" si="154"/>
        <v>#VALUE!</v>
      </c>
      <c r="AW279" s="73" t="e">
        <f t="shared" si="155"/>
        <v>#VALUE!</v>
      </c>
      <c r="AX279" s="87"/>
      <c r="AY279" s="73" t="e">
        <f t="shared" si="156"/>
        <v>#VALUE!</v>
      </c>
      <c r="AZ279" s="73" t="e">
        <f t="shared" si="157"/>
        <v>#VALUE!</v>
      </c>
      <c r="BA279" s="87"/>
      <c r="BB279" s="73" t="e">
        <f t="shared" si="158"/>
        <v>#VALUE!</v>
      </c>
      <c r="BC279" s="73" t="e">
        <f t="shared" si="159"/>
        <v>#VALUE!</v>
      </c>
    </row>
    <row r="280" spans="1:55" s="86" customFormat="1" ht="25" customHeight="1" thickBot="1">
      <c r="A280" s="467" t="str">
        <f>IF('TECH DATA ENTRY'!A297="","",'TECH DATA ENTRY'!A297)</f>
        <v>10 kHz</v>
      </c>
      <c r="B280" s="472">
        <f>IF('TECH DATA ENTRY'!B297="","",'TECH DATA ENTRY'!B297)</f>
        <v>10</v>
      </c>
      <c r="C280" s="578">
        <f>IF(B280="","",IFERROR('TECH DATA ENTRY'!F297,"NA"))</f>
        <v>9.9550000000000001</v>
      </c>
      <c r="D280" s="578" t="str">
        <f>IF('TECH DATA ENTRY'!L297="","",'TECH DATA ENTRY'!L297)</f>
        <v/>
      </c>
      <c r="E280" s="578" t="str">
        <f t="shared" si="131"/>
        <v/>
      </c>
      <c r="F280" s="578">
        <f>IF(B280="","",IFERROR('TECH DATA ENTRY'!G297,"NA"))</f>
        <v>10.045</v>
      </c>
      <c r="G280" s="579" t="str">
        <f t="shared" si="132"/>
        <v/>
      </c>
      <c r="H280" s="578" t="str">
        <f>IF(OR(ISTEXT(B280)=TRUE, D280="NA",D280=""),"NA", roundsf(MAX(L280,M280),C280))</f>
        <v>NA</v>
      </c>
      <c r="I280" s="575" t="str">
        <f t="shared" si="133"/>
        <v>NA</v>
      </c>
      <c r="J280" s="299"/>
      <c r="K280" s="245"/>
      <c r="L280" s="506">
        <f>(1/1000)*B280+(40/1000000)</f>
        <v>1.004E-2</v>
      </c>
      <c r="M280" s="244" t="str">
        <f>UNC_CALCULATION!AM269</f>
        <v>NA</v>
      </c>
      <c r="N280" s="85"/>
      <c r="O280" s="58"/>
      <c r="P280" s="69" t="e">
        <f>IF(B280="","",INDEX('AUX TABLES'!$G$4:$K$8,AV280,AW280))</f>
        <v>#VALUE!</v>
      </c>
      <c r="Q280" s="150" t="e">
        <f>IF(AJ$11=FALSE,IF(B280="","",IF(AJ280="NA",P280,INDEX('AUX TABLES'!$G$4:$K$8,AY280,AZ280))),IF(P280="FAIL",P280,INDEX('AUX TABLES'!$G$4:$K$8,AY280,AZ280)))</f>
        <v>#VALUE!</v>
      </c>
      <c r="R280" s="150" t="e">
        <f>IF(AJ$11=FALSE,IF(B280="","",IF(AJ280="NA",P280,INDEX('AUX TABLES'!$G$4:$K$8,BB280,BC280))),IF(P280="FAIL",P280,INDEX('AUX TABLES'!$G$4:$K$8,BB280,BC280)))</f>
        <v>#VALUE!</v>
      </c>
      <c r="S280" s="69" t="e">
        <f>INDEX('AUX TABLES'!$G$4:$K$8,AM280,AN280)</f>
        <v>#VALUE!</v>
      </c>
      <c r="T280" s="69" t="e">
        <f>IF(AJ$11=FALSE,IF(AJ280="NA",S280,INDEX('AUX TABLES'!$G$4:$K$8,AP280,AQ280)),IF(S280="FAIL",S280,INDEX('AUX TABLES'!$G$4:$K$8,AP280,AQ280)))</f>
        <v>#VALUE!</v>
      </c>
      <c r="U280" s="150" t="e">
        <f>IF(AJ$11=FALSE,IF(AJ280="NA",S280,INDEX('AUX TABLES'!$G$4:$K$8,AS280,AT280)),IF(S280="FAIL",S280,INDEX('AUX TABLES'!$G$4:$K$8,AS280,AT280)))</f>
        <v>#VALUE!</v>
      </c>
      <c r="V280" s="150" t="str">
        <f t="shared" si="134"/>
        <v/>
      </c>
      <c r="W280" s="74">
        <f t="shared" si="135"/>
        <v>10.045</v>
      </c>
      <c r="X280" s="74" t="str">
        <f t="shared" si="136"/>
        <v>NA</v>
      </c>
      <c r="Y280" s="74" t="str">
        <f t="shared" si="137"/>
        <v>NA</v>
      </c>
      <c r="Z280" s="74" t="str">
        <f t="shared" si="138"/>
        <v>NA</v>
      </c>
      <c r="AA280" s="74" t="str">
        <f t="shared" si="139"/>
        <v>NA</v>
      </c>
      <c r="AB280" s="74">
        <f t="shared" si="140"/>
        <v>9.9550000000000001</v>
      </c>
      <c r="AC280" s="69" t="str">
        <f>IF(ISTEXT('TECH DATA ENTRY'!L297)=TRUE,"NA",'TECH DATA ENTRY'!H297)</f>
        <v>NA</v>
      </c>
      <c r="AD280" s="69" t="str">
        <f t="shared" si="141"/>
        <v>NA</v>
      </c>
      <c r="AE280" s="69" t="str">
        <f t="shared" si="142"/>
        <v>NA</v>
      </c>
      <c r="AF280" s="69" t="e">
        <f t="shared" si="143"/>
        <v>#VALUE!</v>
      </c>
      <c r="AG280" s="69" t="e">
        <f t="shared" si="144"/>
        <v>#VALUE!</v>
      </c>
      <c r="AH280" s="69" t="e">
        <f t="shared" si="145"/>
        <v>#VALUE!</v>
      </c>
      <c r="AI280" s="69" t="e">
        <f t="shared" si="146"/>
        <v>#VALUE!</v>
      </c>
      <c r="AJ280" s="70" t="str">
        <f>IF(OR(ISTEXT('TECH DATA ENTRY'!L297)=TRUE,ISTEXT('TECH DATA ENTRY'!F297)=TRUE,ISTEXT('TECH DATA ENTRY'!G297)=TRUE),"NA",(W280-AB280)/(2*MAX(M280,L280)))</f>
        <v>NA</v>
      </c>
      <c r="AK280" s="69" t="str">
        <f t="shared" si="147"/>
        <v>NA</v>
      </c>
      <c r="AM280" s="73" t="e">
        <f t="shared" si="148"/>
        <v>#VALUE!</v>
      </c>
      <c r="AN280" s="73" t="e">
        <f t="shared" si="149"/>
        <v>#VALUE!</v>
      </c>
      <c r="AO280" s="87"/>
      <c r="AP280" s="73" t="e">
        <f t="shared" si="150"/>
        <v>#VALUE!</v>
      </c>
      <c r="AQ280" s="73" t="e">
        <f t="shared" si="151"/>
        <v>#VALUE!</v>
      </c>
      <c r="AR280" s="87"/>
      <c r="AS280" s="73" t="e">
        <f t="shared" si="152"/>
        <v>#VALUE!</v>
      </c>
      <c r="AT280" s="73" t="e">
        <f t="shared" si="153"/>
        <v>#VALUE!</v>
      </c>
      <c r="AV280" s="73" t="e">
        <f t="shared" si="154"/>
        <v>#VALUE!</v>
      </c>
      <c r="AW280" s="73" t="e">
        <f t="shared" si="155"/>
        <v>#VALUE!</v>
      </c>
      <c r="AX280" s="87"/>
      <c r="AY280" s="73" t="e">
        <f t="shared" si="156"/>
        <v>#VALUE!</v>
      </c>
      <c r="AZ280" s="73" t="e">
        <f t="shared" si="157"/>
        <v>#VALUE!</v>
      </c>
      <c r="BA280" s="87"/>
      <c r="BB280" s="73" t="e">
        <f t="shared" si="158"/>
        <v>#VALUE!</v>
      </c>
      <c r="BC280" s="73" t="e">
        <f t="shared" si="159"/>
        <v>#VALUE!</v>
      </c>
    </row>
    <row r="281" spans="1:55" s="296" customFormat="1" ht="28.15" customHeight="1">
      <c r="A281" s="550" t="str">
        <f>IF('TECH DATA ENTRY'!A298="","",'TECH DATA ENTRY'!A298)</f>
        <v/>
      </c>
      <c r="B281" s="551"/>
      <c r="C281" s="552"/>
      <c r="D281" s="551"/>
      <c r="E281" s="551"/>
      <c r="F281" s="551"/>
      <c r="G281" s="552"/>
      <c r="H281" s="551"/>
      <c r="I281" s="553"/>
      <c r="J281" s="224"/>
      <c r="K281" s="224"/>
      <c r="L281" s="224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AK281" s="297"/>
    </row>
    <row r="282" spans="1:55" s="31" customFormat="1" ht="22.15" customHeight="1">
      <c r="A282" s="76" t="str">
        <f>IF('TECH DATA ENTRY'!A299="","",'TECH DATA ENTRY'!A299)</f>
        <v>Range 100 mA</v>
      </c>
      <c r="H282" s="321"/>
      <c r="O282" s="77"/>
      <c r="AK282" s="1"/>
      <c r="AM282" s="637" t="s">
        <v>116</v>
      </c>
      <c r="AN282" s="637"/>
      <c r="AO282" s="637"/>
      <c r="AP282" s="637"/>
      <c r="AQ282" s="637"/>
      <c r="AR282" s="637"/>
      <c r="AS282" s="637"/>
      <c r="AT282" s="637"/>
      <c r="AV282" s="637" t="s">
        <v>117</v>
      </c>
      <c r="AW282" s="637"/>
      <c r="AX282" s="637"/>
      <c r="AY282" s="637"/>
      <c r="AZ282" s="637"/>
      <c r="BA282" s="637"/>
      <c r="BB282" s="637"/>
      <c r="BC282" s="637"/>
    </row>
    <row r="283" spans="1:55" s="225" customFormat="1" ht="4.9000000000000004" customHeight="1" thickBot="1">
      <c r="A283" s="288" t="str">
        <f>IF('TECH DATA ENTRY'!A300="","",'TECH DATA ENTRY'!A300)</f>
        <v/>
      </c>
      <c r="K283" s="239"/>
      <c r="L283" s="239"/>
      <c r="AK283" s="240"/>
    </row>
    <row r="284" spans="1:55" s="285" customFormat="1" ht="20.149999999999999" customHeight="1">
      <c r="A284" s="644" t="str">
        <f>IF('TECH DATA ENTRY'!A301="","",'TECH DATA ENTRY'!A301)</f>
        <v>Frequency</v>
      </c>
      <c r="B284" s="646" t="str">
        <f>IF('TECH DATA ENTRY'!B301="","",'TECH DATA ENTRY'!B301)</f>
        <v>Nominal</v>
      </c>
      <c r="C284" s="648" t="s">
        <v>2</v>
      </c>
      <c r="D284" s="648" t="str">
        <f>IF(LEFT(P$11,3)="ROV", "Measured Value", "As Found")</f>
        <v>As Found</v>
      </c>
      <c r="E284" s="648" t="str">
        <f>IF(LEFT(P$11,3)="ROV", "Correction", "As Left")</f>
        <v>As Left</v>
      </c>
      <c r="F284" s="648" t="s">
        <v>3</v>
      </c>
      <c r="G284" s="653" t="s">
        <v>4</v>
      </c>
      <c r="H284" s="659" t="s">
        <v>30</v>
      </c>
      <c r="I284" s="661" t="s">
        <v>28</v>
      </c>
      <c r="J284" s="284"/>
      <c r="L284" s="658" t="s">
        <v>38</v>
      </c>
      <c r="M284" s="616" t="s">
        <v>31</v>
      </c>
      <c r="N284" s="281"/>
      <c r="O284" s="286"/>
      <c r="P284" s="640" t="s">
        <v>136</v>
      </c>
      <c r="Q284" s="641"/>
      <c r="R284" s="642"/>
      <c r="S284" s="638" t="s">
        <v>115</v>
      </c>
      <c r="T284" s="638"/>
      <c r="U284" s="638"/>
      <c r="V284" s="638"/>
      <c r="W284" s="640" t="s">
        <v>64</v>
      </c>
      <c r="X284" s="641"/>
      <c r="Y284" s="641"/>
      <c r="Z284" s="641"/>
      <c r="AA284" s="641"/>
      <c r="AB284" s="642"/>
      <c r="AC284" s="638" t="s">
        <v>97</v>
      </c>
      <c r="AD284" s="638"/>
      <c r="AE284" s="638"/>
      <c r="AF284" s="638" t="s">
        <v>127</v>
      </c>
      <c r="AG284" s="638"/>
      <c r="AH284" s="638" t="s">
        <v>128</v>
      </c>
      <c r="AI284" s="638"/>
      <c r="AJ284" s="638" t="s">
        <v>28</v>
      </c>
      <c r="AK284" s="638" t="s">
        <v>121</v>
      </c>
      <c r="AL284" s="308"/>
      <c r="AM284" s="639" t="s">
        <v>122</v>
      </c>
      <c r="AN284" s="639"/>
      <c r="AO284" s="308"/>
      <c r="AP284" s="639" t="s">
        <v>119</v>
      </c>
      <c r="AQ284" s="639"/>
      <c r="AR284" s="308"/>
      <c r="AS284" s="639" t="s">
        <v>120</v>
      </c>
      <c r="AT284" s="639"/>
      <c r="AU284" s="308"/>
      <c r="AV284" s="639" t="s">
        <v>122</v>
      </c>
      <c r="AW284" s="639"/>
      <c r="AX284" s="308"/>
      <c r="AY284" s="639" t="s">
        <v>119</v>
      </c>
      <c r="AZ284" s="639"/>
      <c r="BA284" s="308"/>
      <c r="BB284" s="639" t="s">
        <v>120</v>
      </c>
      <c r="BC284" s="639"/>
    </row>
    <row r="285" spans="1:55" s="285" customFormat="1" ht="20.149999999999999" customHeight="1" thickBot="1">
      <c r="A285" s="645"/>
      <c r="B285" s="647"/>
      <c r="C285" s="649"/>
      <c r="D285" s="649"/>
      <c r="E285" s="649"/>
      <c r="F285" s="649"/>
      <c r="G285" s="654"/>
      <c r="H285" s="660"/>
      <c r="I285" s="662"/>
      <c r="J285" s="284"/>
      <c r="L285" s="649"/>
      <c r="M285" s="617"/>
      <c r="O285" s="281"/>
      <c r="P285" s="309" t="s">
        <v>122</v>
      </c>
      <c r="Q285" s="309" t="s">
        <v>119</v>
      </c>
      <c r="R285" s="309" t="s">
        <v>120</v>
      </c>
      <c r="S285" s="309" t="s">
        <v>122</v>
      </c>
      <c r="T285" s="309" t="s">
        <v>119</v>
      </c>
      <c r="U285" s="309" t="s">
        <v>120</v>
      </c>
      <c r="V285" s="309" t="s">
        <v>118</v>
      </c>
      <c r="W285" s="309" t="s">
        <v>63</v>
      </c>
      <c r="X285" s="309" t="s">
        <v>69</v>
      </c>
      <c r="Y285" s="309" t="s">
        <v>71</v>
      </c>
      <c r="Z285" s="309" t="s">
        <v>72</v>
      </c>
      <c r="AA285" s="309" t="s">
        <v>70</v>
      </c>
      <c r="AB285" s="309" t="s">
        <v>75</v>
      </c>
      <c r="AC285" s="309" t="s">
        <v>78</v>
      </c>
      <c r="AD285" s="309" t="s">
        <v>119</v>
      </c>
      <c r="AE285" s="309" t="s">
        <v>120</v>
      </c>
      <c r="AF285" s="309" t="s">
        <v>129</v>
      </c>
      <c r="AG285" s="309" t="s">
        <v>130</v>
      </c>
      <c r="AH285" s="309" t="s">
        <v>129</v>
      </c>
      <c r="AI285" s="309" t="s">
        <v>130</v>
      </c>
      <c r="AJ285" s="652"/>
      <c r="AK285" s="652"/>
      <c r="AL285" s="308"/>
      <c r="AM285" s="310" t="s">
        <v>67</v>
      </c>
      <c r="AN285" s="310" t="s">
        <v>68</v>
      </c>
      <c r="AO285" s="308"/>
      <c r="AP285" s="310" t="s">
        <v>67</v>
      </c>
      <c r="AQ285" s="310" t="s">
        <v>68</v>
      </c>
      <c r="AR285" s="308"/>
      <c r="AS285" s="310" t="s">
        <v>67</v>
      </c>
      <c r="AT285" s="310" t="s">
        <v>68</v>
      </c>
      <c r="AU285" s="308"/>
      <c r="AV285" s="310" t="s">
        <v>67</v>
      </c>
      <c r="AW285" s="310" t="s">
        <v>68</v>
      </c>
      <c r="AX285" s="308"/>
      <c r="AY285" s="310" t="s">
        <v>67</v>
      </c>
      <c r="AZ285" s="310" t="s">
        <v>68</v>
      </c>
      <c r="BA285" s="308"/>
      <c r="BB285" s="310" t="s">
        <v>67</v>
      </c>
      <c r="BC285" s="310" t="s">
        <v>68</v>
      </c>
    </row>
    <row r="286" spans="1:55" s="86" customFormat="1" ht="25" customHeight="1" thickTop="1">
      <c r="A286" s="466" t="str">
        <f>IF('TECH DATA ENTRY'!A303="","",'TECH DATA ENTRY'!A303)</f>
        <v>10 Hz</v>
      </c>
      <c r="B286" s="405">
        <f>IF('TECH DATA ENTRY'!B303="","",'TECH DATA ENTRY'!B303)</f>
        <v>100</v>
      </c>
      <c r="C286" s="563">
        <f>IF(B286="","",IFERROR('TECH DATA ENTRY'!F303,"NA"))</f>
        <v>99.86</v>
      </c>
      <c r="D286" s="563" t="str">
        <f>IF('TECH DATA ENTRY'!L303="","",'TECH DATA ENTRY'!L303)</f>
        <v/>
      </c>
      <c r="E286" s="563" t="str">
        <f t="shared" si="131"/>
        <v/>
      </c>
      <c r="F286" s="563">
        <f>IF(B286="","",IFERROR('TECH DATA ENTRY'!G303,"NA"))</f>
        <v>100.14</v>
      </c>
      <c r="G286" s="564" t="str">
        <f t="shared" si="132"/>
        <v/>
      </c>
      <c r="H286" s="563" t="str">
        <f>IF(OR(ISTEXT(B286)=TRUE, D286="NA",D286=""),"NA", roundsf(MAX(L286,M286),C286))</f>
        <v>NA</v>
      </c>
      <c r="I286" s="558" t="str">
        <f t="shared" si="133"/>
        <v>NA</v>
      </c>
      <c r="J286" s="299"/>
      <c r="K286" s="245"/>
      <c r="L286" s="506">
        <f>(267/1000000)*B286+(4/1000)</f>
        <v>3.0699999999999998E-2</v>
      </c>
      <c r="M286" s="244" t="str">
        <f>UNC_CALCULATION!AM275</f>
        <v>NA</v>
      </c>
      <c r="N286" s="85"/>
      <c r="O286" s="58"/>
      <c r="P286" s="69" t="e">
        <f>IF(B286="","",INDEX('AUX TABLES'!$G$4:$K$8,AV286,AW286))</f>
        <v>#VALUE!</v>
      </c>
      <c r="Q286" s="150" t="e">
        <f>IF(AJ$11=FALSE,IF(B286="","",IF(AJ286="NA",P286,INDEX('AUX TABLES'!$G$4:$K$8,AY286,AZ286))),IF(P286="FAIL",P286,INDEX('AUX TABLES'!$G$4:$K$8,AY286,AZ286)))</f>
        <v>#VALUE!</v>
      </c>
      <c r="R286" s="150" t="e">
        <f>IF(AJ$11=FALSE,IF(B286="","",IF(AJ286="NA",P286,INDEX('AUX TABLES'!$G$4:$K$8,BB286,BC286))),IF(P286="FAIL",P286,INDEX('AUX TABLES'!$G$4:$K$8,BB286,BC286)))</f>
        <v>#VALUE!</v>
      </c>
      <c r="S286" s="69" t="e">
        <f>INDEX('AUX TABLES'!$G$4:$K$8,AM286,AN286)</f>
        <v>#VALUE!</v>
      </c>
      <c r="T286" s="69" t="e">
        <f>IF(AJ$11=FALSE,IF(AJ286="NA",S286,INDEX('AUX TABLES'!$G$4:$K$8,AP286,AQ286)),IF(S286="FAIL",S286,INDEX('AUX TABLES'!$G$4:$K$8,AP286,AQ286)))</f>
        <v>#VALUE!</v>
      </c>
      <c r="U286" s="150" t="e">
        <f>IF(AJ$11=FALSE,IF(AJ286="NA",S286,INDEX('AUX TABLES'!$G$4:$K$8,AS286,AT286)),IF(S286="FAIL",S286,INDEX('AUX TABLES'!$G$4:$K$8,AS286,AT286)))</f>
        <v>#VALUE!</v>
      </c>
      <c r="V286" s="150" t="str">
        <f t="shared" si="134"/>
        <v/>
      </c>
      <c r="W286" s="74">
        <f t="shared" si="135"/>
        <v>100.14</v>
      </c>
      <c r="X286" s="74" t="str">
        <f t="shared" si="136"/>
        <v>NA</v>
      </c>
      <c r="Y286" s="74" t="str">
        <f t="shared" si="137"/>
        <v>NA</v>
      </c>
      <c r="Z286" s="74" t="str">
        <f t="shared" si="138"/>
        <v>NA</v>
      </c>
      <c r="AA286" s="74" t="str">
        <f t="shared" si="139"/>
        <v>NA</v>
      </c>
      <c r="AB286" s="74">
        <f t="shared" si="140"/>
        <v>99.86</v>
      </c>
      <c r="AC286" s="69" t="str">
        <f>IF(ISTEXT('TECH DATA ENTRY'!L303)=TRUE,"NA",'TECH DATA ENTRY'!H303)</f>
        <v>NA</v>
      </c>
      <c r="AD286" s="69" t="str">
        <f t="shared" si="141"/>
        <v>NA</v>
      </c>
      <c r="AE286" s="69" t="str">
        <f t="shared" si="142"/>
        <v>NA</v>
      </c>
      <c r="AF286" s="69" t="e">
        <f t="shared" si="143"/>
        <v>#VALUE!</v>
      </c>
      <c r="AG286" s="69" t="e">
        <f t="shared" si="144"/>
        <v>#VALUE!</v>
      </c>
      <c r="AH286" s="69" t="e">
        <f t="shared" si="145"/>
        <v>#VALUE!</v>
      </c>
      <c r="AI286" s="69" t="e">
        <f t="shared" si="146"/>
        <v>#VALUE!</v>
      </c>
      <c r="AJ286" s="70" t="str">
        <f>IF(OR(ISTEXT('TECH DATA ENTRY'!L303)=TRUE,ISTEXT('TECH DATA ENTRY'!F303)=TRUE,ISTEXT('TECH DATA ENTRY'!G303)=TRUE),"NA",(W286-AB286)/(2*MAX(M286,L286)))</f>
        <v>NA</v>
      </c>
      <c r="AK286" s="69" t="str">
        <f t="shared" si="147"/>
        <v>NA</v>
      </c>
      <c r="AM286" s="73" t="e">
        <f t="shared" si="148"/>
        <v>#VALUE!</v>
      </c>
      <c r="AN286" s="73" t="e">
        <f t="shared" si="149"/>
        <v>#VALUE!</v>
      </c>
      <c r="AO286" s="87"/>
      <c r="AP286" s="73" t="e">
        <f t="shared" si="150"/>
        <v>#VALUE!</v>
      </c>
      <c r="AQ286" s="73" t="e">
        <f t="shared" si="151"/>
        <v>#VALUE!</v>
      </c>
      <c r="AR286" s="87"/>
      <c r="AS286" s="73" t="e">
        <f t="shared" si="152"/>
        <v>#VALUE!</v>
      </c>
      <c r="AT286" s="73" t="e">
        <f t="shared" si="153"/>
        <v>#VALUE!</v>
      </c>
      <c r="AV286" s="73" t="e">
        <f t="shared" si="154"/>
        <v>#VALUE!</v>
      </c>
      <c r="AW286" s="73" t="e">
        <f t="shared" si="155"/>
        <v>#VALUE!</v>
      </c>
      <c r="AX286" s="87"/>
      <c r="AY286" s="73" t="e">
        <f t="shared" si="156"/>
        <v>#VALUE!</v>
      </c>
      <c r="AZ286" s="73" t="e">
        <f t="shared" si="157"/>
        <v>#VALUE!</v>
      </c>
      <c r="BA286" s="87"/>
      <c r="BB286" s="73" t="e">
        <f t="shared" si="158"/>
        <v>#VALUE!</v>
      </c>
      <c r="BC286" s="73" t="e">
        <f t="shared" si="159"/>
        <v>#VALUE!</v>
      </c>
    </row>
    <row r="287" spans="1:55" s="86" customFormat="1" ht="25" customHeight="1">
      <c r="A287" s="466" t="str">
        <f>IF('TECH DATA ENTRY'!A304="","",'TECH DATA ENTRY'!A304)</f>
        <v>1 kHz</v>
      </c>
      <c r="B287" s="405">
        <f>IF('TECH DATA ENTRY'!B304="","",'TECH DATA ENTRY'!B304)</f>
        <v>100</v>
      </c>
      <c r="C287" s="405">
        <f>IF(B287="","",IFERROR('TECH DATA ENTRY'!F304,"NA"))</f>
        <v>99.86</v>
      </c>
      <c r="D287" s="405" t="str">
        <f>IF('TECH DATA ENTRY'!L304="","",'TECH DATA ENTRY'!L304)</f>
        <v/>
      </c>
      <c r="E287" s="405" t="str">
        <f t="shared" si="131"/>
        <v/>
      </c>
      <c r="F287" s="405">
        <f>IF(B287="","",IFERROR('TECH DATA ENTRY'!G304,"NA"))</f>
        <v>100.14</v>
      </c>
      <c r="G287" s="593" t="str">
        <f t="shared" si="132"/>
        <v/>
      </c>
      <c r="H287" s="405" t="str">
        <f>IF(OR(ISTEXT(B287)=TRUE, D287="NA",D287=""),"NA", roundsf(MAX(L287,M287),C287))</f>
        <v>NA</v>
      </c>
      <c r="I287" s="325" t="str">
        <f t="shared" si="133"/>
        <v>NA</v>
      </c>
      <c r="J287" s="299"/>
      <c r="K287" s="245"/>
      <c r="L287" s="506">
        <f>(132/1000000)*B287+(2.5/1000)</f>
        <v>1.5700000000000002E-2</v>
      </c>
      <c r="M287" s="244" t="str">
        <f>UNC_CALCULATION!AM276</f>
        <v>NA</v>
      </c>
      <c r="N287" s="85"/>
      <c r="O287" s="58"/>
      <c r="P287" s="69" t="e">
        <f>IF(B287="","",INDEX('AUX TABLES'!$G$4:$K$8,AV287,AW287))</f>
        <v>#VALUE!</v>
      </c>
      <c r="Q287" s="150" t="e">
        <f>IF(AJ$11=FALSE,IF(B287="","",IF(AJ287="NA",P287,INDEX('AUX TABLES'!$G$4:$K$8,AY287,AZ287))),IF(P287="FAIL",P287,INDEX('AUX TABLES'!$G$4:$K$8,AY287,AZ287)))</f>
        <v>#VALUE!</v>
      </c>
      <c r="R287" s="150" t="e">
        <f>IF(AJ$11=FALSE,IF(B287="","",IF(AJ287="NA",P287,INDEX('AUX TABLES'!$G$4:$K$8,BB287,BC287))),IF(P287="FAIL",P287,INDEX('AUX TABLES'!$G$4:$K$8,BB287,BC287)))</f>
        <v>#VALUE!</v>
      </c>
      <c r="S287" s="69" t="e">
        <f>INDEX('AUX TABLES'!$G$4:$K$8,AM287,AN287)</f>
        <v>#VALUE!</v>
      </c>
      <c r="T287" s="69" t="e">
        <f>IF(AJ$11=FALSE,IF(AJ287="NA",S287,INDEX('AUX TABLES'!$G$4:$K$8,AP287,AQ287)),IF(S287="FAIL",S287,INDEX('AUX TABLES'!$G$4:$K$8,AP287,AQ287)))</f>
        <v>#VALUE!</v>
      </c>
      <c r="U287" s="150" t="e">
        <f>IF(AJ$11=FALSE,IF(AJ287="NA",S287,INDEX('AUX TABLES'!$G$4:$K$8,AS287,AT287)),IF(S287="FAIL",S287,INDEX('AUX TABLES'!$G$4:$K$8,AS287,AT287)))</f>
        <v>#VALUE!</v>
      </c>
      <c r="V287" s="150" t="str">
        <f t="shared" si="134"/>
        <v/>
      </c>
      <c r="W287" s="74">
        <f t="shared" si="135"/>
        <v>100.14</v>
      </c>
      <c r="X287" s="74" t="str">
        <f t="shared" si="136"/>
        <v>NA</v>
      </c>
      <c r="Y287" s="74" t="str">
        <f t="shared" si="137"/>
        <v>NA</v>
      </c>
      <c r="Z287" s="74" t="str">
        <f t="shared" si="138"/>
        <v>NA</v>
      </c>
      <c r="AA287" s="74" t="str">
        <f t="shared" si="139"/>
        <v>NA</v>
      </c>
      <c r="AB287" s="74">
        <f t="shared" si="140"/>
        <v>99.86</v>
      </c>
      <c r="AC287" s="69" t="str">
        <f>IF(ISTEXT('TECH DATA ENTRY'!L304)=TRUE,"NA",'TECH DATA ENTRY'!H304)</f>
        <v>NA</v>
      </c>
      <c r="AD287" s="69" t="str">
        <f t="shared" si="141"/>
        <v>NA</v>
      </c>
      <c r="AE287" s="69" t="str">
        <f t="shared" si="142"/>
        <v>NA</v>
      </c>
      <c r="AF287" s="69" t="e">
        <f t="shared" si="143"/>
        <v>#VALUE!</v>
      </c>
      <c r="AG287" s="69" t="e">
        <f t="shared" si="144"/>
        <v>#VALUE!</v>
      </c>
      <c r="AH287" s="69" t="e">
        <f t="shared" si="145"/>
        <v>#VALUE!</v>
      </c>
      <c r="AI287" s="69" t="e">
        <f t="shared" si="146"/>
        <v>#VALUE!</v>
      </c>
      <c r="AJ287" s="70" t="str">
        <f>IF(OR(ISTEXT('TECH DATA ENTRY'!L304)=TRUE,ISTEXT('TECH DATA ENTRY'!F304)=TRUE,ISTEXT('TECH DATA ENTRY'!G304)=TRUE),"NA",(W287-AB287)/(2*MAX(M287,L287)))</f>
        <v>NA</v>
      </c>
      <c r="AK287" s="69" t="str">
        <f t="shared" si="147"/>
        <v>NA</v>
      </c>
      <c r="AM287" s="73" t="e">
        <f t="shared" si="148"/>
        <v>#VALUE!</v>
      </c>
      <c r="AN287" s="73" t="e">
        <f t="shared" si="149"/>
        <v>#VALUE!</v>
      </c>
      <c r="AO287" s="87"/>
      <c r="AP287" s="73" t="e">
        <f t="shared" si="150"/>
        <v>#VALUE!</v>
      </c>
      <c r="AQ287" s="73" t="e">
        <f t="shared" si="151"/>
        <v>#VALUE!</v>
      </c>
      <c r="AR287" s="87"/>
      <c r="AS287" s="73" t="e">
        <f t="shared" si="152"/>
        <v>#VALUE!</v>
      </c>
      <c r="AT287" s="73" t="e">
        <f t="shared" si="153"/>
        <v>#VALUE!</v>
      </c>
      <c r="AV287" s="73" t="e">
        <f t="shared" si="154"/>
        <v>#VALUE!</v>
      </c>
      <c r="AW287" s="73" t="e">
        <f t="shared" si="155"/>
        <v>#VALUE!</v>
      </c>
      <c r="AX287" s="87"/>
      <c r="AY287" s="73" t="e">
        <f t="shared" si="156"/>
        <v>#VALUE!</v>
      </c>
      <c r="AZ287" s="73" t="e">
        <f t="shared" si="157"/>
        <v>#VALUE!</v>
      </c>
      <c r="BA287" s="87"/>
      <c r="BB287" s="73" t="e">
        <f t="shared" si="158"/>
        <v>#VALUE!</v>
      </c>
      <c r="BC287" s="73" t="e">
        <f t="shared" si="159"/>
        <v>#VALUE!</v>
      </c>
    </row>
    <row r="288" spans="1:55" s="86" customFormat="1" ht="25" customHeight="1">
      <c r="A288" s="466" t="str">
        <f>IF('TECH DATA ENTRY'!A305="","",'TECH DATA ENTRY'!A305)</f>
        <v>5 kHz</v>
      </c>
      <c r="B288" s="405">
        <f>IF('TECH DATA ENTRY'!B305="","",'TECH DATA ENTRY'!B305)</f>
        <v>100</v>
      </c>
      <c r="C288" s="405">
        <f>IF(B288="","",IFERROR('TECH DATA ENTRY'!F305,"NA"))</f>
        <v>99.86</v>
      </c>
      <c r="D288" s="405" t="str">
        <f>IF('TECH DATA ENTRY'!L305="","",'TECH DATA ENTRY'!L305)</f>
        <v/>
      </c>
      <c r="E288" s="405" t="str">
        <f t="shared" si="131"/>
        <v/>
      </c>
      <c r="F288" s="405">
        <f>IF(B288="","",IFERROR('TECH DATA ENTRY'!G305,"NA"))</f>
        <v>100.14</v>
      </c>
      <c r="G288" s="593" t="str">
        <f t="shared" si="132"/>
        <v/>
      </c>
      <c r="H288" s="405" t="str">
        <f>IF(OR(ISTEXT(B288)=TRUE, D288="NA",D288=""),"NA", roundsf(MAX(L288,M288),C288))</f>
        <v>NA</v>
      </c>
      <c r="I288" s="325" t="str">
        <f t="shared" si="133"/>
        <v>NA</v>
      </c>
      <c r="J288" s="299"/>
      <c r="K288" s="245"/>
      <c r="L288" s="506">
        <f>(209/1000000)*B288+(3.5/1000)</f>
        <v>2.4400000000000002E-2</v>
      </c>
      <c r="M288" s="244" t="str">
        <f>UNC_CALCULATION!AM277</f>
        <v>NA</v>
      </c>
      <c r="N288" s="85"/>
      <c r="O288" s="58"/>
      <c r="P288" s="69" t="e">
        <f>IF(B288="","",INDEX('AUX TABLES'!$G$4:$K$8,AV288,AW288))</f>
        <v>#VALUE!</v>
      </c>
      <c r="Q288" s="150" t="e">
        <f>IF(AJ$11=FALSE,IF(B288="","",IF(AJ288="NA",P288,INDEX('AUX TABLES'!$G$4:$K$8,AY288,AZ288))),IF(P288="FAIL",P288,INDEX('AUX TABLES'!$G$4:$K$8,AY288,AZ288)))</f>
        <v>#VALUE!</v>
      </c>
      <c r="R288" s="150" t="e">
        <f>IF(AJ$11=FALSE,IF(B288="","",IF(AJ288="NA",P288,INDEX('AUX TABLES'!$G$4:$K$8,BB288,BC288))),IF(P288="FAIL",P288,INDEX('AUX TABLES'!$G$4:$K$8,BB288,BC288)))</f>
        <v>#VALUE!</v>
      </c>
      <c r="S288" s="69" t="e">
        <f>INDEX('AUX TABLES'!$G$4:$K$8,AM288,AN288)</f>
        <v>#VALUE!</v>
      </c>
      <c r="T288" s="69" t="e">
        <f>IF(AJ$11=FALSE,IF(AJ288="NA",S288,INDEX('AUX TABLES'!$G$4:$K$8,AP288,AQ288)),IF(S288="FAIL",S288,INDEX('AUX TABLES'!$G$4:$K$8,AP288,AQ288)))</f>
        <v>#VALUE!</v>
      </c>
      <c r="U288" s="150" t="e">
        <f>IF(AJ$11=FALSE,IF(AJ288="NA",S288,INDEX('AUX TABLES'!$G$4:$K$8,AS288,AT288)),IF(S288="FAIL",S288,INDEX('AUX TABLES'!$G$4:$K$8,AS288,AT288)))</f>
        <v>#VALUE!</v>
      </c>
      <c r="V288" s="150" t="str">
        <f t="shared" si="134"/>
        <v/>
      </c>
      <c r="W288" s="74">
        <f t="shared" si="135"/>
        <v>100.14</v>
      </c>
      <c r="X288" s="74" t="str">
        <f t="shared" si="136"/>
        <v>NA</v>
      </c>
      <c r="Y288" s="74" t="str">
        <f t="shared" si="137"/>
        <v>NA</v>
      </c>
      <c r="Z288" s="74" t="str">
        <f t="shared" si="138"/>
        <v>NA</v>
      </c>
      <c r="AA288" s="74" t="str">
        <f t="shared" si="139"/>
        <v>NA</v>
      </c>
      <c r="AB288" s="74">
        <f t="shared" si="140"/>
        <v>99.86</v>
      </c>
      <c r="AC288" s="69" t="str">
        <f>IF(ISTEXT('TECH DATA ENTRY'!L305)=TRUE,"NA",'TECH DATA ENTRY'!H305)</f>
        <v>NA</v>
      </c>
      <c r="AD288" s="69" t="str">
        <f t="shared" si="141"/>
        <v>NA</v>
      </c>
      <c r="AE288" s="69" t="str">
        <f t="shared" si="142"/>
        <v>NA</v>
      </c>
      <c r="AF288" s="69" t="e">
        <f t="shared" si="143"/>
        <v>#VALUE!</v>
      </c>
      <c r="AG288" s="69" t="e">
        <f t="shared" si="144"/>
        <v>#VALUE!</v>
      </c>
      <c r="AH288" s="69" t="e">
        <f t="shared" si="145"/>
        <v>#VALUE!</v>
      </c>
      <c r="AI288" s="69" t="e">
        <f t="shared" si="146"/>
        <v>#VALUE!</v>
      </c>
      <c r="AJ288" s="70" t="str">
        <f>IF(OR(ISTEXT('TECH DATA ENTRY'!L305)=TRUE,ISTEXT('TECH DATA ENTRY'!F305)=TRUE,ISTEXT('TECH DATA ENTRY'!G305)=TRUE),"NA",(W288-AB288)/(2*MAX(M288,L288)))</f>
        <v>NA</v>
      </c>
      <c r="AK288" s="69" t="str">
        <f t="shared" si="147"/>
        <v>NA</v>
      </c>
      <c r="AM288" s="73" t="e">
        <f t="shared" si="148"/>
        <v>#VALUE!</v>
      </c>
      <c r="AN288" s="73" t="e">
        <f t="shared" si="149"/>
        <v>#VALUE!</v>
      </c>
      <c r="AO288" s="87"/>
      <c r="AP288" s="73" t="e">
        <f t="shared" si="150"/>
        <v>#VALUE!</v>
      </c>
      <c r="AQ288" s="73" t="e">
        <f t="shared" si="151"/>
        <v>#VALUE!</v>
      </c>
      <c r="AR288" s="87"/>
      <c r="AS288" s="73" t="e">
        <f t="shared" si="152"/>
        <v>#VALUE!</v>
      </c>
      <c r="AT288" s="73" t="e">
        <f t="shared" si="153"/>
        <v>#VALUE!</v>
      </c>
      <c r="AV288" s="73" t="e">
        <f t="shared" si="154"/>
        <v>#VALUE!</v>
      </c>
      <c r="AW288" s="73" t="e">
        <f t="shared" si="155"/>
        <v>#VALUE!</v>
      </c>
      <c r="AX288" s="87"/>
      <c r="AY288" s="73" t="e">
        <f t="shared" si="156"/>
        <v>#VALUE!</v>
      </c>
      <c r="AZ288" s="73" t="e">
        <f t="shared" si="157"/>
        <v>#VALUE!</v>
      </c>
      <c r="BA288" s="87"/>
      <c r="BB288" s="73" t="e">
        <f t="shared" si="158"/>
        <v>#VALUE!</v>
      </c>
      <c r="BC288" s="73" t="e">
        <f t="shared" si="159"/>
        <v>#VALUE!</v>
      </c>
    </row>
    <row r="289" spans="1:55" s="86" customFormat="1" ht="25" customHeight="1" thickBot="1">
      <c r="A289" s="467" t="str">
        <f>IF('TECH DATA ENTRY'!A306="","",'TECH DATA ENTRY'!A306)</f>
        <v>10 kHz</v>
      </c>
      <c r="B289" s="471">
        <f>IF('TECH DATA ENTRY'!B306="","",'TECH DATA ENTRY'!B306)</f>
        <v>100</v>
      </c>
      <c r="C289" s="580">
        <f>IF(B289="","",IFERROR('TECH DATA ENTRY'!F306,"NA"))</f>
        <v>99.55</v>
      </c>
      <c r="D289" s="580" t="str">
        <f>IF('TECH DATA ENTRY'!L306="","",'TECH DATA ENTRY'!L306)</f>
        <v/>
      </c>
      <c r="E289" s="580" t="str">
        <f t="shared" si="131"/>
        <v/>
      </c>
      <c r="F289" s="580">
        <f>IF(B289="","",IFERROR('TECH DATA ENTRY'!G306,"NA"))</f>
        <v>100.45</v>
      </c>
      <c r="G289" s="581" t="str">
        <f t="shared" si="132"/>
        <v/>
      </c>
      <c r="H289" s="580" t="str">
        <f>IF(OR(ISTEXT(B289)=TRUE, D289="NA",D289=""),"NA", roundsf(MAX(L289,M289),C289))</f>
        <v>NA</v>
      </c>
      <c r="I289" s="575" t="str">
        <f t="shared" si="133"/>
        <v>NA</v>
      </c>
      <c r="J289" s="299"/>
      <c r="K289" s="245"/>
      <c r="L289" s="506">
        <f>(1/1000)*B289+(10/1000)</f>
        <v>0.11</v>
      </c>
      <c r="M289" s="244" t="str">
        <f>UNC_CALCULATION!AM278</f>
        <v>NA</v>
      </c>
      <c r="N289" s="85"/>
      <c r="O289" s="58"/>
      <c r="P289" s="69" t="e">
        <f>IF(B289="","",INDEX('AUX TABLES'!$G$4:$K$8,AV289,AW289))</f>
        <v>#VALUE!</v>
      </c>
      <c r="Q289" s="150" t="e">
        <f>IF(AJ$11=FALSE,IF(B289="","",IF(AJ289="NA",P289,INDEX('AUX TABLES'!$G$4:$K$8,AY289,AZ289))),IF(P289="FAIL",P289,INDEX('AUX TABLES'!$G$4:$K$8,AY289,AZ289)))</f>
        <v>#VALUE!</v>
      </c>
      <c r="R289" s="150" t="e">
        <f>IF(AJ$11=FALSE,IF(B289="","",IF(AJ289="NA",P289,INDEX('AUX TABLES'!$G$4:$K$8,BB289,BC289))),IF(P289="FAIL",P289,INDEX('AUX TABLES'!$G$4:$K$8,BB289,BC289)))</f>
        <v>#VALUE!</v>
      </c>
      <c r="S289" s="69" t="e">
        <f>INDEX('AUX TABLES'!$G$4:$K$8,AM289,AN289)</f>
        <v>#VALUE!</v>
      </c>
      <c r="T289" s="69" t="e">
        <f>IF(AJ$11=FALSE,IF(AJ289="NA",S289,INDEX('AUX TABLES'!$G$4:$K$8,AP289,AQ289)),IF(S289="FAIL",S289,INDEX('AUX TABLES'!$G$4:$K$8,AP289,AQ289)))</f>
        <v>#VALUE!</v>
      </c>
      <c r="U289" s="150" t="e">
        <f>IF(AJ$11=FALSE,IF(AJ289="NA",S289,INDEX('AUX TABLES'!$G$4:$K$8,AS289,AT289)),IF(S289="FAIL",S289,INDEX('AUX TABLES'!$G$4:$K$8,AS289,AT289)))</f>
        <v>#VALUE!</v>
      </c>
      <c r="V289" s="150" t="str">
        <f t="shared" si="134"/>
        <v/>
      </c>
      <c r="W289" s="74">
        <f t="shared" si="135"/>
        <v>100.45</v>
      </c>
      <c r="X289" s="74" t="str">
        <f t="shared" si="136"/>
        <v>NA</v>
      </c>
      <c r="Y289" s="74" t="str">
        <f t="shared" si="137"/>
        <v>NA</v>
      </c>
      <c r="Z289" s="74" t="str">
        <f t="shared" si="138"/>
        <v>NA</v>
      </c>
      <c r="AA289" s="74" t="str">
        <f t="shared" si="139"/>
        <v>NA</v>
      </c>
      <c r="AB289" s="74">
        <f t="shared" si="140"/>
        <v>99.55</v>
      </c>
      <c r="AC289" s="69" t="str">
        <f>IF(ISTEXT('TECH DATA ENTRY'!L306)=TRUE,"NA",'TECH DATA ENTRY'!H306)</f>
        <v>NA</v>
      </c>
      <c r="AD289" s="69" t="str">
        <f t="shared" si="141"/>
        <v>NA</v>
      </c>
      <c r="AE289" s="69" t="str">
        <f t="shared" si="142"/>
        <v>NA</v>
      </c>
      <c r="AF289" s="69" t="e">
        <f t="shared" si="143"/>
        <v>#VALUE!</v>
      </c>
      <c r="AG289" s="69" t="e">
        <f t="shared" si="144"/>
        <v>#VALUE!</v>
      </c>
      <c r="AH289" s="69" t="e">
        <f t="shared" si="145"/>
        <v>#VALUE!</v>
      </c>
      <c r="AI289" s="69" t="e">
        <f t="shared" si="146"/>
        <v>#VALUE!</v>
      </c>
      <c r="AJ289" s="70" t="str">
        <f>IF(OR(ISTEXT('TECH DATA ENTRY'!L306)=TRUE,ISTEXT('TECH DATA ENTRY'!F306)=TRUE,ISTEXT('TECH DATA ENTRY'!G306)=TRUE),"NA",(W289-AB289)/(2*MAX(M289,L289)))</f>
        <v>NA</v>
      </c>
      <c r="AK289" s="69" t="str">
        <f t="shared" si="147"/>
        <v>NA</v>
      </c>
      <c r="AM289" s="73" t="e">
        <f t="shared" si="148"/>
        <v>#VALUE!</v>
      </c>
      <c r="AN289" s="73" t="e">
        <f t="shared" si="149"/>
        <v>#VALUE!</v>
      </c>
      <c r="AO289" s="87"/>
      <c r="AP289" s="73" t="e">
        <f t="shared" si="150"/>
        <v>#VALUE!</v>
      </c>
      <c r="AQ289" s="73" t="e">
        <f t="shared" si="151"/>
        <v>#VALUE!</v>
      </c>
      <c r="AR289" s="87"/>
      <c r="AS289" s="73" t="e">
        <f t="shared" si="152"/>
        <v>#VALUE!</v>
      </c>
      <c r="AT289" s="73" t="e">
        <f t="shared" si="153"/>
        <v>#VALUE!</v>
      </c>
      <c r="AV289" s="73" t="e">
        <f t="shared" si="154"/>
        <v>#VALUE!</v>
      </c>
      <c r="AW289" s="73" t="e">
        <f t="shared" si="155"/>
        <v>#VALUE!</v>
      </c>
      <c r="AX289" s="87"/>
      <c r="AY289" s="73" t="e">
        <f t="shared" si="156"/>
        <v>#VALUE!</v>
      </c>
      <c r="AZ289" s="73" t="e">
        <f t="shared" si="157"/>
        <v>#VALUE!</v>
      </c>
      <c r="BA289" s="87"/>
      <c r="BB289" s="73" t="e">
        <f t="shared" si="158"/>
        <v>#VALUE!</v>
      </c>
      <c r="BC289" s="73" t="e">
        <f t="shared" si="159"/>
        <v>#VALUE!</v>
      </c>
    </row>
    <row r="290" spans="1:55" s="296" customFormat="1" ht="28.15" customHeight="1">
      <c r="A290" s="550" t="str">
        <f>IF('TECH DATA ENTRY'!A307="","",'TECH DATA ENTRY'!A307)</f>
        <v/>
      </c>
      <c r="B290" s="551"/>
      <c r="C290" s="552"/>
      <c r="D290" s="551"/>
      <c r="E290" s="551"/>
      <c r="F290" s="551"/>
      <c r="G290" s="552"/>
      <c r="H290" s="551"/>
      <c r="I290" s="553"/>
      <c r="J290" s="224"/>
      <c r="K290" s="224"/>
      <c r="L290" s="224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AK290" s="297"/>
    </row>
    <row r="291" spans="1:55" s="31" customFormat="1" ht="22.15" customHeight="1">
      <c r="A291" s="76" t="str">
        <f>IF('TECH DATA ENTRY'!A308="","",'TECH DATA ENTRY'!A308)</f>
        <v>Range 400 mA</v>
      </c>
      <c r="H291" s="321"/>
      <c r="O291" s="77"/>
      <c r="AK291" s="1"/>
      <c r="AM291" s="637" t="s">
        <v>116</v>
      </c>
      <c r="AN291" s="637"/>
      <c r="AO291" s="637"/>
      <c r="AP291" s="637"/>
      <c r="AQ291" s="637"/>
      <c r="AR291" s="637"/>
      <c r="AS291" s="637"/>
      <c r="AT291" s="637"/>
      <c r="AV291" s="637" t="s">
        <v>117</v>
      </c>
      <c r="AW291" s="637"/>
      <c r="AX291" s="637"/>
      <c r="AY291" s="637"/>
      <c r="AZ291" s="637"/>
      <c r="BA291" s="637"/>
      <c r="BB291" s="637"/>
      <c r="BC291" s="637"/>
    </row>
    <row r="292" spans="1:55" s="225" customFormat="1" ht="4.9000000000000004" customHeight="1" thickBot="1">
      <c r="A292" s="288" t="str">
        <f>IF('TECH DATA ENTRY'!A309="","",'TECH DATA ENTRY'!A309)</f>
        <v/>
      </c>
      <c r="K292" s="239"/>
      <c r="L292" s="239"/>
      <c r="AK292" s="240"/>
    </row>
    <row r="293" spans="1:55" s="285" customFormat="1" ht="20.149999999999999" customHeight="1">
      <c r="A293" s="644" t="str">
        <f>IF('TECH DATA ENTRY'!A310="","",'TECH DATA ENTRY'!A310)</f>
        <v>Frequency</v>
      </c>
      <c r="B293" s="646" t="str">
        <f>IF('TECH DATA ENTRY'!B310="","",'TECH DATA ENTRY'!B310)</f>
        <v>Nominal</v>
      </c>
      <c r="C293" s="648" t="s">
        <v>2</v>
      </c>
      <c r="D293" s="648" t="str">
        <f>IF(LEFT(P$11,3)="ROV", "Measured Value", "As Found")</f>
        <v>As Found</v>
      </c>
      <c r="E293" s="648" t="str">
        <f>IF(LEFT(P$11,3)="ROV", "Correction", "As Left")</f>
        <v>As Left</v>
      </c>
      <c r="F293" s="648" t="s">
        <v>3</v>
      </c>
      <c r="G293" s="653" t="s">
        <v>4</v>
      </c>
      <c r="H293" s="659" t="s">
        <v>30</v>
      </c>
      <c r="I293" s="661" t="s">
        <v>28</v>
      </c>
      <c r="J293" s="284"/>
      <c r="L293" s="658" t="s">
        <v>38</v>
      </c>
      <c r="M293" s="616" t="s">
        <v>31</v>
      </c>
      <c r="N293" s="281"/>
      <c r="O293" s="286"/>
      <c r="P293" s="640" t="s">
        <v>136</v>
      </c>
      <c r="Q293" s="641"/>
      <c r="R293" s="642"/>
      <c r="S293" s="638" t="s">
        <v>115</v>
      </c>
      <c r="T293" s="638"/>
      <c r="U293" s="638"/>
      <c r="V293" s="638"/>
      <c r="W293" s="640" t="s">
        <v>64</v>
      </c>
      <c r="X293" s="641"/>
      <c r="Y293" s="641"/>
      <c r="Z293" s="641"/>
      <c r="AA293" s="641"/>
      <c r="AB293" s="642"/>
      <c r="AC293" s="638" t="s">
        <v>97</v>
      </c>
      <c r="AD293" s="638"/>
      <c r="AE293" s="638"/>
      <c r="AF293" s="638" t="s">
        <v>127</v>
      </c>
      <c r="AG293" s="638"/>
      <c r="AH293" s="638" t="s">
        <v>128</v>
      </c>
      <c r="AI293" s="638"/>
      <c r="AJ293" s="638" t="s">
        <v>28</v>
      </c>
      <c r="AK293" s="638" t="s">
        <v>121</v>
      </c>
      <c r="AL293" s="308"/>
      <c r="AM293" s="639" t="s">
        <v>122</v>
      </c>
      <c r="AN293" s="639"/>
      <c r="AO293" s="308"/>
      <c r="AP293" s="639" t="s">
        <v>119</v>
      </c>
      <c r="AQ293" s="639"/>
      <c r="AR293" s="308"/>
      <c r="AS293" s="639" t="s">
        <v>120</v>
      </c>
      <c r="AT293" s="639"/>
      <c r="AU293" s="308"/>
      <c r="AV293" s="639" t="s">
        <v>122</v>
      </c>
      <c r="AW293" s="639"/>
      <c r="AX293" s="308"/>
      <c r="AY293" s="639" t="s">
        <v>119</v>
      </c>
      <c r="AZ293" s="639"/>
      <c r="BA293" s="308"/>
      <c r="BB293" s="639" t="s">
        <v>120</v>
      </c>
      <c r="BC293" s="639"/>
    </row>
    <row r="294" spans="1:55" s="285" customFormat="1" ht="20.149999999999999" customHeight="1" thickBot="1">
      <c r="A294" s="645"/>
      <c r="B294" s="647"/>
      <c r="C294" s="649"/>
      <c r="D294" s="649"/>
      <c r="E294" s="649"/>
      <c r="F294" s="649"/>
      <c r="G294" s="654"/>
      <c r="H294" s="660"/>
      <c r="I294" s="662"/>
      <c r="J294" s="284"/>
      <c r="L294" s="649"/>
      <c r="M294" s="617"/>
      <c r="O294" s="281"/>
      <c r="P294" s="309" t="s">
        <v>122</v>
      </c>
      <c r="Q294" s="309" t="s">
        <v>119</v>
      </c>
      <c r="R294" s="309" t="s">
        <v>120</v>
      </c>
      <c r="S294" s="309" t="s">
        <v>122</v>
      </c>
      <c r="T294" s="309" t="s">
        <v>119</v>
      </c>
      <c r="U294" s="309" t="s">
        <v>120</v>
      </c>
      <c r="V294" s="309" t="s">
        <v>118</v>
      </c>
      <c r="W294" s="309" t="s">
        <v>63</v>
      </c>
      <c r="X294" s="309" t="s">
        <v>69</v>
      </c>
      <c r="Y294" s="309" t="s">
        <v>71</v>
      </c>
      <c r="Z294" s="309" t="s">
        <v>72</v>
      </c>
      <c r="AA294" s="309" t="s">
        <v>70</v>
      </c>
      <c r="AB294" s="309" t="s">
        <v>75</v>
      </c>
      <c r="AC294" s="309" t="s">
        <v>78</v>
      </c>
      <c r="AD294" s="309" t="s">
        <v>119</v>
      </c>
      <c r="AE294" s="309" t="s">
        <v>120</v>
      </c>
      <c r="AF294" s="309" t="s">
        <v>129</v>
      </c>
      <c r="AG294" s="309" t="s">
        <v>130</v>
      </c>
      <c r="AH294" s="309" t="s">
        <v>129</v>
      </c>
      <c r="AI294" s="309" t="s">
        <v>130</v>
      </c>
      <c r="AJ294" s="652"/>
      <c r="AK294" s="652"/>
      <c r="AL294" s="308"/>
      <c r="AM294" s="310" t="s">
        <v>67</v>
      </c>
      <c r="AN294" s="310" t="s">
        <v>68</v>
      </c>
      <c r="AO294" s="308"/>
      <c r="AP294" s="310" t="s">
        <v>67</v>
      </c>
      <c r="AQ294" s="310" t="s">
        <v>68</v>
      </c>
      <c r="AR294" s="308"/>
      <c r="AS294" s="310" t="s">
        <v>67</v>
      </c>
      <c r="AT294" s="310" t="s">
        <v>68</v>
      </c>
      <c r="AU294" s="308"/>
      <c r="AV294" s="310" t="s">
        <v>67</v>
      </c>
      <c r="AW294" s="310" t="s">
        <v>68</v>
      </c>
      <c r="AX294" s="308"/>
      <c r="AY294" s="310" t="s">
        <v>67</v>
      </c>
      <c r="AZ294" s="310" t="s">
        <v>68</v>
      </c>
      <c r="BA294" s="308"/>
      <c r="BB294" s="310" t="s">
        <v>67</v>
      </c>
      <c r="BC294" s="310" t="s">
        <v>68</v>
      </c>
    </row>
    <row r="295" spans="1:55" s="86" customFormat="1" ht="25" customHeight="1" thickTop="1">
      <c r="A295" s="466" t="str">
        <f>IF('TECH DATA ENTRY'!A312="","",'TECH DATA ENTRY'!A312)</f>
        <v>10 Hz</v>
      </c>
      <c r="B295" s="451">
        <f>IF('TECH DATA ENTRY'!B312="","",'TECH DATA ENTRY'!B312)</f>
        <v>329</v>
      </c>
      <c r="C295" s="565">
        <f>IF(B295="","",IFERROR('TECH DATA ENTRY'!F312,"NA"))</f>
        <v>327.613</v>
      </c>
      <c r="D295" s="565" t="str">
        <f>IF('TECH DATA ENTRY'!L312="","",'TECH DATA ENTRY'!L312)</f>
        <v/>
      </c>
      <c r="E295" s="565" t="str">
        <f t="shared" si="131"/>
        <v/>
      </c>
      <c r="F295" s="565">
        <f>IF(B295="","",IFERROR('TECH DATA ENTRY'!G312,"NA"))</f>
        <v>330.387</v>
      </c>
      <c r="G295" s="566" t="str">
        <f t="shared" si="132"/>
        <v/>
      </c>
      <c r="H295" s="565" t="str">
        <f>IF(OR(ISTEXT(B295)=TRUE, D295="NA",D295=""),"NA", roundsf(MAX(L295,M295),C295))</f>
        <v>NA</v>
      </c>
      <c r="I295" s="558" t="str">
        <f t="shared" si="133"/>
        <v>NA</v>
      </c>
      <c r="J295" s="299"/>
      <c r="K295" s="245"/>
      <c r="L295" s="506">
        <f>(272/1000000)*B295+(35/1000)</f>
        <v>0.124488</v>
      </c>
      <c r="M295" s="244" t="str">
        <f>UNC_CALCULATION!AM284</f>
        <v>NA</v>
      </c>
      <c r="N295" s="85"/>
      <c r="O295" s="58"/>
      <c r="P295" s="69" t="e">
        <f>IF(B295="","",INDEX('AUX TABLES'!$G$4:$K$8,AV295,AW295))</f>
        <v>#VALUE!</v>
      </c>
      <c r="Q295" s="150" t="e">
        <f>IF(AJ$11=FALSE,IF(B295="","",IF(AJ295="NA",P295,INDEX('AUX TABLES'!$G$4:$K$8,AY295,AZ295))),IF(P295="FAIL",P295,INDEX('AUX TABLES'!$G$4:$K$8,AY295,AZ295)))</f>
        <v>#VALUE!</v>
      </c>
      <c r="R295" s="150" t="e">
        <f>IF(AJ$11=FALSE,IF(B295="","",IF(AJ295="NA",P295,INDEX('AUX TABLES'!$G$4:$K$8,BB295,BC295))),IF(P295="FAIL",P295,INDEX('AUX TABLES'!$G$4:$K$8,BB295,BC295)))</f>
        <v>#VALUE!</v>
      </c>
      <c r="S295" s="69" t="e">
        <f>INDEX('AUX TABLES'!$G$4:$K$8,AM295,AN295)</f>
        <v>#VALUE!</v>
      </c>
      <c r="T295" s="69" t="e">
        <f>IF(AJ$11=FALSE,IF(AJ295="NA",S295,INDEX('AUX TABLES'!$G$4:$K$8,AP295,AQ295)),IF(S295="FAIL",S295,INDEX('AUX TABLES'!$G$4:$K$8,AP295,AQ295)))</f>
        <v>#VALUE!</v>
      </c>
      <c r="U295" s="150" t="e">
        <f>IF(AJ$11=FALSE,IF(AJ295="NA",S295,INDEX('AUX TABLES'!$G$4:$K$8,AS295,AT295)),IF(S295="FAIL",S295,INDEX('AUX TABLES'!$G$4:$K$8,AS295,AT295)))</f>
        <v>#VALUE!</v>
      </c>
      <c r="V295" s="150" t="str">
        <f t="shared" si="134"/>
        <v/>
      </c>
      <c r="W295" s="74">
        <f t="shared" si="135"/>
        <v>330.387</v>
      </c>
      <c r="X295" s="74" t="str">
        <f t="shared" si="136"/>
        <v>NA</v>
      </c>
      <c r="Y295" s="74" t="str">
        <f t="shared" si="137"/>
        <v>NA</v>
      </c>
      <c r="Z295" s="74" t="str">
        <f t="shared" si="138"/>
        <v>NA</v>
      </c>
      <c r="AA295" s="74" t="str">
        <f t="shared" si="139"/>
        <v>NA</v>
      </c>
      <c r="AB295" s="74">
        <f t="shared" si="140"/>
        <v>327.613</v>
      </c>
      <c r="AC295" s="69" t="str">
        <f>IF(ISTEXT('TECH DATA ENTRY'!L312)=TRUE,"NA",'TECH DATA ENTRY'!H312)</f>
        <v>NA</v>
      </c>
      <c r="AD295" s="69" t="str">
        <f t="shared" si="141"/>
        <v>NA</v>
      </c>
      <c r="AE295" s="69" t="str">
        <f t="shared" si="142"/>
        <v>NA</v>
      </c>
      <c r="AF295" s="69" t="e">
        <f t="shared" si="143"/>
        <v>#VALUE!</v>
      </c>
      <c r="AG295" s="69" t="e">
        <f t="shared" si="144"/>
        <v>#VALUE!</v>
      </c>
      <c r="AH295" s="69" t="e">
        <f t="shared" si="145"/>
        <v>#VALUE!</v>
      </c>
      <c r="AI295" s="69" t="e">
        <f t="shared" si="146"/>
        <v>#VALUE!</v>
      </c>
      <c r="AJ295" s="70" t="str">
        <f>IF(OR(ISTEXT('TECH DATA ENTRY'!L312)=TRUE,ISTEXT('TECH DATA ENTRY'!F312)=TRUE,ISTEXT('TECH DATA ENTRY'!G312)=TRUE),"NA",(W295-AB295)/(2*MAX(M295,L295)))</f>
        <v>NA</v>
      </c>
      <c r="AK295" s="69" t="str">
        <f t="shared" si="147"/>
        <v>NA</v>
      </c>
      <c r="AM295" s="73" t="e">
        <f t="shared" si="148"/>
        <v>#VALUE!</v>
      </c>
      <c r="AN295" s="73" t="e">
        <f t="shared" si="149"/>
        <v>#VALUE!</v>
      </c>
      <c r="AO295" s="87"/>
      <c r="AP295" s="73" t="e">
        <f t="shared" si="150"/>
        <v>#VALUE!</v>
      </c>
      <c r="AQ295" s="73" t="e">
        <f t="shared" si="151"/>
        <v>#VALUE!</v>
      </c>
      <c r="AR295" s="87"/>
      <c r="AS295" s="73" t="e">
        <f t="shared" si="152"/>
        <v>#VALUE!</v>
      </c>
      <c r="AT295" s="73" t="e">
        <f t="shared" si="153"/>
        <v>#VALUE!</v>
      </c>
      <c r="AV295" s="73" t="e">
        <f t="shared" si="154"/>
        <v>#VALUE!</v>
      </c>
      <c r="AW295" s="73" t="e">
        <f t="shared" si="155"/>
        <v>#VALUE!</v>
      </c>
      <c r="AX295" s="87"/>
      <c r="AY295" s="73" t="e">
        <f t="shared" si="156"/>
        <v>#VALUE!</v>
      </c>
      <c r="AZ295" s="73" t="e">
        <f t="shared" si="157"/>
        <v>#VALUE!</v>
      </c>
      <c r="BA295" s="87"/>
      <c r="BB295" s="73" t="e">
        <f t="shared" si="158"/>
        <v>#VALUE!</v>
      </c>
      <c r="BC295" s="73" t="e">
        <f t="shared" si="159"/>
        <v>#VALUE!</v>
      </c>
    </row>
    <row r="296" spans="1:55" s="86" customFormat="1" ht="25" customHeight="1">
      <c r="A296" s="466" t="str">
        <f>IF('TECH DATA ENTRY'!A313="","",'TECH DATA ENTRY'!A313)</f>
        <v>1 kHz</v>
      </c>
      <c r="B296" s="451">
        <f>IF('TECH DATA ENTRY'!B313="","",'TECH DATA ENTRY'!B313)</f>
        <v>329</v>
      </c>
      <c r="C296" s="451">
        <f>IF(B296="","",IFERROR('TECH DATA ENTRY'!F313,"NA"))</f>
        <v>328.27100000000002</v>
      </c>
      <c r="D296" s="451" t="str">
        <f>IF('TECH DATA ENTRY'!L313="","",'TECH DATA ENTRY'!L313)</f>
        <v/>
      </c>
      <c r="E296" s="451" t="str">
        <f t="shared" si="131"/>
        <v/>
      </c>
      <c r="F296" s="451">
        <f>IF(B296="","",IFERROR('TECH DATA ENTRY'!G313,"NA"))</f>
        <v>329.72899999999998</v>
      </c>
      <c r="G296" s="594" t="str">
        <f t="shared" si="132"/>
        <v/>
      </c>
      <c r="H296" s="451" t="str">
        <f>IF(OR(ISTEXT(B296)=TRUE, D296="NA",D296=""),"NA", roundsf(MAX(L296,M296),C296))</f>
        <v>NA</v>
      </c>
      <c r="I296" s="325" t="str">
        <f t="shared" si="133"/>
        <v>NA</v>
      </c>
      <c r="J296" s="299"/>
      <c r="K296" s="245"/>
      <c r="L296" s="506">
        <f>(272/1000000)*B296+(35/1000)</f>
        <v>0.124488</v>
      </c>
      <c r="M296" s="244" t="str">
        <f>UNC_CALCULATION!AM285</f>
        <v>NA</v>
      </c>
      <c r="N296" s="85"/>
      <c r="O296" s="58"/>
      <c r="P296" s="69" t="e">
        <f>IF(B296="","",INDEX('AUX TABLES'!$G$4:$K$8,AV296,AW296))</f>
        <v>#VALUE!</v>
      </c>
      <c r="Q296" s="150" t="e">
        <f>IF(AJ$11=FALSE,IF(B296="","",IF(AJ296="NA",P296,INDEX('AUX TABLES'!$G$4:$K$8,AY296,AZ296))),IF(P296="FAIL",P296,INDEX('AUX TABLES'!$G$4:$K$8,AY296,AZ296)))</f>
        <v>#VALUE!</v>
      </c>
      <c r="R296" s="150" t="e">
        <f>IF(AJ$11=FALSE,IF(B296="","",IF(AJ296="NA",P296,INDEX('AUX TABLES'!$G$4:$K$8,BB296,BC296))),IF(P296="FAIL",P296,INDEX('AUX TABLES'!$G$4:$K$8,BB296,BC296)))</f>
        <v>#VALUE!</v>
      </c>
      <c r="S296" s="69" t="e">
        <f>INDEX('AUX TABLES'!$G$4:$K$8,AM296,AN296)</f>
        <v>#VALUE!</v>
      </c>
      <c r="T296" s="69" t="e">
        <f>IF(AJ$11=FALSE,IF(AJ296="NA",S296,INDEX('AUX TABLES'!$G$4:$K$8,AP296,AQ296)),IF(S296="FAIL",S296,INDEX('AUX TABLES'!$G$4:$K$8,AP296,AQ296)))</f>
        <v>#VALUE!</v>
      </c>
      <c r="U296" s="150" t="e">
        <f>IF(AJ$11=FALSE,IF(AJ296="NA",S296,INDEX('AUX TABLES'!$G$4:$K$8,AS296,AT296)),IF(S296="FAIL",S296,INDEX('AUX TABLES'!$G$4:$K$8,AS296,AT296)))</f>
        <v>#VALUE!</v>
      </c>
      <c r="V296" s="150" t="str">
        <f t="shared" si="134"/>
        <v/>
      </c>
      <c r="W296" s="74">
        <f t="shared" si="135"/>
        <v>329.72899999999998</v>
      </c>
      <c r="X296" s="74" t="str">
        <f t="shared" si="136"/>
        <v>NA</v>
      </c>
      <c r="Y296" s="74" t="str">
        <f t="shared" si="137"/>
        <v>NA</v>
      </c>
      <c r="Z296" s="74" t="str">
        <f t="shared" si="138"/>
        <v>NA</v>
      </c>
      <c r="AA296" s="74" t="str">
        <f t="shared" si="139"/>
        <v>NA</v>
      </c>
      <c r="AB296" s="74">
        <f t="shared" si="140"/>
        <v>328.27100000000002</v>
      </c>
      <c r="AC296" s="69" t="str">
        <f>IF(ISTEXT('TECH DATA ENTRY'!L313)=TRUE,"NA",'TECH DATA ENTRY'!H313)</f>
        <v>NA</v>
      </c>
      <c r="AD296" s="69" t="str">
        <f t="shared" si="141"/>
        <v>NA</v>
      </c>
      <c r="AE296" s="69" t="str">
        <f t="shared" si="142"/>
        <v>NA</v>
      </c>
      <c r="AF296" s="69" t="e">
        <f t="shared" si="143"/>
        <v>#VALUE!</v>
      </c>
      <c r="AG296" s="69" t="e">
        <f t="shared" si="144"/>
        <v>#VALUE!</v>
      </c>
      <c r="AH296" s="69" t="e">
        <f t="shared" si="145"/>
        <v>#VALUE!</v>
      </c>
      <c r="AI296" s="69" t="e">
        <f t="shared" si="146"/>
        <v>#VALUE!</v>
      </c>
      <c r="AJ296" s="70" t="str">
        <f>IF(OR(ISTEXT('TECH DATA ENTRY'!L313)=TRUE,ISTEXT('TECH DATA ENTRY'!F313)=TRUE,ISTEXT('TECH DATA ENTRY'!G313)=TRUE),"NA",(W296-AB296)/(2*MAX(M296,L296)))</f>
        <v>NA</v>
      </c>
      <c r="AK296" s="69" t="str">
        <f t="shared" si="147"/>
        <v>NA</v>
      </c>
      <c r="AM296" s="73" t="e">
        <f t="shared" si="148"/>
        <v>#VALUE!</v>
      </c>
      <c r="AN296" s="73" t="e">
        <f t="shared" si="149"/>
        <v>#VALUE!</v>
      </c>
      <c r="AO296" s="87"/>
      <c r="AP296" s="73" t="e">
        <f t="shared" si="150"/>
        <v>#VALUE!</v>
      </c>
      <c r="AQ296" s="73" t="e">
        <f t="shared" si="151"/>
        <v>#VALUE!</v>
      </c>
      <c r="AR296" s="87"/>
      <c r="AS296" s="73" t="e">
        <f t="shared" si="152"/>
        <v>#VALUE!</v>
      </c>
      <c r="AT296" s="73" t="e">
        <f t="shared" si="153"/>
        <v>#VALUE!</v>
      </c>
      <c r="AV296" s="73" t="e">
        <f t="shared" si="154"/>
        <v>#VALUE!</v>
      </c>
      <c r="AW296" s="73" t="e">
        <f t="shared" si="155"/>
        <v>#VALUE!</v>
      </c>
      <c r="AX296" s="87"/>
      <c r="AY296" s="73" t="e">
        <f t="shared" si="156"/>
        <v>#VALUE!</v>
      </c>
      <c r="AZ296" s="73" t="e">
        <f t="shared" si="157"/>
        <v>#VALUE!</v>
      </c>
      <c r="BA296" s="87"/>
      <c r="BB296" s="73" t="e">
        <f t="shared" si="158"/>
        <v>#VALUE!</v>
      </c>
      <c r="BC296" s="73" t="e">
        <f t="shared" si="159"/>
        <v>#VALUE!</v>
      </c>
    </row>
    <row r="297" spans="1:55" s="86" customFormat="1" ht="25" customHeight="1">
      <c r="A297" s="466" t="str">
        <f>IF('TECH DATA ENTRY'!A314="","",'TECH DATA ENTRY'!A314)</f>
        <v>5 kHz</v>
      </c>
      <c r="B297" s="451">
        <f>IF('TECH DATA ENTRY'!B314="","",'TECH DATA ENTRY'!B314)</f>
        <v>329</v>
      </c>
      <c r="C297" s="451">
        <f>IF(B297="","",IFERROR('TECH DATA ENTRY'!F314,"NA"))</f>
        <v>325.54199999999997</v>
      </c>
      <c r="D297" s="451" t="str">
        <f>IF('TECH DATA ENTRY'!L314="","",'TECH DATA ENTRY'!L314)</f>
        <v/>
      </c>
      <c r="E297" s="451" t="str">
        <f t="shared" si="131"/>
        <v/>
      </c>
      <c r="F297" s="451">
        <f>IF(B297="","",IFERROR('TECH DATA ENTRY'!G314,"NA"))</f>
        <v>332.45800000000003</v>
      </c>
      <c r="G297" s="594" t="str">
        <f t="shared" si="132"/>
        <v/>
      </c>
      <c r="H297" s="451" t="str">
        <f>IF(OR(ISTEXT(B297)=TRUE, D297="NA",D297=""),"NA", roundsf(MAX(L297,M297),C297))</f>
        <v>NA</v>
      </c>
      <c r="I297" s="325" t="str">
        <f t="shared" si="133"/>
        <v>NA</v>
      </c>
      <c r="J297" s="299"/>
      <c r="K297" s="245"/>
      <c r="L297" s="506">
        <f>(441/1000000)*B297+(80/1000)</f>
        <v>0.22508899999999998</v>
      </c>
      <c r="M297" s="244" t="str">
        <f>UNC_CALCULATION!AM286</f>
        <v>NA</v>
      </c>
      <c r="N297" s="85"/>
      <c r="O297" s="58"/>
      <c r="P297" s="69" t="e">
        <f>IF(B297="","",INDEX('AUX TABLES'!$G$4:$K$8,AV297,AW297))</f>
        <v>#VALUE!</v>
      </c>
      <c r="Q297" s="150" t="e">
        <f>IF(AJ$11=FALSE,IF(B297="","",IF(AJ297="NA",P297,INDEX('AUX TABLES'!$G$4:$K$8,AY297,AZ297))),IF(P297="FAIL",P297,INDEX('AUX TABLES'!$G$4:$K$8,AY297,AZ297)))</f>
        <v>#VALUE!</v>
      </c>
      <c r="R297" s="150" t="e">
        <f>IF(AJ$11=FALSE,IF(B297="","",IF(AJ297="NA",P297,INDEX('AUX TABLES'!$G$4:$K$8,BB297,BC297))),IF(P297="FAIL",P297,INDEX('AUX TABLES'!$G$4:$K$8,BB297,BC297)))</f>
        <v>#VALUE!</v>
      </c>
      <c r="S297" s="69" t="e">
        <f>INDEX('AUX TABLES'!$G$4:$K$8,AM297,AN297)</f>
        <v>#VALUE!</v>
      </c>
      <c r="T297" s="69" t="e">
        <f>IF(AJ$11=FALSE,IF(AJ297="NA",S297,INDEX('AUX TABLES'!$G$4:$K$8,AP297,AQ297)),IF(S297="FAIL",S297,INDEX('AUX TABLES'!$G$4:$K$8,AP297,AQ297)))</f>
        <v>#VALUE!</v>
      </c>
      <c r="U297" s="150" t="e">
        <f>IF(AJ$11=FALSE,IF(AJ297="NA",S297,INDEX('AUX TABLES'!$G$4:$K$8,AS297,AT297)),IF(S297="FAIL",S297,INDEX('AUX TABLES'!$G$4:$K$8,AS297,AT297)))</f>
        <v>#VALUE!</v>
      </c>
      <c r="V297" s="150" t="str">
        <f t="shared" si="134"/>
        <v/>
      </c>
      <c r="W297" s="74">
        <f t="shared" si="135"/>
        <v>332.45800000000003</v>
      </c>
      <c r="X297" s="74" t="str">
        <f t="shared" si="136"/>
        <v>NA</v>
      </c>
      <c r="Y297" s="74" t="str">
        <f t="shared" si="137"/>
        <v>NA</v>
      </c>
      <c r="Z297" s="74" t="str">
        <f t="shared" si="138"/>
        <v>NA</v>
      </c>
      <c r="AA297" s="74" t="str">
        <f t="shared" si="139"/>
        <v>NA</v>
      </c>
      <c r="AB297" s="74">
        <f t="shared" si="140"/>
        <v>325.54199999999997</v>
      </c>
      <c r="AC297" s="69" t="str">
        <f>IF(ISTEXT('TECH DATA ENTRY'!L314)=TRUE,"NA",'TECH DATA ENTRY'!H314)</f>
        <v>NA</v>
      </c>
      <c r="AD297" s="69" t="str">
        <f t="shared" si="141"/>
        <v>NA</v>
      </c>
      <c r="AE297" s="69" t="str">
        <f t="shared" si="142"/>
        <v>NA</v>
      </c>
      <c r="AF297" s="69" t="e">
        <f t="shared" si="143"/>
        <v>#VALUE!</v>
      </c>
      <c r="AG297" s="69" t="e">
        <f t="shared" si="144"/>
        <v>#VALUE!</v>
      </c>
      <c r="AH297" s="69" t="e">
        <f t="shared" si="145"/>
        <v>#VALUE!</v>
      </c>
      <c r="AI297" s="69" t="e">
        <f t="shared" si="146"/>
        <v>#VALUE!</v>
      </c>
      <c r="AJ297" s="70" t="str">
        <f>IF(OR(ISTEXT('TECH DATA ENTRY'!L314)=TRUE,ISTEXT('TECH DATA ENTRY'!F314)=TRUE,ISTEXT('TECH DATA ENTRY'!G314)=TRUE),"NA",(W297-AB297)/(2*MAX(M297,L297)))</f>
        <v>NA</v>
      </c>
      <c r="AK297" s="69" t="str">
        <f t="shared" si="147"/>
        <v>NA</v>
      </c>
      <c r="AM297" s="73" t="e">
        <f t="shared" si="148"/>
        <v>#VALUE!</v>
      </c>
      <c r="AN297" s="73" t="e">
        <f t="shared" si="149"/>
        <v>#VALUE!</v>
      </c>
      <c r="AO297" s="87"/>
      <c r="AP297" s="73" t="e">
        <f t="shared" si="150"/>
        <v>#VALUE!</v>
      </c>
      <c r="AQ297" s="73" t="e">
        <f t="shared" si="151"/>
        <v>#VALUE!</v>
      </c>
      <c r="AR297" s="87"/>
      <c r="AS297" s="73" t="e">
        <f t="shared" si="152"/>
        <v>#VALUE!</v>
      </c>
      <c r="AT297" s="73" t="e">
        <f t="shared" si="153"/>
        <v>#VALUE!</v>
      </c>
      <c r="AV297" s="73" t="e">
        <f t="shared" si="154"/>
        <v>#VALUE!</v>
      </c>
      <c r="AW297" s="73" t="e">
        <f t="shared" si="155"/>
        <v>#VALUE!</v>
      </c>
      <c r="AX297" s="87"/>
      <c r="AY297" s="73" t="e">
        <f t="shared" si="156"/>
        <v>#VALUE!</v>
      </c>
      <c r="AZ297" s="73" t="e">
        <f t="shared" si="157"/>
        <v>#VALUE!</v>
      </c>
      <c r="BA297" s="87"/>
      <c r="BB297" s="73" t="e">
        <f t="shared" si="158"/>
        <v>#VALUE!</v>
      </c>
      <c r="BC297" s="73" t="e">
        <f t="shared" si="159"/>
        <v>#VALUE!</v>
      </c>
    </row>
    <row r="298" spans="1:55" s="86" customFormat="1" ht="25" customHeight="1" thickBot="1">
      <c r="A298" s="467" t="str">
        <f>IF('TECH DATA ENTRY'!A315="","",'TECH DATA ENTRY'!A315)</f>
        <v>10 kHz</v>
      </c>
      <c r="B298" s="470">
        <f>IF('TECH DATA ENTRY'!B315="","",'TECH DATA ENTRY'!B315)</f>
        <v>329</v>
      </c>
      <c r="C298" s="582">
        <f>IF(B298="","",IFERROR('TECH DATA ENTRY'!F315,"NA"))</f>
        <v>325.54199999999997</v>
      </c>
      <c r="D298" s="582" t="str">
        <f>IF('TECH DATA ENTRY'!L315="","",'TECH DATA ENTRY'!L315)</f>
        <v/>
      </c>
      <c r="E298" s="582" t="str">
        <f t="shared" si="131"/>
        <v/>
      </c>
      <c r="F298" s="582">
        <f>IF(B298="","",IFERROR('TECH DATA ENTRY'!G315,"NA"))</f>
        <v>332.45800000000003</v>
      </c>
      <c r="G298" s="583" t="str">
        <f t="shared" si="132"/>
        <v/>
      </c>
      <c r="H298" s="582" t="str">
        <f>IF(OR(ISTEXT(B298)=TRUE, D298="NA",D298=""),"NA", roundsf(MAX(L298,M298),C298))</f>
        <v>NA</v>
      </c>
      <c r="I298" s="575" t="str">
        <f t="shared" si="133"/>
        <v>NA</v>
      </c>
      <c r="J298" s="299"/>
      <c r="K298" s="245"/>
      <c r="L298" s="506">
        <f>(6.8/1000)*B298+(160/1000)</f>
        <v>2.3972000000000002</v>
      </c>
      <c r="M298" s="244" t="str">
        <f>UNC_CALCULATION!AM287</f>
        <v>NA</v>
      </c>
      <c r="N298" s="85"/>
      <c r="O298" s="58"/>
      <c r="P298" s="69" t="e">
        <f>IF(B298="","",INDEX('AUX TABLES'!$G$4:$K$8,AV298,AW298))</f>
        <v>#VALUE!</v>
      </c>
      <c r="Q298" s="150" t="e">
        <f>IF(AJ$11=FALSE,IF(B298="","",IF(AJ298="NA",P298,INDEX('AUX TABLES'!$G$4:$K$8,AY298,AZ298))),IF(P298="FAIL",P298,INDEX('AUX TABLES'!$G$4:$K$8,AY298,AZ298)))</f>
        <v>#VALUE!</v>
      </c>
      <c r="R298" s="150" t="e">
        <f>IF(AJ$11=FALSE,IF(B298="","",IF(AJ298="NA",P298,INDEX('AUX TABLES'!$G$4:$K$8,BB298,BC298))),IF(P298="FAIL",P298,INDEX('AUX TABLES'!$G$4:$K$8,BB298,BC298)))</f>
        <v>#VALUE!</v>
      </c>
      <c r="S298" s="69" t="e">
        <f>INDEX('AUX TABLES'!$G$4:$K$8,AM298,AN298)</f>
        <v>#VALUE!</v>
      </c>
      <c r="T298" s="69" t="e">
        <f>IF(AJ$11=FALSE,IF(AJ298="NA",S298,INDEX('AUX TABLES'!$G$4:$K$8,AP298,AQ298)),IF(S298="FAIL",S298,INDEX('AUX TABLES'!$G$4:$K$8,AP298,AQ298)))</f>
        <v>#VALUE!</v>
      </c>
      <c r="U298" s="150" t="e">
        <f>IF(AJ$11=FALSE,IF(AJ298="NA",S298,INDEX('AUX TABLES'!$G$4:$K$8,AS298,AT298)),IF(S298="FAIL",S298,INDEX('AUX TABLES'!$G$4:$K$8,AS298,AT298)))</f>
        <v>#VALUE!</v>
      </c>
      <c r="V298" s="150" t="str">
        <f t="shared" si="134"/>
        <v/>
      </c>
      <c r="W298" s="74">
        <f t="shared" si="135"/>
        <v>332.45800000000003</v>
      </c>
      <c r="X298" s="74" t="str">
        <f t="shared" si="136"/>
        <v>NA</v>
      </c>
      <c r="Y298" s="74" t="str">
        <f t="shared" si="137"/>
        <v>NA</v>
      </c>
      <c r="Z298" s="74" t="str">
        <f t="shared" si="138"/>
        <v>NA</v>
      </c>
      <c r="AA298" s="74" t="str">
        <f t="shared" si="139"/>
        <v>NA</v>
      </c>
      <c r="AB298" s="74">
        <f t="shared" si="140"/>
        <v>325.54199999999997</v>
      </c>
      <c r="AC298" s="69" t="str">
        <f>IF(ISTEXT('TECH DATA ENTRY'!L315)=TRUE,"NA",'TECH DATA ENTRY'!H315)</f>
        <v>NA</v>
      </c>
      <c r="AD298" s="69" t="str">
        <f t="shared" si="141"/>
        <v>NA</v>
      </c>
      <c r="AE298" s="69" t="str">
        <f t="shared" si="142"/>
        <v>NA</v>
      </c>
      <c r="AF298" s="69" t="e">
        <f t="shared" si="143"/>
        <v>#VALUE!</v>
      </c>
      <c r="AG298" s="69" t="e">
        <f t="shared" si="144"/>
        <v>#VALUE!</v>
      </c>
      <c r="AH298" s="69" t="e">
        <f t="shared" si="145"/>
        <v>#VALUE!</v>
      </c>
      <c r="AI298" s="69" t="e">
        <f t="shared" si="146"/>
        <v>#VALUE!</v>
      </c>
      <c r="AJ298" s="70" t="str">
        <f>IF(OR(ISTEXT('TECH DATA ENTRY'!L315)=TRUE,ISTEXT('TECH DATA ENTRY'!F315)=TRUE,ISTEXT('TECH DATA ENTRY'!G315)=TRUE),"NA",(W298-AB298)/(2*MAX(M298,L298)))</f>
        <v>NA</v>
      </c>
      <c r="AK298" s="69" t="str">
        <f t="shared" si="147"/>
        <v>NA</v>
      </c>
      <c r="AM298" s="73" t="e">
        <f t="shared" si="148"/>
        <v>#VALUE!</v>
      </c>
      <c r="AN298" s="73" t="e">
        <f t="shared" si="149"/>
        <v>#VALUE!</v>
      </c>
      <c r="AO298" s="87"/>
      <c r="AP298" s="73" t="e">
        <f t="shared" si="150"/>
        <v>#VALUE!</v>
      </c>
      <c r="AQ298" s="73" t="e">
        <f t="shared" si="151"/>
        <v>#VALUE!</v>
      </c>
      <c r="AR298" s="87"/>
      <c r="AS298" s="73" t="e">
        <f t="shared" si="152"/>
        <v>#VALUE!</v>
      </c>
      <c r="AT298" s="73" t="e">
        <f t="shared" si="153"/>
        <v>#VALUE!</v>
      </c>
      <c r="AV298" s="73" t="e">
        <f t="shared" si="154"/>
        <v>#VALUE!</v>
      </c>
      <c r="AW298" s="73" t="e">
        <f t="shared" si="155"/>
        <v>#VALUE!</v>
      </c>
      <c r="AX298" s="87"/>
      <c r="AY298" s="73" t="e">
        <f t="shared" si="156"/>
        <v>#VALUE!</v>
      </c>
      <c r="AZ298" s="73" t="e">
        <f t="shared" si="157"/>
        <v>#VALUE!</v>
      </c>
      <c r="BA298" s="87"/>
      <c r="BB298" s="73" t="e">
        <f t="shared" si="158"/>
        <v>#VALUE!</v>
      </c>
      <c r="BC298" s="73" t="e">
        <f t="shared" si="159"/>
        <v>#VALUE!</v>
      </c>
    </row>
    <row r="299" spans="1:55" s="296" customFormat="1" ht="28.15" customHeight="1">
      <c r="A299" s="550" t="str">
        <f>IF('TECH DATA ENTRY'!A316="","",'TECH DATA ENTRY'!A316)</f>
        <v/>
      </c>
      <c r="B299" s="551"/>
      <c r="C299" s="552"/>
      <c r="D299" s="551"/>
      <c r="E299" s="551"/>
      <c r="F299" s="551"/>
      <c r="G299" s="552"/>
      <c r="H299" s="551"/>
      <c r="I299" s="553"/>
      <c r="J299" s="224"/>
      <c r="K299" s="224"/>
      <c r="L299" s="224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AK299" s="297"/>
    </row>
    <row r="300" spans="1:55" s="31" customFormat="1" ht="22.15" customHeight="1">
      <c r="A300" s="76" t="str">
        <f>IF('TECH DATA ENTRY'!A317="","",'TECH DATA ENTRY'!A317)</f>
        <v xml:space="preserve"> Range 1.0 A</v>
      </c>
      <c r="H300" s="321"/>
      <c r="O300" s="77"/>
      <c r="AK300" s="1"/>
      <c r="AM300" s="637" t="s">
        <v>116</v>
      </c>
      <c r="AN300" s="637"/>
      <c r="AO300" s="637"/>
      <c r="AP300" s="637"/>
      <c r="AQ300" s="637"/>
      <c r="AR300" s="637"/>
      <c r="AS300" s="637"/>
      <c r="AT300" s="637"/>
      <c r="AV300" s="637" t="s">
        <v>117</v>
      </c>
      <c r="AW300" s="637"/>
      <c r="AX300" s="637"/>
      <c r="AY300" s="637"/>
      <c r="AZ300" s="637"/>
      <c r="BA300" s="637"/>
      <c r="BB300" s="637"/>
      <c r="BC300" s="637"/>
    </row>
    <row r="301" spans="1:55" s="225" customFormat="1" ht="4.9000000000000004" customHeight="1" thickBot="1">
      <c r="A301" s="288" t="str">
        <f>IF('TECH DATA ENTRY'!A318="","",'TECH DATA ENTRY'!A318)</f>
        <v/>
      </c>
      <c r="K301" s="239"/>
      <c r="L301" s="239"/>
      <c r="AK301" s="240"/>
    </row>
    <row r="302" spans="1:55" s="285" customFormat="1" ht="20.149999999999999" customHeight="1">
      <c r="A302" s="644" t="str">
        <f>IF('TECH DATA ENTRY'!A319="","",'TECH DATA ENTRY'!A319)</f>
        <v>Frequency</v>
      </c>
      <c r="B302" s="646" t="str">
        <f>IF('TECH DATA ENTRY'!B319="","",'TECH DATA ENTRY'!B319)</f>
        <v>Nominal</v>
      </c>
      <c r="C302" s="648" t="s">
        <v>2</v>
      </c>
      <c r="D302" s="648" t="str">
        <f>IF(LEFT(P$11,3)="ROV", "Measured Value", "As Found")</f>
        <v>As Found</v>
      </c>
      <c r="E302" s="648" t="str">
        <f>IF(LEFT(P$11,3)="ROV", "Correction", "As Left")</f>
        <v>As Left</v>
      </c>
      <c r="F302" s="648" t="s">
        <v>3</v>
      </c>
      <c r="G302" s="653" t="s">
        <v>4</v>
      </c>
      <c r="H302" s="659" t="s">
        <v>30</v>
      </c>
      <c r="I302" s="661" t="s">
        <v>28</v>
      </c>
      <c r="J302" s="284"/>
      <c r="L302" s="658" t="s">
        <v>38</v>
      </c>
      <c r="M302" s="616" t="s">
        <v>31</v>
      </c>
      <c r="N302" s="281"/>
      <c r="O302" s="286"/>
      <c r="P302" s="640" t="s">
        <v>136</v>
      </c>
      <c r="Q302" s="641"/>
      <c r="R302" s="642"/>
      <c r="S302" s="638" t="s">
        <v>115</v>
      </c>
      <c r="T302" s="638"/>
      <c r="U302" s="638"/>
      <c r="V302" s="638"/>
      <c r="W302" s="640" t="s">
        <v>64</v>
      </c>
      <c r="X302" s="641"/>
      <c r="Y302" s="641"/>
      <c r="Z302" s="641"/>
      <c r="AA302" s="641"/>
      <c r="AB302" s="642"/>
      <c r="AC302" s="638" t="s">
        <v>97</v>
      </c>
      <c r="AD302" s="638"/>
      <c r="AE302" s="638"/>
      <c r="AF302" s="638" t="s">
        <v>127</v>
      </c>
      <c r="AG302" s="638"/>
      <c r="AH302" s="638" t="s">
        <v>128</v>
      </c>
      <c r="AI302" s="638"/>
      <c r="AJ302" s="638" t="s">
        <v>28</v>
      </c>
      <c r="AK302" s="638" t="s">
        <v>121</v>
      </c>
      <c r="AL302" s="308"/>
      <c r="AM302" s="639" t="s">
        <v>122</v>
      </c>
      <c r="AN302" s="639"/>
      <c r="AO302" s="308"/>
      <c r="AP302" s="639" t="s">
        <v>119</v>
      </c>
      <c r="AQ302" s="639"/>
      <c r="AR302" s="308"/>
      <c r="AS302" s="639" t="s">
        <v>120</v>
      </c>
      <c r="AT302" s="639"/>
      <c r="AU302" s="308"/>
      <c r="AV302" s="639" t="s">
        <v>122</v>
      </c>
      <c r="AW302" s="639"/>
      <c r="AX302" s="308"/>
      <c r="AY302" s="639" t="s">
        <v>119</v>
      </c>
      <c r="AZ302" s="639"/>
      <c r="BA302" s="308"/>
      <c r="BB302" s="639" t="s">
        <v>120</v>
      </c>
      <c r="BC302" s="639"/>
    </row>
    <row r="303" spans="1:55" s="285" customFormat="1" ht="20.149999999999999" customHeight="1" thickBot="1">
      <c r="A303" s="645"/>
      <c r="B303" s="647"/>
      <c r="C303" s="649"/>
      <c r="D303" s="649"/>
      <c r="E303" s="649"/>
      <c r="F303" s="649"/>
      <c r="G303" s="654"/>
      <c r="H303" s="660"/>
      <c r="I303" s="662"/>
      <c r="J303" s="284"/>
      <c r="L303" s="649"/>
      <c r="M303" s="617"/>
      <c r="O303" s="281"/>
      <c r="P303" s="309" t="s">
        <v>122</v>
      </c>
      <c r="Q303" s="309" t="s">
        <v>119</v>
      </c>
      <c r="R303" s="309" t="s">
        <v>120</v>
      </c>
      <c r="S303" s="309" t="s">
        <v>122</v>
      </c>
      <c r="T303" s="309" t="s">
        <v>119</v>
      </c>
      <c r="U303" s="309" t="s">
        <v>120</v>
      </c>
      <c r="V303" s="309" t="s">
        <v>118</v>
      </c>
      <c r="W303" s="309" t="s">
        <v>63</v>
      </c>
      <c r="X303" s="309" t="s">
        <v>69</v>
      </c>
      <c r="Y303" s="309" t="s">
        <v>71</v>
      </c>
      <c r="Z303" s="309" t="s">
        <v>72</v>
      </c>
      <c r="AA303" s="309" t="s">
        <v>70</v>
      </c>
      <c r="AB303" s="309" t="s">
        <v>75</v>
      </c>
      <c r="AC303" s="309" t="s">
        <v>78</v>
      </c>
      <c r="AD303" s="309" t="s">
        <v>119</v>
      </c>
      <c r="AE303" s="309" t="s">
        <v>120</v>
      </c>
      <c r="AF303" s="309" t="s">
        <v>129</v>
      </c>
      <c r="AG303" s="309" t="s">
        <v>130</v>
      </c>
      <c r="AH303" s="309" t="s">
        <v>129</v>
      </c>
      <c r="AI303" s="309" t="s">
        <v>130</v>
      </c>
      <c r="AJ303" s="652"/>
      <c r="AK303" s="652"/>
      <c r="AL303" s="308"/>
      <c r="AM303" s="310" t="s">
        <v>67</v>
      </c>
      <c r="AN303" s="310" t="s">
        <v>68</v>
      </c>
      <c r="AO303" s="308"/>
      <c r="AP303" s="310" t="s">
        <v>67</v>
      </c>
      <c r="AQ303" s="310" t="s">
        <v>68</v>
      </c>
      <c r="AR303" s="308"/>
      <c r="AS303" s="310" t="s">
        <v>67</v>
      </c>
      <c r="AT303" s="310" t="s">
        <v>68</v>
      </c>
      <c r="AU303" s="308"/>
      <c r="AV303" s="310" t="s">
        <v>67</v>
      </c>
      <c r="AW303" s="310" t="s">
        <v>68</v>
      </c>
      <c r="AX303" s="308"/>
      <c r="AY303" s="310" t="s">
        <v>67</v>
      </c>
      <c r="AZ303" s="310" t="s">
        <v>68</v>
      </c>
      <c r="BA303" s="308"/>
      <c r="BB303" s="310" t="s">
        <v>67</v>
      </c>
      <c r="BC303" s="310" t="s">
        <v>68</v>
      </c>
    </row>
    <row r="304" spans="1:55" s="86" customFormat="1" ht="25" customHeight="1" thickTop="1">
      <c r="A304" s="466" t="str">
        <f>IF('TECH DATA ENTRY'!A321="","",'TECH DATA ENTRY'!A321)</f>
        <v>45 Hz</v>
      </c>
      <c r="B304" s="456">
        <f>IF('TECH DATA ENTRY'!B321="","",'TECH DATA ENTRY'!B321)</f>
        <v>1</v>
      </c>
      <c r="C304" s="567">
        <f>IF(B304="","",IFERROR('TECH DATA ENTRY'!F321,"NA"))</f>
        <v>0.99860000000000004</v>
      </c>
      <c r="D304" s="567" t="str">
        <f>IF('TECH DATA ENTRY'!L321="","",'TECH DATA ENTRY'!L321)</f>
        <v/>
      </c>
      <c r="E304" s="567" t="str">
        <f t="shared" si="131"/>
        <v/>
      </c>
      <c r="F304" s="567">
        <f>IF(B304="","",IFERROR('TECH DATA ENTRY'!G321,"NA"))</f>
        <v>1.0014000000000001</v>
      </c>
      <c r="G304" s="568" t="str">
        <f t="shared" si="132"/>
        <v/>
      </c>
      <c r="H304" s="567" t="str">
        <f>IF(OR(ISTEXT(B304)=TRUE, D304="NA",D304=""),"NA", roundsf(MAX(L304,M304),C304))</f>
        <v>NA</v>
      </c>
      <c r="I304" s="558" t="str">
        <f t="shared" si="133"/>
        <v>NA</v>
      </c>
      <c r="J304" s="299"/>
      <c r="K304" s="245"/>
      <c r="L304" s="506">
        <f>(272/1000000)*B304+(35/1000000)</f>
        <v>3.0699999999999998E-4</v>
      </c>
      <c r="M304" s="244" t="str">
        <f>UNC_CALCULATION!AM293</f>
        <v>NA</v>
      </c>
      <c r="N304" s="85"/>
      <c r="O304" s="58"/>
      <c r="P304" s="69" t="e">
        <f>IF(B304="","",INDEX('AUX TABLES'!$G$4:$K$8,AV304,AW304))</f>
        <v>#VALUE!</v>
      </c>
      <c r="Q304" s="150" t="e">
        <f>IF(AJ$11=FALSE,IF(B304="","",IF(AJ304="NA",P304,INDEX('AUX TABLES'!$G$4:$K$8,AY304,AZ304))),IF(P304="FAIL",P304,INDEX('AUX TABLES'!$G$4:$K$8,AY304,AZ304)))</f>
        <v>#VALUE!</v>
      </c>
      <c r="R304" s="150" t="e">
        <f>IF(AJ$11=FALSE,IF(B304="","",IF(AJ304="NA",P304,INDEX('AUX TABLES'!$G$4:$K$8,BB304,BC304))),IF(P304="FAIL",P304,INDEX('AUX TABLES'!$G$4:$K$8,BB304,BC304)))</f>
        <v>#VALUE!</v>
      </c>
      <c r="S304" s="69" t="e">
        <f>INDEX('AUX TABLES'!$G$4:$K$8,AM304,AN304)</f>
        <v>#VALUE!</v>
      </c>
      <c r="T304" s="69" t="e">
        <f>IF(AJ$11=FALSE,IF(AJ304="NA",S304,INDEX('AUX TABLES'!$G$4:$K$8,AP304,AQ304)),IF(S304="FAIL",S304,INDEX('AUX TABLES'!$G$4:$K$8,AP304,AQ304)))</f>
        <v>#VALUE!</v>
      </c>
      <c r="U304" s="150" t="e">
        <f>IF(AJ$11=FALSE,IF(AJ304="NA",S304,INDEX('AUX TABLES'!$G$4:$K$8,AS304,AT304)),IF(S304="FAIL",S304,INDEX('AUX TABLES'!$G$4:$K$8,AS304,AT304)))</f>
        <v>#VALUE!</v>
      </c>
      <c r="V304" s="150" t="str">
        <f t="shared" si="134"/>
        <v/>
      </c>
      <c r="W304" s="74">
        <f t="shared" si="135"/>
        <v>1.0014000000000001</v>
      </c>
      <c r="X304" s="74" t="str">
        <f t="shared" si="136"/>
        <v>NA</v>
      </c>
      <c r="Y304" s="74" t="str">
        <f t="shared" si="137"/>
        <v>NA</v>
      </c>
      <c r="Z304" s="74" t="str">
        <f t="shared" si="138"/>
        <v>NA</v>
      </c>
      <c r="AA304" s="74" t="str">
        <f t="shared" si="139"/>
        <v>NA</v>
      </c>
      <c r="AB304" s="74">
        <f t="shared" si="140"/>
        <v>0.99860000000000004</v>
      </c>
      <c r="AC304" s="69" t="str">
        <f>IF(ISTEXT('TECH DATA ENTRY'!L321)=TRUE,"NA",'TECH DATA ENTRY'!H321)</f>
        <v>NA</v>
      </c>
      <c r="AD304" s="69" t="str">
        <f t="shared" si="141"/>
        <v>NA</v>
      </c>
      <c r="AE304" s="69" t="str">
        <f t="shared" si="142"/>
        <v>NA</v>
      </c>
      <c r="AF304" s="69" t="e">
        <f t="shared" si="143"/>
        <v>#VALUE!</v>
      </c>
      <c r="AG304" s="69" t="e">
        <f t="shared" si="144"/>
        <v>#VALUE!</v>
      </c>
      <c r="AH304" s="69" t="e">
        <f t="shared" si="145"/>
        <v>#VALUE!</v>
      </c>
      <c r="AI304" s="69" t="e">
        <f t="shared" si="146"/>
        <v>#VALUE!</v>
      </c>
      <c r="AJ304" s="70" t="str">
        <f>IF(OR(ISTEXT('TECH DATA ENTRY'!L321)=TRUE,ISTEXT('TECH DATA ENTRY'!F321)=TRUE,ISTEXT('TECH DATA ENTRY'!G321)=TRUE),"NA",(W304-AB304)/(2*MAX(M304,L304)))</f>
        <v>NA</v>
      </c>
      <c r="AK304" s="69" t="str">
        <f t="shared" si="147"/>
        <v>NA</v>
      </c>
      <c r="AM304" s="73" t="e">
        <f t="shared" si="148"/>
        <v>#VALUE!</v>
      </c>
      <c r="AN304" s="73" t="e">
        <f t="shared" si="149"/>
        <v>#VALUE!</v>
      </c>
      <c r="AO304" s="87"/>
      <c r="AP304" s="73" t="e">
        <f t="shared" si="150"/>
        <v>#VALUE!</v>
      </c>
      <c r="AQ304" s="73" t="e">
        <f t="shared" si="151"/>
        <v>#VALUE!</v>
      </c>
      <c r="AR304" s="87"/>
      <c r="AS304" s="73" t="e">
        <f t="shared" si="152"/>
        <v>#VALUE!</v>
      </c>
      <c r="AT304" s="73" t="e">
        <f t="shared" si="153"/>
        <v>#VALUE!</v>
      </c>
      <c r="AV304" s="73" t="e">
        <f t="shared" si="154"/>
        <v>#VALUE!</v>
      </c>
      <c r="AW304" s="73" t="e">
        <f t="shared" si="155"/>
        <v>#VALUE!</v>
      </c>
      <c r="AX304" s="87"/>
      <c r="AY304" s="73" t="e">
        <f t="shared" si="156"/>
        <v>#VALUE!</v>
      </c>
      <c r="AZ304" s="73" t="e">
        <f t="shared" si="157"/>
        <v>#VALUE!</v>
      </c>
      <c r="BA304" s="87"/>
      <c r="BB304" s="73" t="e">
        <f t="shared" si="158"/>
        <v>#VALUE!</v>
      </c>
      <c r="BC304" s="73" t="e">
        <f t="shared" si="159"/>
        <v>#VALUE!</v>
      </c>
    </row>
    <row r="305" spans="1:55" s="86" customFormat="1" ht="25" customHeight="1">
      <c r="A305" s="466" t="str">
        <f>IF('TECH DATA ENTRY'!A322="","",'TECH DATA ENTRY'!A322)</f>
        <v>1 kHz</v>
      </c>
      <c r="B305" s="456">
        <f>IF('TECH DATA ENTRY'!B322="","",'TECH DATA ENTRY'!B322)</f>
        <v>1</v>
      </c>
      <c r="C305" s="456">
        <f>IF(B305="","",IFERROR('TECH DATA ENTRY'!F322,"NA"))</f>
        <v>0.99860000000000004</v>
      </c>
      <c r="D305" s="456" t="str">
        <f>IF('TECH DATA ENTRY'!L322="","",'TECH DATA ENTRY'!L322)</f>
        <v/>
      </c>
      <c r="E305" s="456" t="str">
        <f t="shared" si="131"/>
        <v/>
      </c>
      <c r="F305" s="456">
        <f>IF(B305="","",IFERROR('TECH DATA ENTRY'!G322,"NA"))</f>
        <v>1.0014000000000001</v>
      </c>
      <c r="G305" s="595" t="str">
        <f t="shared" si="132"/>
        <v/>
      </c>
      <c r="H305" s="456" t="str">
        <f>IF(OR(ISTEXT(B305)=TRUE, D305="NA",D305=""),"NA", roundsf(MAX(L305,M305),C305))</f>
        <v>NA</v>
      </c>
      <c r="I305" s="325" t="str">
        <f t="shared" si="133"/>
        <v>NA</v>
      </c>
      <c r="J305" s="299"/>
      <c r="K305" s="245"/>
      <c r="L305" s="506">
        <f>(272/1000000)*B305+(35/1000000)</f>
        <v>3.0699999999999998E-4</v>
      </c>
      <c r="M305" s="244" t="str">
        <f>UNC_CALCULATION!AM294</f>
        <v>NA</v>
      </c>
      <c r="N305" s="85"/>
      <c r="O305" s="58"/>
      <c r="P305" s="69" t="e">
        <f>IF(B305="","",INDEX('AUX TABLES'!$G$4:$K$8,AV305,AW305))</f>
        <v>#VALUE!</v>
      </c>
      <c r="Q305" s="150" t="e">
        <f>IF(AJ$11=FALSE,IF(B305="","",IF(AJ305="NA",P305,INDEX('AUX TABLES'!$G$4:$K$8,AY305,AZ305))),IF(P305="FAIL",P305,INDEX('AUX TABLES'!$G$4:$K$8,AY305,AZ305)))</f>
        <v>#VALUE!</v>
      </c>
      <c r="R305" s="150" t="e">
        <f>IF(AJ$11=FALSE,IF(B305="","",IF(AJ305="NA",P305,INDEX('AUX TABLES'!$G$4:$K$8,BB305,BC305))),IF(P305="FAIL",P305,INDEX('AUX TABLES'!$G$4:$K$8,BB305,BC305)))</f>
        <v>#VALUE!</v>
      </c>
      <c r="S305" s="69" t="e">
        <f>INDEX('AUX TABLES'!$G$4:$K$8,AM305,AN305)</f>
        <v>#VALUE!</v>
      </c>
      <c r="T305" s="69" t="e">
        <f>IF(AJ$11=FALSE,IF(AJ305="NA",S305,INDEX('AUX TABLES'!$G$4:$K$8,AP305,AQ305)),IF(S305="FAIL",S305,INDEX('AUX TABLES'!$G$4:$K$8,AP305,AQ305)))</f>
        <v>#VALUE!</v>
      </c>
      <c r="U305" s="150" t="e">
        <f>IF(AJ$11=FALSE,IF(AJ305="NA",S305,INDEX('AUX TABLES'!$G$4:$K$8,AS305,AT305)),IF(S305="FAIL",S305,INDEX('AUX TABLES'!$G$4:$K$8,AS305,AT305)))</f>
        <v>#VALUE!</v>
      </c>
      <c r="V305" s="150" t="str">
        <f t="shared" si="134"/>
        <v/>
      </c>
      <c r="W305" s="74">
        <f t="shared" si="135"/>
        <v>1.0014000000000001</v>
      </c>
      <c r="X305" s="74" t="str">
        <f t="shared" si="136"/>
        <v>NA</v>
      </c>
      <c r="Y305" s="74" t="str">
        <f t="shared" si="137"/>
        <v>NA</v>
      </c>
      <c r="Z305" s="74" t="str">
        <f t="shared" si="138"/>
        <v>NA</v>
      </c>
      <c r="AA305" s="74" t="str">
        <f t="shared" si="139"/>
        <v>NA</v>
      </c>
      <c r="AB305" s="74">
        <f t="shared" si="140"/>
        <v>0.99860000000000004</v>
      </c>
      <c r="AC305" s="69" t="str">
        <f>IF(ISTEXT('TECH DATA ENTRY'!L322)=TRUE,"NA",'TECH DATA ENTRY'!H322)</f>
        <v>NA</v>
      </c>
      <c r="AD305" s="69" t="str">
        <f t="shared" si="141"/>
        <v>NA</v>
      </c>
      <c r="AE305" s="69" t="str">
        <f t="shared" si="142"/>
        <v>NA</v>
      </c>
      <c r="AF305" s="69" t="e">
        <f t="shared" si="143"/>
        <v>#VALUE!</v>
      </c>
      <c r="AG305" s="69" t="e">
        <f t="shared" si="144"/>
        <v>#VALUE!</v>
      </c>
      <c r="AH305" s="69" t="e">
        <f t="shared" si="145"/>
        <v>#VALUE!</v>
      </c>
      <c r="AI305" s="69" t="e">
        <f t="shared" si="146"/>
        <v>#VALUE!</v>
      </c>
      <c r="AJ305" s="70" t="str">
        <f>IF(OR(ISTEXT('TECH DATA ENTRY'!L322)=TRUE,ISTEXT('TECH DATA ENTRY'!F322)=TRUE,ISTEXT('TECH DATA ENTRY'!G322)=TRUE),"NA",(W305-AB305)/(2*MAX(M305,L305)))</f>
        <v>NA</v>
      </c>
      <c r="AK305" s="69" t="str">
        <f t="shared" si="147"/>
        <v>NA</v>
      </c>
      <c r="AM305" s="73" t="e">
        <f t="shared" si="148"/>
        <v>#VALUE!</v>
      </c>
      <c r="AN305" s="73" t="e">
        <f t="shared" si="149"/>
        <v>#VALUE!</v>
      </c>
      <c r="AO305" s="87"/>
      <c r="AP305" s="73" t="e">
        <f t="shared" si="150"/>
        <v>#VALUE!</v>
      </c>
      <c r="AQ305" s="73" t="e">
        <f t="shared" si="151"/>
        <v>#VALUE!</v>
      </c>
      <c r="AR305" s="87"/>
      <c r="AS305" s="73" t="e">
        <f t="shared" si="152"/>
        <v>#VALUE!</v>
      </c>
      <c r="AT305" s="73" t="e">
        <f t="shared" si="153"/>
        <v>#VALUE!</v>
      </c>
      <c r="AV305" s="73" t="e">
        <f t="shared" si="154"/>
        <v>#VALUE!</v>
      </c>
      <c r="AW305" s="73" t="e">
        <f t="shared" si="155"/>
        <v>#VALUE!</v>
      </c>
      <c r="AX305" s="87"/>
      <c r="AY305" s="73" t="e">
        <f t="shared" si="156"/>
        <v>#VALUE!</v>
      </c>
      <c r="AZ305" s="73" t="e">
        <f t="shared" si="157"/>
        <v>#VALUE!</v>
      </c>
      <c r="BA305" s="87"/>
      <c r="BB305" s="73" t="e">
        <f t="shared" si="158"/>
        <v>#VALUE!</v>
      </c>
      <c r="BC305" s="73" t="e">
        <f t="shared" si="159"/>
        <v>#VALUE!</v>
      </c>
    </row>
    <row r="306" spans="1:55" s="86" customFormat="1" ht="25" customHeight="1">
      <c r="A306" s="466" t="str">
        <f>IF('TECH DATA ENTRY'!A323="","",'TECH DATA ENTRY'!A323)</f>
        <v>5 kHz</v>
      </c>
      <c r="B306" s="456">
        <f>IF('TECH DATA ENTRY'!B323="","",'TECH DATA ENTRY'!B323)</f>
        <v>1</v>
      </c>
      <c r="C306" s="456">
        <f>IF(B306="","",IFERROR('TECH DATA ENTRY'!F323,"NA"))</f>
        <v>0.99860000000000004</v>
      </c>
      <c r="D306" s="456" t="str">
        <f>IF('TECH DATA ENTRY'!L323="","",'TECH DATA ENTRY'!L323)</f>
        <v/>
      </c>
      <c r="E306" s="456" t="str">
        <f t="shared" si="131"/>
        <v/>
      </c>
      <c r="F306" s="456">
        <f>IF(B306="","",IFERROR('TECH DATA ENTRY'!G323,"NA"))</f>
        <v>1.0014000000000001</v>
      </c>
      <c r="G306" s="595" t="str">
        <f t="shared" si="132"/>
        <v/>
      </c>
      <c r="H306" s="456" t="str">
        <f>IF(OR(ISTEXT(B306)=TRUE, D306="NA",D306=""),"NA", roundsf(MAX(L306,M306),C306))</f>
        <v>NA</v>
      </c>
      <c r="I306" s="325" t="str">
        <f t="shared" si="133"/>
        <v>NA</v>
      </c>
      <c r="J306" s="299"/>
      <c r="K306" s="245"/>
      <c r="L306" s="506">
        <f>(441/1000000)*B306+(80/1000000)</f>
        <v>5.2099999999999998E-4</v>
      </c>
      <c r="M306" s="244" t="str">
        <f>UNC_CALCULATION!AM295</f>
        <v>NA</v>
      </c>
      <c r="N306" s="85"/>
      <c r="O306" s="58"/>
      <c r="P306" s="69" t="e">
        <f>IF(B306="","",INDEX('AUX TABLES'!$G$4:$K$8,AV306,AW306))</f>
        <v>#VALUE!</v>
      </c>
      <c r="Q306" s="150" t="e">
        <f>IF(AJ$11=FALSE,IF(B306="","",IF(AJ306="NA",P306,INDEX('AUX TABLES'!$G$4:$K$8,AY306,AZ306))),IF(P306="FAIL",P306,INDEX('AUX TABLES'!$G$4:$K$8,AY306,AZ306)))</f>
        <v>#VALUE!</v>
      </c>
      <c r="R306" s="150" t="e">
        <f>IF(AJ$11=FALSE,IF(B306="","",IF(AJ306="NA",P306,INDEX('AUX TABLES'!$G$4:$K$8,BB306,BC306))),IF(P306="FAIL",P306,INDEX('AUX TABLES'!$G$4:$K$8,BB306,BC306)))</f>
        <v>#VALUE!</v>
      </c>
      <c r="S306" s="69" t="e">
        <f>INDEX('AUX TABLES'!$G$4:$K$8,AM306,AN306)</f>
        <v>#VALUE!</v>
      </c>
      <c r="T306" s="69" t="e">
        <f>IF(AJ$11=FALSE,IF(AJ306="NA",S306,INDEX('AUX TABLES'!$G$4:$K$8,AP306,AQ306)),IF(S306="FAIL",S306,INDEX('AUX TABLES'!$G$4:$K$8,AP306,AQ306)))</f>
        <v>#VALUE!</v>
      </c>
      <c r="U306" s="150" t="e">
        <f>IF(AJ$11=FALSE,IF(AJ306="NA",S306,INDEX('AUX TABLES'!$G$4:$K$8,AS306,AT306)),IF(S306="FAIL",S306,INDEX('AUX TABLES'!$G$4:$K$8,AS306,AT306)))</f>
        <v>#VALUE!</v>
      </c>
      <c r="V306" s="150" t="str">
        <f t="shared" si="134"/>
        <v/>
      </c>
      <c r="W306" s="74">
        <f t="shared" si="135"/>
        <v>1.0014000000000001</v>
      </c>
      <c r="X306" s="74" t="str">
        <f t="shared" si="136"/>
        <v>NA</v>
      </c>
      <c r="Y306" s="74" t="str">
        <f t="shared" si="137"/>
        <v>NA</v>
      </c>
      <c r="Z306" s="74" t="str">
        <f t="shared" si="138"/>
        <v>NA</v>
      </c>
      <c r="AA306" s="74" t="str">
        <f t="shared" si="139"/>
        <v>NA</v>
      </c>
      <c r="AB306" s="74">
        <f t="shared" si="140"/>
        <v>0.99860000000000004</v>
      </c>
      <c r="AC306" s="69" t="str">
        <f>IF(ISTEXT('TECH DATA ENTRY'!L323)=TRUE,"NA",'TECH DATA ENTRY'!H323)</f>
        <v>NA</v>
      </c>
      <c r="AD306" s="69" t="str">
        <f t="shared" si="141"/>
        <v>NA</v>
      </c>
      <c r="AE306" s="69" t="str">
        <f t="shared" si="142"/>
        <v>NA</v>
      </c>
      <c r="AF306" s="69" t="e">
        <f t="shared" si="143"/>
        <v>#VALUE!</v>
      </c>
      <c r="AG306" s="69" t="e">
        <f t="shared" si="144"/>
        <v>#VALUE!</v>
      </c>
      <c r="AH306" s="69" t="e">
        <f t="shared" si="145"/>
        <v>#VALUE!</v>
      </c>
      <c r="AI306" s="69" t="e">
        <f t="shared" si="146"/>
        <v>#VALUE!</v>
      </c>
      <c r="AJ306" s="70" t="str">
        <f>IF(OR(ISTEXT('TECH DATA ENTRY'!L323)=TRUE,ISTEXT('TECH DATA ENTRY'!F323)=TRUE,ISTEXT('TECH DATA ENTRY'!G323)=TRUE),"NA",(W306-AB306)/(2*MAX(M306,L306)))</f>
        <v>NA</v>
      </c>
      <c r="AK306" s="69" t="str">
        <f t="shared" si="147"/>
        <v>NA</v>
      </c>
      <c r="AM306" s="73" t="e">
        <f t="shared" si="148"/>
        <v>#VALUE!</v>
      </c>
      <c r="AN306" s="73" t="e">
        <f t="shared" si="149"/>
        <v>#VALUE!</v>
      </c>
      <c r="AO306" s="87"/>
      <c r="AP306" s="73" t="e">
        <f t="shared" si="150"/>
        <v>#VALUE!</v>
      </c>
      <c r="AQ306" s="73" t="e">
        <f t="shared" si="151"/>
        <v>#VALUE!</v>
      </c>
      <c r="AR306" s="87"/>
      <c r="AS306" s="73" t="e">
        <f t="shared" si="152"/>
        <v>#VALUE!</v>
      </c>
      <c r="AT306" s="73" t="e">
        <f t="shared" si="153"/>
        <v>#VALUE!</v>
      </c>
      <c r="AV306" s="73" t="e">
        <f t="shared" si="154"/>
        <v>#VALUE!</v>
      </c>
      <c r="AW306" s="73" t="e">
        <f t="shared" si="155"/>
        <v>#VALUE!</v>
      </c>
      <c r="AX306" s="87"/>
      <c r="AY306" s="73" t="e">
        <f t="shared" si="156"/>
        <v>#VALUE!</v>
      </c>
      <c r="AZ306" s="73" t="e">
        <f t="shared" si="157"/>
        <v>#VALUE!</v>
      </c>
      <c r="BA306" s="87"/>
      <c r="BB306" s="73" t="e">
        <f t="shared" si="158"/>
        <v>#VALUE!</v>
      </c>
      <c r="BC306" s="73" t="e">
        <f t="shared" si="159"/>
        <v>#VALUE!</v>
      </c>
    </row>
    <row r="307" spans="1:55" s="86" customFormat="1" ht="25" customHeight="1" thickBot="1">
      <c r="A307" s="467" t="str">
        <f>IF('TECH DATA ENTRY'!A324="","",'TECH DATA ENTRY'!A324)</f>
        <v>10 kHz</v>
      </c>
      <c r="B307" s="469">
        <f>IF('TECH DATA ENTRY'!B324="","",'TECH DATA ENTRY'!B324)</f>
        <v>1</v>
      </c>
      <c r="C307" s="584">
        <f>IF(B307="","",IFERROR('TECH DATA ENTRY'!F324,"NA"))</f>
        <v>0.98950000000000005</v>
      </c>
      <c r="D307" s="584" t="str">
        <f>IF('TECH DATA ENTRY'!L324="","",'TECH DATA ENTRY'!L324)</f>
        <v/>
      </c>
      <c r="E307" s="584" t="str">
        <f t="shared" si="131"/>
        <v/>
      </c>
      <c r="F307" s="584">
        <f>IF(B307="","",IFERROR('TECH DATA ENTRY'!G324,"NA"))</f>
        <v>1.0105</v>
      </c>
      <c r="G307" s="585" t="str">
        <f t="shared" si="132"/>
        <v/>
      </c>
      <c r="H307" s="584" t="str">
        <f>IF(OR(ISTEXT(B307)=TRUE, D307="NA",D307=""),"NA", roundsf(MAX(L307,M307),C307))</f>
        <v>NA</v>
      </c>
      <c r="I307" s="575" t="str">
        <f t="shared" si="133"/>
        <v>NA</v>
      </c>
      <c r="J307" s="299"/>
      <c r="K307" s="245"/>
      <c r="L307" s="506">
        <f>(6.8/1000)*B307+(160/1000000)</f>
        <v>6.96E-3</v>
      </c>
      <c r="M307" s="244" t="str">
        <f>UNC_CALCULATION!AM296</f>
        <v>NA</v>
      </c>
      <c r="N307" s="85"/>
      <c r="O307" s="58"/>
      <c r="P307" s="69" t="e">
        <f>IF(B307="","",INDEX('AUX TABLES'!$G$4:$K$8,AV307,AW307))</f>
        <v>#VALUE!</v>
      </c>
      <c r="Q307" s="150" t="e">
        <f>IF(AJ$11=FALSE,IF(B307="","",IF(AJ307="NA",P307,INDEX('AUX TABLES'!$G$4:$K$8,AY307,AZ307))),IF(P307="FAIL",P307,INDEX('AUX TABLES'!$G$4:$K$8,AY307,AZ307)))</f>
        <v>#VALUE!</v>
      </c>
      <c r="R307" s="150" t="e">
        <f>IF(AJ$11=FALSE,IF(B307="","",IF(AJ307="NA",P307,INDEX('AUX TABLES'!$G$4:$K$8,BB307,BC307))),IF(P307="FAIL",P307,INDEX('AUX TABLES'!$G$4:$K$8,BB307,BC307)))</f>
        <v>#VALUE!</v>
      </c>
      <c r="S307" s="69" t="e">
        <f>INDEX('AUX TABLES'!$G$4:$K$8,AM307,AN307)</f>
        <v>#VALUE!</v>
      </c>
      <c r="T307" s="69" t="e">
        <f>IF(AJ$11=FALSE,IF(AJ307="NA",S307,INDEX('AUX TABLES'!$G$4:$K$8,AP307,AQ307)),IF(S307="FAIL",S307,INDEX('AUX TABLES'!$G$4:$K$8,AP307,AQ307)))</f>
        <v>#VALUE!</v>
      </c>
      <c r="U307" s="150" t="e">
        <f>IF(AJ$11=FALSE,IF(AJ307="NA",S307,INDEX('AUX TABLES'!$G$4:$K$8,AS307,AT307)),IF(S307="FAIL",S307,INDEX('AUX TABLES'!$G$4:$K$8,AS307,AT307)))</f>
        <v>#VALUE!</v>
      </c>
      <c r="V307" s="150" t="str">
        <f t="shared" si="134"/>
        <v/>
      </c>
      <c r="W307" s="74">
        <f t="shared" si="135"/>
        <v>1.0105</v>
      </c>
      <c r="X307" s="74" t="str">
        <f t="shared" si="136"/>
        <v>NA</v>
      </c>
      <c r="Y307" s="74" t="str">
        <f t="shared" si="137"/>
        <v>NA</v>
      </c>
      <c r="Z307" s="74" t="str">
        <f t="shared" si="138"/>
        <v>NA</v>
      </c>
      <c r="AA307" s="74" t="str">
        <f t="shared" si="139"/>
        <v>NA</v>
      </c>
      <c r="AB307" s="74">
        <f t="shared" si="140"/>
        <v>0.98950000000000005</v>
      </c>
      <c r="AC307" s="69" t="str">
        <f>IF(ISTEXT('TECH DATA ENTRY'!L324)=TRUE,"NA",'TECH DATA ENTRY'!H324)</f>
        <v>NA</v>
      </c>
      <c r="AD307" s="69" t="str">
        <f t="shared" si="141"/>
        <v>NA</v>
      </c>
      <c r="AE307" s="69" t="str">
        <f t="shared" si="142"/>
        <v>NA</v>
      </c>
      <c r="AF307" s="69" t="e">
        <f t="shared" si="143"/>
        <v>#VALUE!</v>
      </c>
      <c r="AG307" s="69" t="e">
        <f t="shared" si="144"/>
        <v>#VALUE!</v>
      </c>
      <c r="AH307" s="69" t="e">
        <f t="shared" si="145"/>
        <v>#VALUE!</v>
      </c>
      <c r="AI307" s="69" t="e">
        <f t="shared" si="146"/>
        <v>#VALUE!</v>
      </c>
      <c r="AJ307" s="70" t="str">
        <f>IF(OR(ISTEXT('TECH DATA ENTRY'!L324)=TRUE,ISTEXT('TECH DATA ENTRY'!F324)=TRUE,ISTEXT('TECH DATA ENTRY'!G324)=TRUE),"NA",(W307-AB307)/(2*MAX(M307,L307)))</f>
        <v>NA</v>
      </c>
      <c r="AK307" s="69" t="str">
        <f t="shared" si="147"/>
        <v>NA</v>
      </c>
      <c r="AM307" s="73" t="e">
        <f t="shared" si="148"/>
        <v>#VALUE!</v>
      </c>
      <c r="AN307" s="73" t="e">
        <f t="shared" si="149"/>
        <v>#VALUE!</v>
      </c>
      <c r="AO307" s="87"/>
      <c r="AP307" s="73" t="e">
        <f t="shared" si="150"/>
        <v>#VALUE!</v>
      </c>
      <c r="AQ307" s="73" t="e">
        <f t="shared" si="151"/>
        <v>#VALUE!</v>
      </c>
      <c r="AR307" s="87"/>
      <c r="AS307" s="73" t="e">
        <f t="shared" si="152"/>
        <v>#VALUE!</v>
      </c>
      <c r="AT307" s="73" t="e">
        <f t="shared" si="153"/>
        <v>#VALUE!</v>
      </c>
      <c r="AV307" s="73" t="e">
        <f t="shared" si="154"/>
        <v>#VALUE!</v>
      </c>
      <c r="AW307" s="73" t="e">
        <f t="shared" si="155"/>
        <v>#VALUE!</v>
      </c>
      <c r="AX307" s="87"/>
      <c r="AY307" s="73" t="e">
        <f t="shared" si="156"/>
        <v>#VALUE!</v>
      </c>
      <c r="AZ307" s="73" t="e">
        <f t="shared" si="157"/>
        <v>#VALUE!</v>
      </c>
      <c r="BA307" s="87"/>
      <c r="BB307" s="73" t="e">
        <f t="shared" si="158"/>
        <v>#VALUE!</v>
      </c>
      <c r="BC307" s="73" t="e">
        <f t="shared" si="159"/>
        <v>#VALUE!</v>
      </c>
    </row>
    <row r="308" spans="1:55" s="296" customFormat="1" ht="28.15" customHeight="1">
      <c r="A308" s="550" t="str">
        <f>IF('TECH DATA ENTRY'!A325="","",'TECH DATA ENTRY'!A325)</f>
        <v/>
      </c>
      <c r="B308" s="551"/>
      <c r="C308" s="552"/>
      <c r="D308" s="551"/>
      <c r="E308" s="551"/>
      <c r="F308" s="551"/>
      <c r="G308" s="552"/>
      <c r="H308" s="551"/>
      <c r="I308" s="553"/>
      <c r="J308" s="224"/>
      <c r="K308" s="224"/>
      <c r="L308" s="224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AK308" s="297"/>
    </row>
    <row r="309" spans="1:55" s="31" customFormat="1" ht="22.15" customHeight="1">
      <c r="A309" s="76" t="str">
        <f>IF('TECH DATA ENTRY'!A326="","",'TECH DATA ENTRY'!A326)</f>
        <v>Range 3.0 A</v>
      </c>
      <c r="H309" s="321"/>
      <c r="O309" s="77"/>
      <c r="AK309" s="1"/>
      <c r="AM309" s="637" t="s">
        <v>116</v>
      </c>
      <c r="AN309" s="637"/>
      <c r="AO309" s="637"/>
      <c r="AP309" s="637"/>
      <c r="AQ309" s="637"/>
      <c r="AR309" s="637"/>
      <c r="AS309" s="637"/>
      <c r="AT309" s="637"/>
      <c r="AV309" s="637" t="s">
        <v>117</v>
      </c>
      <c r="AW309" s="637"/>
      <c r="AX309" s="637"/>
      <c r="AY309" s="637"/>
      <c r="AZ309" s="637"/>
      <c r="BA309" s="637"/>
      <c r="BB309" s="637"/>
      <c r="BC309" s="637"/>
    </row>
    <row r="310" spans="1:55" s="225" customFormat="1" ht="4.9000000000000004" customHeight="1" thickBot="1">
      <c r="A310" s="288" t="str">
        <f>IF('TECH DATA ENTRY'!A327="","",'TECH DATA ENTRY'!A327)</f>
        <v/>
      </c>
      <c r="K310" s="239"/>
      <c r="L310" s="239"/>
      <c r="AK310" s="240"/>
    </row>
    <row r="311" spans="1:55" s="285" customFormat="1" ht="20.149999999999999" customHeight="1">
      <c r="A311" s="644" t="str">
        <f>IF('TECH DATA ENTRY'!A328="","",'TECH DATA ENTRY'!A328)</f>
        <v>Frequency</v>
      </c>
      <c r="B311" s="646" t="str">
        <f>IF('TECH DATA ENTRY'!B328="","",'TECH DATA ENTRY'!B328)</f>
        <v>Nominal</v>
      </c>
      <c r="C311" s="648" t="s">
        <v>2</v>
      </c>
      <c r="D311" s="648" t="str">
        <f>IF(LEFT(P$11,3)="ROV", "Measured Value", "As Found")</f>
        <v>As Found</v>
      </c>
      <c r="E311" s="648" t="str">
        <f>IF(LEFT(P$11,3)="ROV", "Correction", "As Left")</f>
        <v>As Left</v>
      </c>
      <c r="F311" s="648" t="s">
        <v>3</v>
      </c>
      <c r="G311" s="653" t="s">
        <v>4</v>
      </c>
      <c r="H311" s="659" t="s">
        <v>30</v>
      </c>
      <c r="I311" s="661" t="s">
        <v>28</v>
      </c>
      <c r="J311" s="284"/>
      <c r="L311" s="658" t="s">
        <v>38</v>
      </c>
      <c r="M311" s="616" t="s">
        <v>31</v>
      </c>
      <c r="N311" s="281"/>
      <c r="O311" s="286"/>
      <c r="P311" s="640" t="s">
        <v>136</v>
      </c>
      <c r="Q311" s="641"/>
      <c r="R311" s="642"/>
      <c r="S311" s="638" t="s">
        <v>115</v>
      </c>
      <c r="T311" s="638"/>
      <c r="U311" s="638"/>
      <c r="V311" s="638"/>
      <c r="W311" s="640" t="s">
        <v>64</v>
      </c>
      <c r="X311" s="641"/>
      <c r="Y311" s="641"/>
      <c r="Z311" s="641"/>
      <c r="AA311" s="641"/>
      <c r="AB311" s="642"/>
      <c r="AC311" s="638" t="s">
        <v>97</v>
      </c>
      <c r="AD311" s="638"/>
      <c r="AE311" s="638"/>
      <c r="AF311" s="638" t="s">
        <v>127</v>
      </c>
      <c r="AG311" s="638"/>
      <c r="AH311" s="638" t="s">
        <v>128</v>
      </c>
      <c r="AI311" s="638"/>
      <c r="AJ311" s="638" t="s">
        <v>28</v>
      </c>
      <c r="AK311" s="638" t="s">
        <v>121</v>
      </c>
      <c r="AL311" s="308"/>
      <c r="AM311" s="639" t="s">
        <v>122</v>
      </c>
      <c r="AN311" s="639"/>
      <c r="AO311" s="308"/>
      <c r="AP311" s="639" t="s">
        <v>119</v>
      </c>
      <c r="AQ311" s="639"/>
      <c r="AR311" s="308"/>
      <c r="AS311" s="639" t="s">
        <v>120</v>
      </c>
      <c r="AT311" s="639"/>
      <c r="AU311" s="308"/>
      <c r="AV311" s="639" t="s">
        <v>122</v>
      </c>
      <c r="AW311" s="639"/>
      <c r="AX311" s="308"/>
      <c r="AY311" s="639" t="s">
        <v>119</v>
      </c>
      <c r="AZ311" s="639"/>
      <c r="BA311" s="308"/>
      <c r="BB311" s="639" t="s">
        <v>120</v>
      </c>
      <c r="BC311" s="639"/>
    </row>
    <row r="312" spans="1:55" s="285" customFormat="1" ht="20.149999999999999" customHeight="1" thickBot="1">
      <c r="A312" s="645"/>
      <c r="B312" s="647"/>
      <c r="C312" s="649"/>
      <c r="D312" s="649"/>
      <c r="E312" s="649"/>
      <c r="F312" s="649"/>
      <c r="G312" s="654"/>
      <c r="H312" s="660"/>
      <c r="I312" s="662"/>
      <c r="J312" s="284"/>
      <c r="L312" s="649"/>
      <c r="M312" s="617"/>
      <c r="O312" s="281"/>
      <c r="P312" s="309" t="s">
        <v>122</v>
      </c>
      <c r="Q312" s="309" t="s">
        <v>119</v>
      </c>
      <c r="R312" s="309" t="s">
        <v>120</v>
      </c>
      <c r="S312" s="309" t="s">
        <v>122</v>
      </c>
      <c r="T312" s="309" t="s">
        <v>119</v>
      </c>
      <c r="U312" s="309" t="s">
        <v>120</v>
      </c>
      <c r="V312" s="309" t="s">
        <v>118</v>
      </c>
      <c r="W312" s="309" t="s">
        <v>63</v>
      </c>
      <c r="X312" s="309" t="s">
        <v>69</v>
      </c>
      <c r="Y312" s="309" t="s">
        <v>71</v>
      </c>
      <c r="Z312" s="309" t="s">
        <v>72</v>
      </c>
      <c r="AA312" s="309" t="s">
        <v>70</v>
      </c>
      <c r="AB312" s="309" t="s">
        <v>75</v>
      </c>
      <c r="AC312" s="309" t="s">
        <v>78</v>
      </c>
      <c r="AD312" s="309" t="s">
        <v>119</v>
      </c>
      <c r="AE312" s="309" t="s">
        <v>120</v>
      </c>
      <c r="AF312" s="309" t="s">
        <v>129</v>
      </c>
      <c r="AG312" s="309" t="s">
        <v>130</v>
      </c>
      <c r="AH312" s="309" t="s">
        <v>129</v>
      </c>
      <c r="AI312" s="309" t="s">
        <v>130</v>
      </c>
      <c r="AJ312" s="652"/>
      <c r="AK312" s="652"/>
      <c r="AL312" s="308"/>
      <c r="AM312" s="310" t="s">
        <v>67</v>
      </c>
      <c r="AN312" s="310" t="s">
        <v>68</v>
      </c>
      <c r="AO312" s="308"/>
      <c r="AP312" s="310" t="s">
        <v>67</v>
      </c>
      <c r="AQ312" s="310" t="s">
        <v>68</v>
      </c>
      <c r="AR312" s="308"/>
      <c r="AS312" s="310" t="s">
        <v>67</v>
      </c>
      <c r="AT312" s="310" t="s">
        <v>68</v>
      </c>
      <c r="AU312" s="308"/>
      <c r="AV312" s="310" t="s">
        <v>67</v>
      </c>
      <c r="AW312" s="310" t="s">
        <v>68</v>
      </c>
      <c r="AX312" s="308"/>
      <c r="AY312" s="310" t="s">
        <v>67</v>
      </c>
      <c r="AZ312" s="310" t="s">
        <v>68</v>
      </c>
      <c r="BA312" s="308"/>
      <c r="BB312" s="310" t="s">
        <v>67</v>
      </c>
      <c r="BC312" s="310" t="s">
        <v>68</v>
      </c>
    </row>
    <row r="313" spans="1:55" s="86" customFormat="1" ht="25" customHeight="1" thickTop="1">
      <c r="A313" s="466" t="str">
        <f>IF('TECH DATA ENTRY'!A330="","",'TECH DATA ENTRY'!A330)</f>
        <v>45 Hz</v>
      </c>
      <c r="B313" s="460">
        <f>IF('TECH DATA ENTRY'!B330="","",'TECH DATA ENTRY'!B330)</f>
        <v>1.9</v>
      </c>
      <c r="C313" s="569">
        <f>IF(B313="","",IFERROR('TECH DATA ENTRY'!F330,"NA"))</f>
        <v>1.8953499999999999</v>
      </c>
      <c r="D313" s="569" t="str">
        <f>IF('TECH DATA ENTRY'!L330="","",'TECH DATA ENTRY'!L330)</f>
        <v/>
      </c>
      <c r="E313" s="569" t="str">
        <f t="shared" si="131"/>
        <v/>
      </c>
      <c r="F313" s="569">
        <f>IF(B313="","",IFERROR('TECH DATA ENTRY'!G330,"NA"))</f>
        <v>1.90465</v>
      </c>
      <c r="G313" s="570" t="str">
        <f t="shared" si="132"/>
        <v/>
      </c>
      <c r="H313" s="569" t="str">
        <f>IF(OR(ISTEXT(B313)=TRUE, D313="NA",D313=""),"NA", roundsf(MAX(L313,M313),C313))</f>
        <v>NA</v>
      </c>
      <c r="I313" s="558" t="str">
        <f t="shared" si="133"/>
        <v>NA</v>
      </c>
      <c r="J313" s="299"/>
      <c r="K313" s="245"/>
      <c r="L313" s="506">
        <f>(587/1000000)*B313+(170/1000000)</f>
        <v>1.2852999999999999E-3</v>
      </c>
      <c r="M313" s="244" t="str">
        <f>UNC_CALCULATION!AM302</f>
        <v>NA</v>
      </c>
      <c r="N313" s="85"/>
      <c r="O313" s="58"/>
      <c r="P313" s="69" t="e">
        <f>IF(B313="","",INDEX('AUX TABLES'!$G$4:$K$8,AV313,AW313))</f>
        <v>#VALUE!</v>
      </c>
      <c r="Q313" s="150" t="e">
        <f>IF(AJ$11=FALSE,IF(B313="","",IF(AJ313="NA",P313,INDEX('AUX TABLES'!$G$4:$K$8,AY313,AZ313))),IF(P313="FAIL",P313,INDEX('AUX TABLES'!$G$4:$K$8,AY313,AZ313)))</f>
        <v>#VALUE!</v>
      </c>
      <c r="R313" s="150" t="e">
        <f>IF(AJ$11=FALSE,IF(B313="","",IF(AJ313="NA",P313,INDEX('AUX TABLES'!$G$4:$K$8,BB313,BC313))),IF(P313="FAIL",P313,INDEX('AUX TABLES'!$G$4:$K$8,BB313,BC313)))</f>
        <v>#VALUE!</v>
      </c>
      <c r="S313" s="69" t="e">
        <f>INDEX('AUX TABLES'!$G$4:$K$8,AM313,AN313)</f>
        <v>#VALUE!</v>
      </c>
      <c r="T313" s="69" t="e">
        <f>IF(AJ$11=FALSE,IF(AJ313="NA",S313,INDEX('AUX TABLES'!$G$4:$K$8,AP313,AQ313)),IF(S313="FAIL",S313,INDEX('AUX TABLES'!$G$4:$K$8,AP313,AQ313)))</f>
        <v>#VALUE!</v>
      </c>
      <c r="U313" s="150" t="e">
        <f>IF(AJ$11=FALSE,IF(AJ313="NA",S313,INDEX('AUX TABLES'!$G$4:$K$8,AS313,AT313)),IF(S313="FAIL",S313,INDEX('AUX TABLES'!$G$4:$K$8,AS313,AT313)))</f>
        <v>#VALUE!</v>
      </c>
      <c r="V313" s="150" t="str">
        <f t="shared" si="134"/>
        <v/>
      </c>
      <c r="W313" s="74">
        <f t="shared" si="135"/>
        <v>1.90465</v>
      </c>
      <c r="X313" s="74" t="str">
        <f t="shared" si="136"/>
        <v>NA</v>
      </c>
      <c r="Y313" s="74" t="str">
        <f t="shared" si="137"/>
        <v>NA</v>
      </c>
      <c r="Z313" s="74" t="str">
        <f t="shared" si="138"/>
        <v>NA</v>
      </c>
      <c r="AA313" s="74" t="str">
        <f t="shared" si="139"/>
        <v>NA</v>
      </c>
      <c r="AB313" s="74">
        <f t="shared" si="140"/>
        <v>1.8953499999999999</v>
      </c>
      <c r="AC313" s="69" t="str">
        <f>IF(ISTEXT('TECH DATA ENTRY'!L330)=TRUE,"NA",'TECH DATA ENTRY'!H330)</f>
        <v>NA</v>
      </c>
      <c r="AD313" s="69" t="str">
        <f t="shared" si="141"/>
        <v>NA</v>
      </c>
      <c r="AE313" s="69" t="str">
        <f t="shared" si="142"/>
        <v>NA</v>
      </c>
      <c r="AF313" s="69" t="e">
        <f t="shared" si="143"/>
        <v>#VALUE!</v>
      </c>
      <c r="AG313" s="69" t="e">
        <f t="shared" si="144"/>
        <v>#VALUE!</v>
      </c>
      <c r="AH313" s="69" t="e">
        <f t="shared" si="145"/>
        <v>#VALUE!</v>
      </c>
      <c r="AI313" s="69" t="e">
        <f t="shared" si="146"/>
        <v>#VALUE!</v>
      </c>
      <c r="AJ313" s="70" t="str">
        <f>IF(OR(ISTEXT('TECH DATA ENTRY'!L330)=TRUE,ISTEXT('TECH DATA ENTRY'!F330)=TRUE,ISTEXT('TECH DATA ENTRY'!G330)=TRUE),"NA",(W313-AB313)/(2*MAX(M313,L313)))</f>
        <v>NA</v>
      </c>
      <c r="AK313" s="69" t="str">
        <f t="shared" si="147"/>
        <v>NA</v>
      </c>
      <c r="AM313" s="73" t="e">
        <f t="shared" si="148"/>
        <v>#VALUE!</v>
      </c>
      <c r="AN313" s="73" t="e">
        <f t="shared" si="149"/>
        <v>#VALUE!</v>
      </c>
      <c r="AO313" s="87"/>
      <c r="AP313" s="73" t="e">
        <f t="shared" si="150"/>
        <v>#VALUE!</v>
      </c>
      <c r="AQ313" s="73" t="e">
        <f t="shared" si="151"/>
        <v>#VALUE!</v>
      </c>
      <c r="AR313" s="87"/>
      <c r="AS313" s="73" t="e">
        <f t="shared" si="152"/>
        <v>#VALUE!</v>
      </c>
      <c r="AT313" s="73" t="e">
        <f t="shared" si="153"/>
        <v>#VALUE!</v>
      </c>
      <c r="AV313" s="73" t="e">
        <f t="shared" si="154"/>
        <v>#VALUE!</v>
      </c>
      <c r="AW313" s="73" t="e">
        <f t="shared" si="155"/>
        <v>#VALUE!</v>
      </c>
      <c r="AX313" s="87"/>
      <c r="AY313" s="73" t="e">
        <f t="shared" si="156"/>
        <v>#VALUE!</v>
      </c>
      <c r="AZ313" s="73" t="e">
        <f t="shared" si="157"/>
        <v>#VALUE!</v>
      </c>
      <c r="BA313" s="87"/>
      <c r="BB313" s="73" t="e">
        <f t="shared" si="158"/>
        <v>#VALUE!</v>
      </c>
      <c r="BC313" s="73" t="e">
        <f t="shared" si="159"/>
        <v>#VALUE!</v>
      </c>
    </row>
    <row r="314" spans="1:55" s="86" customFormat="1" ht="25" customHeight="1">
      <c r="A314" s="466" t="str">
        <f>IF('TECH DATA ENTRY'!A331="","",'TECH DATA ENTRY'!A331)</f>
        <v>1 kHz</v>
      </c>
      <c r="B314" s="460">
        <f>IF('TECH DATA ENTRY'!B331="","",'TECH DATA ENTRY'!B331)</f>
        <v>1.9</v>
      </c>
      <c r="C314" s="460">
        <f>IF(B314="","",IFERROR('TECH DATA ENTRY'!F331,"NA"))</f>
        <v>1.8953499999999999</v>
      </c>
      <c r="D314" s="460" t="str">
        <f>IF('TECH DATA ENTRY'!L331="","",'TECH DATA ENTRY'!L331)</f>
        <v/>
      </c>
      <c r="E314" s="460" t="str">
        <f t="shared" si="131"/>
        <v/>
      </c>
      <c r="F314" s="460">
        <f>IF(B314="","",IFERROR('TECH DATA ENTRY'!G331,"NA"))</f>
        <v>1.90465</v>
      </c>
      <c r="G314" s="596" t="str">
        <f t="shared" si="132"/>
        <v/>
      </c>
      <c r="H314" s="460" t="str">
        <f>IF(OR(ISTEXT(B314)=TRUE, D314="NA",D314=""),"NA", roundsf(MAX(L314,M314),C314))</f>
        <v>NA</v>
      </c>
      <c r="I314" s="325" t="str">
        <f t="shared" si="133"/>
        <v>NA</v>
      </c>
      <c r="J314" s="300"/>
      <c r="K314" s="242"/>
      <c r="L314" s="506">
        <f>(587/1000000)*B314+(170/1000000)</f>
        <v>1.2852999999999999E-3</v>
      </c>
      <c r="M314" s="244" t="str">
        <f>UNC_CALCULATION!AM303</f>
        <v>NA</v>
      </c>
      <c r="N314" s="85"/>
      <c r="O314" s="58"/>
      <c r="P314" s="69" t="e">
        <f>IF(B314="","",INDEX('AUX TABLES'!$G$4:$K$8,AV314,AW314))</f>
        <v>#VALUE!</v>
      </c>
      <c r="Q314" s="150" t="e">
        <f>IF(AJ$11=FALSE,IF(B314="","",IF(AJ314="NA",P314,INDEX('AUX TABLES'!$G$4:$K$8,AY314,AZ314))),IF(P314="FAIL",P314,INDEX('AUX TABLES'!$G$4:$K$8,AY314,AZ314)))</f>
        <v>#VALUE!</v>
      </c>
      <c r="R314" s="150" t="e">
        <f>IF(AJ$11=FALSE,IF(B314="","",IF(AJ314="NA",P314,INDEX('AUX TABLES'!$G$4:$K$8,BB314,BC314))),IF(P314="FAIL",P314,INDEX('AUX TABLES'!$G$4:$K$8,BB314,BC314)))</f>
        <v>#VALUE!</v>
      </c>
      <c r="S314" s="69" t="e">
        <f>INDEX('AUX TABLES'!$G$4:$K$8,AM314,AN314)</f>
        <v>#VALUE!</v>
      </c>
      <c r="T314" s="69" t="e">
        <f>IF(AJ$11=FALSE,IF(AJ314="NA",S314,INDEX('AUX TABLES'!$G$4:$K$8,AP314,AQ314)),IF(S314="FAIL",S314,INDEX('AUX TABLES'!$G$4:$K$8,AP314,AQ314)))</f>
        <v>#VALUE!</v>
      </c>
      <c r="U314" s="150" t="e">
        <f>IF(AJ$11=FALSE,IF(AJ314="NA",S314,INDEX('AUX TABLES'!$G$4:$K$8,AS314,AT314)),IF(S314="FAIL",S314,INDEX('AUX TABLES'!$G$4:$K$8,AS314,AT314)))</f>
        <v>#VALUE!</v>
      </c>
      <c r="V314" s="150" t="str">
        <f t="shared" si="134"/>
        <v/>
      </c>
      <c r="W314" s="74">
        <f t="shared" si="135"/>
        <v>1.90465</v>
      </c>
      <c r="X314" s="74" t="str">
        <f t="shared" si="136"/>
        <v>NA</v>
      </c>
      <c r="Y314" s="74" t="str">
        <f t="shared" si="137"/>
        <v>NA</v>
      </c>
      <c r="Z314" s="74" t="str">
        <f t="shared" si="138"/>
        <v>NA</v>
      </c>
      <c r="AA314" s="74" t="str">
        <f t="shared" si="139"/>
        <v>NA</v>
      </c>
      <c r="AB314" s="74">
        <f t="shared" si="140"/>
        <v>1.8953499999999999</v>
      </c>
      <c r="AC314" s="69" t="str">
        <f>IF(ISTEXT('TECH DATA ENTRY'!L331)=TRUE,"NA",'TECH DATA ENTRY'!H331)</f>
        <v>NA</v>
      </c>
      <c r="AD314" s="69" t="str">
        <f t="shared" si="141"/>
        <v>NA</v>
      </c>
      <c r="AE314" s="69" t="str">
        <f t="shared" si="142"/>
        <v>NA</v>
      </c>
      <c r="AF314" s="69" t="e">
        <f t="shared" si="143"/>
        <v>#VALUE!</v>
      </c>
      <c r="AG314" s="69" t="e">
        <f t="shared" si="144"/>
        <v>#VALUE!</v>
      </c>
      <c r="AH314" s="69" t="e">
        <f t="shared" si="145"/>
        <v>#VALUE!</v>
      </c>
      <c r="AI314" s="69" t="e">
        <f t="shared" si="146"/>
        <v>#VALUE!</v>
      </c>
      <c r="AJ314" s="70" t="str">
        <f>IF(OR(ISTEXT('TECH DATA ENTRY'!L331)=TRUE,ISTEXT('TECH DATA ENTRY'!F331)=TRUE,ISTEXT('TECH DATA ENTRY'!G331)=TRUE),"NA",(W314-AB314)/(2*MAX(M314,L314)))</f>
        <v>NA</v>
      </c>
      <c r="AK314" s="69" t="str">
        <f t="shared" si="147"/>
        <v>NA</v>
      </c>
      <c r="AM314" s="73" t="e">
        <f t="shared" si="148"/>
        <v>#VALUE!</v>
      </c>
      <c r="AN314" s="73" t="e">
        <f t="shared" si="149"/>
        <v>#VALUE!</v>
      </c>
      <c r="AO314" s="87"/>
      <c r="AP314" s="73" t="e">
        <f t="shared" si="150"/>
        <v>#VALUE!</v>
      </c>
      <c r="AQ314" s="73" t="e">
        <f t="shared" si="151"/>
        <v>#VALUE!</v>
      </c>
      <c r="AR314" s="87"/>
      <c r="AS314" s="73" t="e">
        <f t="shared" si="152"/>
        <v>#VALUE!</v>
      </c>
      <c r="AT314" s="73" t="e">
        <f t="shared" si="153"/>
        <v>#VALUE!</v>
      </c>
      <c r="AV314" s="73" t="e">
        <f t="shared" si="154"/>
        <v>#VALUE!</v>
      </c>
      <c r="AW314" s="73" t="e">
        <f t="shared" si="155"/>
        <v>#VALUE!</v>
      </c>
      <c r="AX314" s="87"/>
      <c r="AY314" s="73" t="e">
        <f t="shared" si="156"/>
        <v>#VALUE!</v>
      </c>
      <c r="AZ314" s="73" t="e">
        <f t="shared" si="157"/>
        <v>#VALUE!</v>
      </c>
      <c r="BA314" s="87"/>
      <c r="BB314" s="73" t="e">
        <f t="shared" si="158"/>
        <v>#VALUE!</v>
      </c>
      <c r="BC314" s="73" t="e">
        <f t="shared" si="159"/>
        <v>#VALUE!</v>
      </c>
    </row>
    <row r="315" spans="1:55" s="86" customFormat="1" ht="25" customHeight="1" thickBot="1">
      <c r="A315" s="467" t="str">
        <f>IF('TECH DATA ENTRY'!A332="","",'TECH DATA ENTRY'!A332)</f>
        <v>10 kHz</v>
      </c>
      <c r="B315" s="468">
        <f>IF('TECH DATA ENTRY'!B332="","",'TECH DATA ENTRY'!B332)</f>
        <v>1.9</v>
      </c>
      <c r="C315" s="586">
        <f>IF(B315="","",IFERROR('TECH DATA ENTRY'!F332,"NA"))</f>
        <v>1.87235</v>
      </c>
      <c r="D315" s="586" t="str">
        <f>IF('TECH DATA ENTRY'!L332="","",'TECH DATA ENTRY'!L332)</f>
        <v/>
      </c>
      <c r="E315" s="586" t="str">
        <f t="shared" si="131"/>
        <v/>
      </c>
      <c r="F315" s="586">
        <f>IF(B315="","",IFERROR('TECH DATA ENTRY'!G332,"NA"))</f>
        <v>1.9276499999999999</v>
      </c>
      <c r="G315" s="587" t="str">
        <f t="shared" si="132"/>
        <v/>
      </c>
      <c r="H315" s="586" t="str">
        <f>IF(OR(ISTEXT(B315)=TRUE, D315="NA",D315=""),"NA", roundsf(MAX(L315,M315),C315))</f>
        <v>NA</v>
      </c>
      <c r="I315" s="575" t="str">
        <f t="shared" si="133"/>
        <v>NA</v>
      </c>
      <c r="J315" s="299"/>
      <c r="K315" s="245"/>
      <c r="L315" s="506">
        <f>(3.8/1000)*B315+(750/1000000)</f>
        <v>7.9699999999999997E-3</v>
      </c>
      <c r="M315" s="244" t="str">
        <f>UNC_CALCULATION!AM304</f>
        <v>NA</v>
      </c>
      <c r="N315" s="85"/>
      <c r="O315" s="58"/>
      <c r="P315" s="69" t="e">
        <f>IF(B315="","",INDEX('AUX TABLES'!$G$4:$K$8,AV315,AW315))</f>
        <v>#VALUE!</v>
      </c>
      <c r="Q315" s="150" t="e">
        <f>IF(AJ$11=FALSE,IF(B315="","",IF(AJ315="NA",P315,INDEX('AUX TABLES'!$G$4:$K$8,AY315,AZ315))),IF(P315="FAIL",P315,INDEX('AUX TABLES'!$G$4:$K$8,AY315,AZ315)))</f>
        <v>#VALUE!</v>
      </c>
      <c r="R315" s="150" t="e">
        <f>IF(AJ$11=FALSE,IF(B315="","",IF(AJ315="NA",P315,INDEX('AUX TABLES'!$G$4:$K$8,BB315,BC315))),IF(P315="FAIL",P315,INDEX('AUX TABLES'!$G$4:$K$8,BB315,BC315)))</f>
        <v>#VALUE!</v>
      </c>
      <c r="S315" s="69" t="e">
        <f>INDEX('AUX TABLES'!$G$4:$K$8,AM315,AN315)</f>
        <v>#VALUE!</v>
      </c>
      <c r="T315" s="69" t="e">
        <f>IF(AJ$11=FALSE,IF(AJ315="NA",S315,INDEX('AUX TABLES'!$G$4:$K$8,AP315,AQ315)),IF(S315="FAIL",S315,INDEX('AUX TABLES'!$G$4:$K$8,AP315,AQ315)))</f>
        <v>#VALUE!</v>
      </c>
      <c r="U315" s="150" t="e">
        <f>IF(AJ$11=FALSE,IF(AJ315="NA",S315,INDEX('AUX TABLES'!$G$4:$K$8,AS315,AT315)),IF(S315="FAIL",S315,INDEX('AUX TABLES'!$G$4:$K$8,AS315,AT315)))</f>
        <v>#VALUE!</v>
      </c>
      <c r="V315" s="150" t="str">
        <f t="shared" si="134"/>
        <v/>
      </c>
      <c r="W315" s="74">
        <f t="shared" si="135"/>
        <v>1.9276499999999999</v>
      </c>
      <c r="X315" s="74" t="str">
        <f t="shared" si="136"/>
        <v>NA</v>
      </c>
      <c r="Y315" s="74" t="str">
        <f t="shared" si="137"/>
        <v>NA</v>
      </c>
      <c r="Z315" s="74" t="str">
        <f t="shared" si="138"/>
        <v>NA</v>
      </c>
      <c r="AA315" s="74" t="str">
        <f t="shared" si="139"/>
        <v>NA</v>
      </c>
      <c r="AB315" s="74">
        <f t="shared" si="140"/>
        <v>1.87235</v>
      </c>
      <c r="AC315" s="69" t="str">
        <f>IF(ISTEXT('TECH DATA ENTRY'!L332)=TRUE,"NA",'TECH DATA ENTRY'!H332)</f>
        <v>NA</v>
      </c>
      <c r="AD315" s="69" t="str">
        <f t="shared" si="141"/>
        <v>NA</v>
      </c>
      <c r="AE315" s="69" t="str">
        <f t="shared" si="142"/>
        <v>NA</v>
      </c>
      <c r="AF315" s="69" t="e">
        <f t="shared" si="143"/>
        <v>#VALUE!</v>
      </c>
      <c r="AG315" s="69" t="e">
        <f t="shared" si="144"/>
        <v>#VALUE!</v>
      </c>
      <c r="AH315" s="69" t="e">
        <f t="shared" si="145"/>
        <v>#VALUE!</v>
      </c>
      <c r="AI315" s="69" t="e">
        <f t="shared" si="146"/>
        <v>#VALUE!</v>
      </c>
      <c r="AJ315" s="70" t="str">
        <f>IF(OR(ISTEXT('TECH DATA ENTRY'!L332)=TRUE,ISTEXT('TECH DATA ENTRY'!F332)=TRUE,ISTEXT('TECH DATA ENTRY'!G332)=TRUE),"NA",(W315-AB315)/(2*MAX(M315,L315)))</f>
        <v>NA</v>
      </c>
      <c r="AK315" s="69" t="str">
        <f t="shared" si="147"/>
        <v>NA</v>
      </c>
      <c r="AM315" s="73" t="e">
        <f t="shared" si="148"/>
        <v>#VALUE!</v>
      </c>
      <c r="AN315" s="73" t="e">
        <f t="shared" si="149"/>
        <v>#VALUE!</v>
      </c>
      <c r="AO315" s="87"/>
      <c r="AP315" s="73" t="e">
        <f t="shared" si="150"/>
        <v>#VALUE!</v>
      </c>
      <c r="AQ315" s="73" t="e">
        <f t="shared" si="151"/>
        <v>#VALUE!</v>
      </c>
      <c r="AR315" s="87"/>
      <c r="AS315" s="73" t="e">
        <f t="shared" si="152"/>
        <v>#VALUE!</v>
      </c>
      <c r="AT315" s="73" t="e">
        <f t="shared" si="153"/>
        <v>#VALUE!</v>
      </c>
      <c r="AV315" s="73" t="e">
        <f t="shared" si="154"/>
        <v>#VALUE!</v>
      </c>
      <c r="AW315" s="73" t="e">
        <f t="shared" si="155"/>
        <v>#VALUE!</v>
      </c>
      <c r="AX315" s="87"/>
      <c r="AY315" s="73" t="e">
        <f t="shared" si="156"/>
        <v>#VALUE!</v>
      </c>
      <c r="AZ315" s="73" t="e">
        <f t="shared" si="157"/>
        <v>#VALUE!</v>
      </c>
      <c r="BA315" s="87"/>
      <c r="BB315" s="73" t="e">
        <f t="shared" si="158"/>
        <v>#VALUE!</v>
      </c>
      <c r="BC315" s="73" t="e">
        <f t="shared" si="159"/>
        <v>#VALUE!</v>
      </c>
    </row>
    <row r="316" spans="1:55" s="296" customFormat="1" ht="28.15" customHeight="1">
      <c r="A316" s="550" t="str">
        <f>IF('TECH DATA ENTRY'!A333="","",'TECH DATA ENTRY'!A333)</f>
        <v/>
      </c>
      <c r="B316" s="551"/>
      <c r="C316" s="552"/>
      <c r="D316" s="551"/>
      <c r="E316" s="551"/>
      <c r="F316" s="551"/>
      <c r="G316" s="552"/>
      <c r="H316" s="551"/>
      <c r="I316" s="553"/>
      <c r="J316" s="224"/>
      <c r="K316" s="224"/>
      <c r="L316" s="224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AK316" s="297"/>
    </row>
    <row r="317" spans="1:55" s="31" customFormat="1" ht="22.15" customHeight="1">
      <c r="A317" s="76" t="str">
        <f>IF('TECH DATA ENTRY'!A334="","",'TECH DATA ENTRY'!A334)</f>
        <v>Range 10.0 A</v>
      </c>
      <c r="H317" s="321"/>
      <c r="O317" s="77"/>
      <c r="AK317" s="1"/>
      <c r="AM317" s="637" t="s">
        <v>116</v>
      </c>
      <c r="AN317" s="637"/>
      <c r="AO317" s="637"/>
      <c r="AP317" s="637"/>
      <c r="AQ317" s="637"/>
      <c r="AR317" s="637"/>
      <c r="AS317" s="637"/>
      <c r="AT317" s="637"/>
      <c r="AV317" s="637" t="s">
        <v>117</v>
      </c>
      <c r="AW317" s="637"/>
      <c r="AX317" s="637"/>
      <c r="AY317" s="637"/>
      <c r="AZ317" s="637"/>
      <c r="BA317" s="637"/>
      <c r="BB317" s="637"/>
      <c r="BC317" s="637"/>
    </row>
    <row r="318" spans="1:55" s="225" customFormat="1" ht="4.9000000000000004" customHeight="1" thickBot="1">
      <c r="A318" s="288" t="str">
        <f>IF('TECH DATA ENTRY'!A335="","",'TECH DATA ENTRY'!A335)</f>
        <v/>
      </c>
      <c r="K318" s="239"/>
      <c r="L318" s="239"/>
      <c r="AK318" s="240"/>
    </row>
    <row r="319" spans="1:55" s="285" customFormat="1" ht="20.149999999999999" customHeight="1">
      <c r="A319" s="644" t="str">
        <f>IF('TECH DATA ENTRY'!A336="","",'TECH DATA ENTRY'!A336)</f>
        <v>Frequency</v>
      </c>
      <c r="B319" s="646" t="str">
        <f>IF('TECH DATA ENTRY'!B336="","",'TECH DATA ENTRY'!B336)</f>
        <v>Nominal</v>
      </c>
      <c r="C319" s="648" t="s">
        <v>2</v>
      </c>
      <c r="D319" s="648" t="str">
        <f>IF(LEFT(P$11,3)="ROV", "Measured Value", "As Found")</f>
        <v>As Found</v>
      </c>
      <c r="E319" s="648" t="str">
        <f>IF(LEFT(P$11,3)="ROV", "Correction", "As Left")</f>
        <v>As Left</v>
      </c>
      <c r="F319" s="648" t="s">
        <v>3</v>
      </c>
      <c r="G319" s="653" t="s">
        <v>4</v>
      </c>
      <c r="H319" s="659" t="s">
        <v>30</v>
      </c>
      <c r="I319" s="661" t="s">
        <v>28</v>
      </c>
      <c r="J319" s="284"/>
      <c r="L319" s="658" t="s">
        <v>38</v>
      </c>
      <c r="M319" s="616" t="s">
        <v>31</v>
      </c>
      <c r="N319" s="281"/>
      <c r="O319" s="286"/>
      <c r="P319" s="640" t="s">
        <v>136</v>
      </c>
      <c r="Q319" s="641"/>
      <c r="R319" s="642"/>
      <c r="S319" s="638" t="s">
        <v>115</v>
      </c>
      <c r="T319" s="638"/>
      <c r="U319" s="638"/>
      <c r="V319" s="638"/>
      <c r="W319" s="640" t="s">
        <v>64</v>
      </c>
      <c r="X319" s="641"/>
      <c r="Y319" s="641"/>
      <c r="Z319" s="641"/>
      <c r="AA319" s="641"/>
      <c r="AB319" s="642"/>
      <c r="AC319" s="638" t="s">
        <v>97</v>
      </c>
      <c r="AD319" s="638"/>
      <c r="AE319" s="638"/>
      <c r="AF319" s="638" t="s">
        <v>127</v>
      </c>
      <c r="AG319" s="638"/>
      <c r="AH319" s="638" t="s">
        <v>128</v>
      </c>
      <c r="AI319" s="638"/>
      <c r="AJ319" s="638" t="s">
        <v>28</v>
      </c>
      <c r="AK319" s="638" t="s">
        <v>121</v>
      </c>
      <c r="AL319" s="308"/>
      <c r="AM319" s="639" t="s">
        <v>122</v>
      </c>
      <c r="AN319" s="639"/>
      <c r="AO319" s="308"/>
      <c r="AP319" s="639" t="s">
        <v>119</v>
      </c>
      <c r="AQ319" s="639"/>
      <c r="AR319" s="308"/>
      <c r="AS319" s="639" t="s">
        <v>120</v>
      </c>
      <c r="AT319" s="639"/>
      <c r="AU319" s="308"/>
      <c r="AV319" s="639" t="s">
        <v>122</v>
      </c>
      <c r="AW319" s="639"/>
      <c r="AX319" s="308"/>
      <c r="AY319" s="639" t="s">
        <v>119</v>
      </c>
      <c r="AZ319" s="639"/>
      <c r="BA319" s="308"/>
      <c r="BB319" s="639" t="s">
        <v>120</v>
      </c>
      <c r="BC319" s="639"/>
    </row>
    <row r="320" spans="1:55" s="285" customFormat="1" ht="20.149999999999999" customHeight="1" thickBot="1">
      <c r="A320" s="645"/>
      <c r="B320" s="647"/>
      <c r="C320" s="649"/>
      <c r="D320" s="649"/>
      <c r="E320" s="649"/>
      <c r="F320" s="649"/>
      <c r="G320" s="654"/>
      <c r="H320" s="660"/>
      <c r="I320" s="662"/>
      <c r="J320" s="284"/>
      <c r="L320" s="649"/>
      <c r="M320" s="617"/>
      <c r="O320" s="281"/>
      <c r="P320" s="309" t="s">
        <v>122</v>
      </c>
      <c r="Q320" s="309" t="s">
        <v>119</v>
      </c>
      <c r="R320" s="309" t="s">
        <v>120</v>
      </c>
      <c r="S320" s="309" t="s">
        <v>122</v>
      </c>
      <c r="T320" s="309" t="s">
        <v>119</v>
      </c>
      <c r="U320" s="309" t="s">
        <v>120</v>
      </c>
      <c r="V320" s="309" t="s">
        <v>118</v>
      </c>
      <c r="W320" s="309" t="s">
        <v>63</v>
      </c>
      <c r="X320" s="309" t="s">
        <v>69</v>
      </c>
      <c r="Y320" s="309" t="s">
        <v>71</v>
      </c>
      <c r="Z320" s="309" t="s">
        <v>72</v>
      </c>
      <c r="AA320" s="309" t="s">
        <v>70</v>
      </c>
      <c r="AB320" s="309" t="s">
        <v>75</v>
      </c>
      <c r="AC320" s="309" t="s">
        <v>78</v>
      </c>
      <c r="AD320" s="309" t="s">
        <v>119</v>
      </c>
      <c r="AE320" s="309" t="s">
        <v>120</v>
      </c>
      <c r="AF320" s="309" t="s">
        <v>129</v>
      </c>
      <c r="AG320" s="309" t="s">
        <v>130</v>
      </c>
      <c r="AH320" s="309" t="s">
        <v>129</v>
      </c>
      <c r="AI320" s="309" t="s">
        <v>130</v>
      </c>
      <c r="AJ320" s="652"/>
      <c r="AK320" s="652"/>
      <c r="AL320" s="308"/>
      <c r="AM320" s="310" t="s">
        <v>67</v>
      </c>
      <c r="AN320" s="310" t="s">
        <v>68</v>
      </c>
      <c r="AO320" s="308"/>
      <c r="AP320" s="310" t="s">
        <v>67</v>
      </c>
      <c r="AQ320" s="310" t="s">
        <v>68</v>
      </c>
      <c r="AR320" s="308"/>
      <c r="AS320" s="310" t="s">
        <v>67</v>
      </c>
      <c r="AT320" s="310" t="s">
        <v>68</v>
      </c>
      <c r="AU320" s="308"/>
      <c r="AV320" s="310" t="s">
        <v>67</v>
      </c>
      <c r="AW320" s="310" t="s">
        <v>68</v>
      </c>
      <c r="AX320" s="308"/>
      <c r="AY320" s="310" t="s">
        <v>67</v>
      </c>
      <c r="AZ320" s="310" t="s">
        <v>68</v>
      </c>
      <c r="BA320" s="308"/>
      <c r="BB320" s="310" t="s">
        <v>67</v>
      </c>
      <c r="BC320" s="310" t="s">
        <v>68</v>
      </c>
    </row>
    <row r="321" spans="1:55" s="86" customFormat="1" ht="25" customHeight="1" thickTop="1">
      <c r="A321" s="322" t="str">
        <f>IF('TECH DATA ENTRY'!A338="","",'TECH DATA ENTRY'!A338)</f>
        <v>45 Hz</v>
      </c>
      <c r="B321" s="460">
        <f>IF('TECH DATA ENTRY'!B338="","",'TECH DATA ENTRY'!B338)</f>
        <v>10</v>
      </c>
      <c r="C321" s="601">
        <f>IF(B321="","",IFERROR('TECH DATA ENTRY'!F338,"NA"))</f>
        <v>9.9789999999999992</v>
      </c>
      <c r="D321" s="601" t="str">
        <f>IF('TECH DATA ENTRY'!L338="","",'TECH DATA ENTRY'!L338)</f>
        <v/>
      </c>
      <c r="E321" s="601" t="str">
        <f t="shared" si="131"/>
        <v/>
      </c>
      <c r="F321" s="601">
        <f>IF(B321="","",IFERROR('TECH DATA ENTRY'!G338,"NA"))</f>
        <v>10.021000000000001</v>
      </c>
      <c r="G321" s="602" t="str">
        <f t="shared" si="132"/>
        <v/>
      </c>
      <c r="H321" s="601" t="str">
        <f>IF(OR(ISTEXT(B321)=TRUE, D321="NA",D321=""),"NA", roundsf(MAX(L321,M321),C321))</f>
        <v>NA</v>
      </c>
      <c r="I321" s="603" t="str">
        <f t="shared" si="133"/>
        <v>NA</v>
      </c>
      <c r="J321" s="299"/>
      <c r="K321" s="245"/>
      <c r="L321" s="506">
        <f>(587/1000000)*B321+(170/1000000)</f>
        <v>6.0399999999999994E-3</v>
      </c>
      <c r="M321" s="244" t="str">
        <f>UNC_CALCULATION!AM310</f>
        <v>NA</v>
      </c>
      <c r="N321" s="85"/>
      <c r="O321" s="58"/>
      <c r="P321" s="69" t="e">
        <f>IF(B321="","",INDEX('AUX TABLES'!$G$4:$K$8,AV321,AW321))</f>
        <v>#VALUE!</v>
      </c>
      <c r="Q321" s="150" t="e">
        <f>IF(AJ$11=FALSE,IF(B321="","",IF(AJ321="NA",P321,INDEX('AUX TABLES'!$G$4:$K$8,AY321,AZ321))),IF(P321="FAIL",P321,INDEX('AUX TABLES'!$G$4:$K$8,AY321,AZ321)))</f>
        <v>#VALUE!</v>
      </c>
      <c r="R321" s="150" t="e">
        <f>IF(AJ$11=FALSE,IF(B321="","",IF(AJ321="NA",P321,INDEX('AUX TABLES'!$G$4:$K$8,BB321,BC321))),IF(P321="FAIL",P321,INDEX('AUX TABLES'!$G$4:$K$8,BB321,BC321)))</f>
        <v>#VALUE!</v>
      </c>
      <c r="S321" s="69" t="e">
        <f>INDEX('AUX TABLES'!$G$4:$K$8,AM321,AN321)</f>
        <v>#VALUE!</v>
      </c>
      <c r="T321" s="69" t="e">
        <f>IF(AJ$11=FALSE,IF(AJ321="NA",S321,INDEX('AUX TABLES'!$G$4:$K$8,AP321,AQ321)),IF(S321="FAIL",S321,INDEX('AUX TABLES'!$G$4:$K$8,AP321,AQ321)))</f>
        <v>#VALUE!</v>
      </c>
      <c r="U321" s="150" t="e">
        <f>IF(AJ$11=FALSE,IF(AJ321="NA",S321,INDEX('AUX TABLES'!$G$4:$K$8,AS321,AT321)),IF(S321="FAIL",S321,INDEX('AUX TABLES'!$G$4:$K$8,AS321,AT321)))</f>
        <v>#VALUE!</v>
      </c>
      <c r="V321" s="150" t="str">
        <f t="shared" si="134"/>
        <v/>
      </c>
      <c r="W321" s="74">
        <f t="shared" si="135"/>
        <v>10.021000000000001</v>
      </c>
      <c r="X321" s="74" t="str">
        <f t="shared" si="136"/>
        <v>NA</v>
      </c>
      <c r="Y321" s="74" t="str">
        <f t="shared" si="137"/>
        <v>NA</v>
      </c>
      <c r="Z321" s="74" t="str">
        <f t="shared" si="138"/>
        <v>NA</v>
      </c>
      <c r="AA321" s="74" t="str">
        <f t="shared" si="139"/>
        <v>NA</v>
      </c>
      <c r="AB321" s="74">
        <f t="shared" si="140"/>
        <v>9.9789999999999992</v>
      </c>
      <c r="AC321" s="69" t="str">
        <f>IF(ISTEXT('TECH DATA ENTRY'!L338)=TRUE,"NA",'TECH DATA ENTRY'!H338)</f>
        <v>NA</v>
      </c>
      <c r="AD321" s="69" t="str">
        <f t="shared" si="141"/>
        <v>NA</v>
      </c>
      <c r="AE321" s="69" t="str">
        <f t="shared" si="142"/>
        <v>NA</v>
      </c>
      <c r="AF321" s="69" t="e">
        <f t="shared" si="143"/>
        <v>#VALUE!</v>
      </c>
      <c r="AG321" s="69" t="e">
        <f t="shared" si="144"/>
        <v>#VALUE!</v>
      </c>
      <c r="AH321" s="69" t="e">
        <f t="shared" si="145"/>
        <v>#VALUE!</v>
      </c>
      <c r="AI321" s="69" t="e">
        <f t="shared" si="146"/>
        <v>#VALUE!</v>
      </c>
      <c r="AJ321" s="70" t="str">
        <f>IF(OR(ISTEXT('TECH DATA ENTRY'!L338)=TRUE,ISTEXT('TECH DATA ENTRY'!F338)=TRUE,ISTEXT('TECH DATA ENTRY'!G338)=TRUE),"NA",(W321-AB321)/(2*MAX(M321,L321)))</f>
        <v>NA</v>
      </c>
      <c r="AK321" s="69" t="str">
        <f t="shared" si="147"/>
        <v>NA</v>
      </c>
      <c r="AM321" s="73" t="e">
        <f t="shared" si="148"/>
        <v>#VALUE!</v>
      </c>
      <c r="AN321" s="73" t="e">
        <f t="shared" si="149"/>
        <v>#VALUE!</v>
      </c>
      <c r="AO321" s="87"/>
      <c r="AP321" s="73" t="e">
        <f t="shared" si="150"/>
        <v>#VALUE!</v>
      </c>
      <c r="AQ321" s="73" t="e">
        <f t="shared" si="151"/>
        <v>#VALUE!</v>
      </c>
      <c r="AR321" s="87"/>
      <c r="AS321" s="73" t="e">
        <f t="shared" si="152"/>
        <v>#VALUE!</v>
      </c>
      <c r="AT321" s="73" t="e">
        <f t="shared" si="153"/>
        <v>#VALUE!</v>
      </c>
      <c r="AV321" s="73" t="e">
        <f t="shared" si="154"/>
        <v>#VALUE!</v>
      </c>
      <c r="AW321" s="73" t="e">
        <f t="shared" si="155"/>
        <v>#VALUE!</v>
      </c>
      <c r="AX321" s="87"/>
      <c r="AY321" s="73" t="e">
        <f t="shared" si="156"/>
        <v>#VALUE!</v>
      </c>
      <c r="AZ321" s="73" t="e">
        <f t="shared" si="157"/>
        <v>#VALUE!</v>
      </c>
      <c r="BA321" s="87"/>
      <c r="BB321" s="73" t="e">
        <f t="shared" si="158"/>
        <v>#VALUE!</v>
      </c>
      <c r="BC321" s="73" t="e">
        <f t="shared" si="159"/>
        <v>#VALUE!</v>
      </c>
    </row>
    <row r="322" spans="1:55" s="86" customFormat="1" ht="25" customHeight="1" thickBot="1">
      <c r="A322" s="322" t="str">
        <f>IF('TECH DATA ENTRY'!A339="","",'TECH DATA ENTRY'!A339)</f>
        <v>1 kHz</v>
      </c>
      <c r="B322" s="460">
        <f>IF('TECH DATA ENTRY'!B339="","",'TECH DATA ENTRY'!B339)</f>
        <v>10</v>
      </c>
      <c r="C322" s="598">
        <f>IF(B322="","",IFERROR('TECH DATA ENTRY'!F339,"NA"))</f>
        <v>9.9789999999999992</v>
      </c>
      <c r="D322" s="598" t="str">
        <f>IF('TECH DATA ENTRY'!L339="","",'TECH DATA ENTRY'!L339)</f>
        <v/>
      </c>
      <c r="E322" s="598" t="str">
        <f t="shared" si="131"/>
        <v/>
      </c>
      <c r="F322" s="598">
        <f>IF(B322="","",IFERROR('TECH DATA ENTRY'!G339,"NA"))</f>
        <v>10.021000000000001</v>
      </c>
      <c r="G322" s="599" t="str">
        <f t="shared" si="132"/>
        <v/>
      </c>
      <c r="H322" s="598" t="str">
        <f>IF(OR(ISTEXT(B322)=TRUE, D322="NA",D322=""),"NA", roundsf(MAX(L322,M322),C322))</f>
        <v>NA</v>
      </c>
      <c r="I322" s="600" t="str">
        <f t="shared" si="133"/>
        <v>NA</v>
      </c>
      <c r="J322" s="299"/>
      <c r="K322" s="245"/>
      <c r="L322" s="506">
        <f>(587/1000000)*B322+(170/1000000)</f>
        <v>6.0399999999999994E-3</v>
      </c>
      <c r="M322" s="244" t="str">
        <f>UNC_CALCULATION!AM311</f>
        <v>NA</v>
      </c>
      <c r="N322" s="85"/>
      <c r="O322" s="58"/>
      <c r="P322" s="69" t="e">
        <f>IF(B322="","",INDEX('AUX TABLES'!$G$4:$K$8,AV322,AW322))</f>
        <v>#VALUE!</v>
      </c>
      <c r="Q322" s="150" t="e">
        <f>IF(AJ$11=FALSE,IF(B322="","",IF(AJ322="NA",P322,INDEX('AUX TABLES'!$G$4:$K$8,AY322,AZ322))),IF(P322="FAIL",P322,INDEX('AUX TABLES'!$G$4:$K$8,AY322,AZ322)))</f>
        <v>#VALUE!</v>
      </c>
      <c r="R322" s="150" t="e">
        <f>IF(AJ$11=FALSE,IF(B322="","",IF(AJ322="NA",P322,INDEX('AUX TABLES'!$G$4:$K$8,BB322,BC322))),IF(P322="FAIL",P322,INDEX('AUX TABLES'!$G$4:$K$8,BB322,BC322)))</f>
        <v>#VALUE!</v>
      </c>
      <c r="S322" s="69" t="e">
        <f>INDEX('AUX TABLES'!$G$4:$K$8,AM322,AN322)</f>
        <v>#VALUE!</v>
      </c>
      <c r="T322" s="69" t="e">
        <f>IF(AJ$11=FALSE,IF(AJ322="NA",S322,INDEX('AUX TABLES'!$G$4:$K$8,AP322,AQ322)),IF(S322="FAIL",S322,INDEX('AUX TABLES'!$G$4:$K$8,AP322,AQ322)))</f>
        <v>#VALUE!</v>
      </c>
      <c r="U322" s="150" t="e">
        <f>IF(AJ$11=FALSE,IF(AJ322="NA",S322,INDEX('AUX TABLES'!$G$4:$K$8,AS322,AT322)),IF(S322="FAIL",S322,INDEX('AUX TABLES'!$G$4:$K$8,AS322,AT322)))</f>
        <v>#VALUE!</v>
      </c>
      <c r="V322" s="150" t="str">
        <f t="shared" si="134"/>
        <v/>
      </c>
      <c r="W322" s="74">
        <f t="shared" si="135"/>
        <v>10.021000000000001</v>
      </c>
      <c r="X322" s="74" t="str">
        <f t="shared" si="136"/>
        <v>NA</v>
      </c>
      <c r="Y322" s="74" t="str">
        <f t="shared" si="137"/>
        <v>NA</v>
      </c>
      <c r="Z322" s="74" t="str">
        <f t="shared" si="138"/>
        <v>NA</v>
      </c>
      <c r="AA322" s="74" t="str">
        <f t="shared" si="139"/>
        <v>NA</v>
      </c>
      <c r="AB322" s="74">
        <f t="shared" si="140"/>
        <v>9.9789999999999992</v>
      </c>
      <c r="AC322" s="69" t="str">
        <f>IF(ISTEXT('TECH DATA ENTRY'!L339)=TRUE,"NA",'TECH DATA ENTRY'!H339)</f>
        <v>NA</v>
      </c>
      <c r="AD322" s="69" t="str">
        <f t="shared" si="141"/>
        <v>NA</v>
      </c>
      <c r="AE322" s="69" t="str">
        <f t="shared" si="142"/>
        <v>NA</v>
      </c>
      <c r="AF322" s="69" t="e">
        <f t="shared" si="143"/>
        <v>#VALUE!</v>
      </c>
      <c r="AG322" s="69" t="e">
        <f t="shared" si="144"/>
        <v>#VALUE!</v>
      </c>
      <c r="AH322" s="69" t="e">
        <f t="shared" si="145"/>
        <v>#VALUE!</v>
      </c>
      <c r="AI322" s="69" t="e">
        <f t="shared" si="146"/>
        <v>#VALUE!</v>
      </c>
      <c r="AJ322" s="70" t="str">
        <f>IF(OR(ISTEXT('TECH DATA ENTRY'!L339)=TRUE,ISTEXT('TECH DATA ENTRY'!F339)=TRUE,ISTEXT('TECH DATA ENTRY'!G339)=TRUE),"NA",(W322-AB322)/(2*MAX(M322,L322)))</f>
        <v>NA</v>
      </c>
      <c r="AK322" s="69" t="str">
        <f t="shared" si="147"/>
        <v>NA</v>
      </c>
      <c r="AM322" s="73" t="e">
        <f t="shared" si="148"/>
        <v>#VALUE!</v>
      </c>
      <c r="AN322" s="73" t="e">
        <f t="shared" si="149"/>
        <v>#VALUE!</v>
      </c>
      <c r="AO322" s="87"/>
      <c r="AP322" s="73" t="e">
        <f t="shared" si="150"/>
        <v>#VALUE!</v>
      </c>
      <c r="AQ322" s="73" t="e">
        <f t="shared" si="151"/>
        <v>#VALUE!</v>
      </c>
      <c r="AR322" s="87"/>
      <c r="AS322" s="73" t="e">
        <f t="shared" si="152"/>
        <v>#VALUE!</v>
      </c>
      <c r="AT322" s="73" t="e">
        <f t="shared" si="153"/>
        <v>#VALUE!</v>
      </c>
      <c r="AV322" s="73" t="e">
        <f t="shared" si="154"/>
        <v>#VALUE!</v>
      </c>
      <c r="AW322" s="73" t="e">
        <f t="shared" si="155"/>
        <v>#VALUE!</v>
      </c>
      <c r="AX322" s="87"/>
      <c r="AY322" s="73" t="e">
        <f t="shared" si="156"/>
        <v>#VALUE!</v>
      </c>
      <c r="AZ322" s="73" t="e">
        <f t="shared" si="157"/>
        <v>#VALUE!</v>
      </c>
      <c r="BA322" s="87"/>
      <c r="BB322" s="73" t="e">
        <f t="shared" si="158"/>
        <v>#VALUE!</v>
      </c>
      <c r="BC322" s="73" t="e">
        <f t="shared" si="159"/>
        <v>#VALUE!</v>
      </c>
    </row>
    <row r="323" spans="1:55" s="255" customFormat="1" ht="31.4" customHeight="1">
      <c r="A323" s="313"/>
      <c r="B323" s="314"/>
      <c r="C323" s="314"/>
      <c r="D323" s="314"/>
      <c r="E323" s="314"/>
      <c r="F323" s="314"/>
      <c r="G323" s="314"/>
      <c r="H323" s="314"/>
      <c r="I323" s="314"/>
      <c r="J323" s="252"/>
      <c r="K323" s="252"/>
      <c r="L323" s="253"/>
      <c r="M323" s="254"/>
      <c r="N323" s="254"/>
    </row>
    <row r="324" spans="1:55" s="255" customFormat="1" ht="28.9" customHeight="1">
      <c r="A324" s="273"/>
      <c r="B324" s="252"/>
      <c r="C324" s="252"/>
      <c r="D324" s="252"/>
      <c r="E324" s="252"/>
      <c r="F324" s="252"/>
      <c r="G324" s="252"/>
      <c r="H324" s="252"/>
      <c r="I324" s="252"/>
      <c r="J324" s="252"/>
      <c r="K324" s="252"/>
      <c r="L324" s="253"/>
      <c r="M324" s="254"/>
      <c r="N324" s="254"/>
    </row>
    <row r="325" spans="1:55" s="255" customFormat="1" ht="27.65" customHeight="1">
      <c r="A325" s="256"/>
      <c r="B325" s="151"/>
      <c r="C325" s="151"/>
      <c r="D325" s="151"/>
      <c r="E325" s="151"/>
      <c r="F325" s="151"/>
      <c r="G325" s="151"/>
      <c r="H325" s="151"/>
      <c r="I325" s="151"/>
      <c r="J325" s="151"/>
      <c r="K325" s="151"/>
      <c r="L325" s="253"/>
      <c r="M325" s="254"/>
      <c r="N325" s="254"/>
    </row>
    <row r="326" spans="1:55" s="255" customFormat="1" ht="27.65" customHeight="1">
      <c r="A326" s="256"/>
      <c r="B326" s="151"/>
      <c r="C326" s="151"/>
      <c r="D326" s="151"/>
      <c r="E326" s="151"/>
      <c r="F326" s="151"/>
      <c r="G326" s="151"/>
      <c r="H326" s="151"/>
      <c r="I326" s="151"/>
      <c r="J326" s="151"/>
      <c r="K326" s="151"/>
      <c r="L326" s="253"/>
      <c r="M326" s="254"/>
      <c r="N326" s="254"/>
    </row>
    <row r="327" spans="1:55" s="255" customFormat="1" ht="27.65" customHeight="1">
      <c r="A327" s="256"/>
      <c r="B327" s="151"/>
      <c r="C327" s="151"/>
      <c r="D327" s="151"/>
      <c r="E327" s="151"/>
      <c r="F327" s="151"/>
      <c r="G327" s="151"/>
      <c r="H327" s="151"/>
      <c r="I327" s="151"/>
      <c r="J327" s="151"/>
      <c r="K327" s="151"/>
      <c r="L327" s="253"/>
      <c r="M327" s="254"/>
      <c r="N327" s="254"/>
    </row>
    <row r="328" spans="1:55" s="259" customFormat="1" ht="27.65" customHeight="1">
      <c r="A328" s="655" t="str">
        <f>IF(P$11="ROV NO UNC","- End of Calibration Report -","")</f>
        <v/>
      </c>
      <c r="B328" s="656"/>
      <c r="C328" s="656"/>
      <c r="D328" s="656"/>
      <c r="E328" s="656"/>
      <c r="F328" s="656"/>
      <c r="G328" s="656"/>
      <c r="H328" s="656"/>
      <c r="I328" s="656"/>
      <c r="J328" s="20"/>
      <c r="K328" s="20"/>
      <c r="L328" s="258"/>
      <c r="M328" s="254"/>
    </row>
    <row r="329" spans="1:55" s="259" customFormat="1" ht="27.65" customHeight="1">
      <c r="A329" s="655" t="str">
        <f>IF(P$11="ROV WITH UNC","- End of Calibration Report -","")</f>
        <v/>
      </c>
      <c r="B329" s="656"/>
      <c r="C329" s="656"/>
      <c r="D329" s="656"/>
      <c r="E329" s="656"/>
      <c r="F329" s="656"/>
      <c r="G329" s="656"/>
      <c r="H329" s="656"/>
      <c r="I329" s="656"/>
      <c r="J329" s="20"/>
      <c r="K329" s="20"/>
      <c r="L329" s="258"/>
      <c r="M329" s="254"/>
    </row>
    <row r="330" spans="1:55" s="259" customFormat="1" ht="27.65" customHeight="1">
      <c r="A330" s="26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58"/>
      <c r="M330" s="254"/>
    </row>
    <row r="331" spans="1:55" s="259" customFormat="1" ht="27.65" customHeight="1">
      <c r="A331" s="261"/>
      <c r="B331" s="261"/>
      <c r="C331" s="261"/>
      <c r="D331" s="261"/>
      <c r="E331" s="261"/>
      <c r="F331" s="261"/>
      <c r="G331" s="261"/>
      <c r="H331" s="261"/>
      <c r="I331" s="261"/>
      <c r="J331" s="261"/>
      <c r="K331" s="261"/>
      <c r="M331" s="254"/>
    </row>
    <row r="332" spans="1:55" s="259" customFormat="1" ht="27.65" customHeight="1">
      <c r="A332" s="261"/>
      <c r="B332" s="261"/>
      <c r="C332" s="261"/>
      <c r="D332" s="261"/>
      <c r="E332" s="261"/>
      <c r="F332" s="261"/>
      <c r="G332" s="261"/>
      <c r="H332" s="261"/>
      <c r="I332" s="261"/>
      <c r="J332" s="261"/>
      <c r="K332" s="261"/>
      <c r="L332" s="258"/>
      <c r="M332" s="254"/>
    </row>
    <row r="333" spans="1:55" s="259" customFormat="1" ht="27.65" customHeight="1">
      <c r="A333" s="19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58"/>
      <c r="M333" s="254"/>
    </row>
    <row r="334" spans="1:55" s="259" customFormat="1" ht="27.65" customHeight="1">
      <c r="A334" s="262"/>
      <c r="B334" s="263"/>
      <c r="C334" s="263"/>
      <c r="D334" s="263"/>
      <c r="E334" s="263"/>
      <c r="F334" s="263"/>
      <c r="G334" s="20"/>
      <c r="H334" s="20"/>
      <c r="I334" s="20"/>
      <c r="J334" s="20"/>
      <c r="K334" s="20"/>
      <c r="L334" s="258"/>
      <c r="M334" s="254"/>
    </row>
    <row r="335" spans="1:55" s="259" customFormat="1" ht="27.65" customHeight="1">
      <c r="A335" s="261"/>
      <c r="B335" s="261"/>
      <c r="C335" s="261"/>
      <c r="D335" s="261"/>
      <c r="E335" s="261"/>
      <c r="F335" s="261"/>
      <c r="G335" s="261"/>
      <c r="H335" s="261"/>
      <c r="I335" s="261"/>
      <c r="J335" s="261"/>
      <c r="K335" s="20"/>
      <c r="L335" s="258"/>
      <c r="M335" s="254"/>
    </row>
    <row r="336" spans="1:55" s="259" customFormat="1" ht="27.65" customHeight="1">
      <c r="A336" s="261"/>
      <c r="B336" s="261"/>
      <c r="C336" s="261"/>
      <c r="D336" s="261"/>
      <c r="E336" s="261"/>
      <c r="F336" s="261"/>
      <c r="G336" s="261"/>
      <c r="H336" s="261"/>
      <c r="I336" s="261"/>
      <c r="J336" s="261"/>
      <c r="K336" s="20"/>
      <c r="L336" s="258"/>
      <c r="M336" s="254"/>
    </row>
    <row r="337" spans="1:13" s="259" customFormat="1" ht="27.65" customHeight="1">
      <c r="A337" s="264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58"/>
      <c r="M337" s="254"/>
    </row>
    <row r="338" spans="1:13" s="259" customFormat="1" ht="27.65" customHeight="1">
      <c r="A338" s="264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58"/>
      <c r="M338" s="254"/>
    </row>
    <row r="339" spans="1:13" ht="27.65" customHeight="1">
      <c r="A339" s="655" t="str">
        <f>IF(P$11="DATA NO UNC","- End of Calibration Report -","")</f>
        <v/>
      </c>
      <c r="B339" s="656"/>
      <c r="C339" s="656"/>
      <c r="D339" s="656"/>
      <c r="E339" s="656"/>
      <c r="F339" s="656"/>
      <c r="G339" s="656"/>
      <c r="H339" s="656"/>
      <c r="I339" s="656"/>
      <c r="J339" s="265"/>
      <c r="K339" s="265"/>
      <c r="L339" s="265"/>
      <c r="M339" s="20"/>
    </row>
    <row r="340" spans="1:13" s="259" customFormat="1" ht="27.65" customHeight="1">
      <c r="A340" s="264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58"/>
      <c r="M340" s="254"/>
    </row>
    <row r="341" spans="1:13" s="259" customFormat="1" ht="27.65" customHeight="1">
      <c r="A341" s="19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58"/>
      <c r="M341" s="254"/>
    </row>
    <row r="342" spans="1:13" s="259" customFormat="1" ht="27.65" customHeight="1">
      <c r="A342" s="256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58"/>
      <c r="M342" s="254"/>
    </row>
    <row r="343" spans="1:13" s="259" customFormat="1" ht="27.65" customHeight="1">
      <c r="A343" s="256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58"/>
      <c r="M343" s="254"/>
    </row>
    <row r="344" spans="1:13" s="259" customFormat="1" ht="27.65" customHeight="1">
      <c r="A344" s="256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58"/>
      <c r="M344" s="254"/>
    </row>
    <row r="345" spans="1:13" s="259" customFormat="1" ht="27.65" customHeight="1">
      <c r="A345" s="19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58"/>
      <c r="M345" s="254"/>
    </row>
    <row r="346" spans="1:13" ht="27.65" customHeight="1">
      <c r="A346" s="655" t="str">
        <f>IF(P$11="ACC CAL WITH GB - Method 5","- End of Calibration Report -","")</f>
        <v/>
      </c>
      <c r="B346" s="656"/>
      <c r="C346" s="656"/>
      <c r="D346" s="656"/>
      <c r="E346" s="656"/>
      <c r="F346" s="656"/>
      <c r="G346" s="656"/>
      <c r="H346" s="656"/>
      <c r="I346" s="656"/>
      <c r="J346" s="265"/>
      <c r="K346" s="265"/>
      <c r="L346" s="265"/>
      <c r="M346" s="20"/>
    </row>
    <row r="347" spans="1:13" ht="27.65" customHeight="1">
      <c r="A347" s="655" t="str">
        <f>IF(OR(P11="ACC CAL WITH GB - Method 6",P11="ACC CAL WITHOUT GB"),"- End of Calibration Report -","")</f>
        <v>- End of Calibration Report -</v>
      </c>
      <c r="B347" s="656"/>
      <c r="C347" s="656"/>
      <c r="D347" s="656"/>
      <c r="E347" s="656"/>
      <c r="F347" s="656"/>
      <c r="G347" s="656"/>
      <c r="H347" s="656"/>
      <c r="I347" s="656"/>
      <c r="J347" s="265"/>
      <c r="K347" s="265"/>
      <c r="L347" s="265"/>
      <c r="M347" s="20"/>
    </row>
    <row r="348" spans="1:13" ht="25.9" customHeight="1">
      <c r="J348" s="265"/>
      <c r="M348" s="20"/>
    </row>
    <row r="349" spans="1:13" ht="25.9" customHeight="1">
      <c r="M349" s="20"/>
    </row>
    <row r="350" spans="1:13" ht="25.9" customHeight="1">
      <c r="A350" s="257"/>
      <c r="B350" s="257"/>
      <c r="C350" s="257"/>
      <c r="D350" s="257"/>
      <c r="E350" s="257"/>
      <c r="F350" s="257"/>
      <c r="G350" s="257"/>
      <c r="H350" s="257"/>
      <c r="I350" s="257"/>
      <c r="J350" s="257"/>
      <c r="M350" s="20"/>
    </row>
    <row r="351" spans="1:13" ht="25.9" customHeight="1">
      <c r="M351" s="20"/>
    </row>
    <row r="352" spans="1:13" ht="25.9" customHeight="1">
      <c r="M352" s="20"/>
    </row>
    <row r="353" spans="13:13" ht="25.9" customHeight="1">
      <c r="M353" s="20"/>
    </row>
    <row r="354" spans="13:13" ht="25.9" customHeight="1">
      <c r="M354" s="20"/>
    </row>
    <row r="355" spans="13:13" ht="25.9" customHeight="1">
      <c r="M355" s="20"/>
    </row>
    <row r="356" spans="13:13" ht="25.9" customHeight="1">
      <c r="M356" s="20"/>
    </row>
    <row r="357" spans="13:13" ht="25.9" customHeight="1">
      <c r="M357" s="20"/>
    </row>
    <row r="358" spans="13:13" ht="25.9" customHeight="1">
      <c r="M358" s="20"/>
    </row>
    <row r="359" spans="13:13" ht="25.9" customHeight="1">
      <c r="M359" s="20"/>
    </row>
    <row r="360" spans="13:13" ht="25.9" customHeight="1">
      <c r="M360" s="20"/>
    </row>
    <row r="361" spans="13:13" ht="25.9" customHeight="1">
      <c r="M361" s="20"/>
    </row>
    <row r="362" spans="13:13" ht="25.9" customHeight="1">
      <c r="M362" s="20"/>
    </row>
    <row r="363" spans="13:13" ht="25.9" customHeight="1">
      <c r="M363" s="20"/>
    </row>
    <row r="364" spans="13:13" ht="25.9" customHeight="1">
      <c r="M364" s="20"/>
    </row>
    <row r="365" spans="13:13">
      <c r="M365" s="20"/>
    </row>
    <row r="366" spans="13:13">
      <c r="M366" s="20"/>
    </row>
    <row r="367" spans="13:13">
      <c r="M367" s="20"/>
    </row>
    <row r="368" spans="13:13">
      <c r="M368" s="20"/>
    </row>
    <row r="369" spans="13:13">
      <c r="M369" s="20"/>
    </row>
    <row r="370" spans="13:13">
      <c r="M370" s="20"/>
    </row>
    <row r="371" spans="13:13">
      <c r="M371" s="20"/>
    </row>
    <row r="372" spans="13:13">
      <c r="M372" s="20"/>
    </row>
    <row r="373" spans="13:13">
      <c r="M373" s="20"/>
    </row>
  </sheetData>
  <dataConsolidate/>
  <mergeCells count="890">
    <mergeCell ref="AV319:AW319"/>
    <mergeCell ref="AY319:AZ319"/>
    <mergeCell ref="BB319:BC319"/>
    <mergeCell ref="AJ319:AJ320"/>
    <mergeCell ref="AK319:AK320"/>
    <mergeCell ref="AM319:AN319"/>
    <mergeCell ref="AP319:AQ319"/>
    <mergeCell ref="AS319:AT319"/>
    <mergeCell ref="S319:V319"/>
    <mergeCell ref="W319:AB319"/>
    <mergeCell ref="AC319:AE319"/>
    <mergeCell ref="AF319:AG319"/>
    <mergeCell ref="AH319:AI319"/>
    <mergeCell ref="H319:H320"/>
    <mergeCell ref="I319:I320"/>
    <mergeCell ref="L319:L320"/>
    <mergeCell ref="M319:M320"/>
    <mergeCell ref="P319:R319"/>
    <mergeCell ref="C319:C320"/>
    <mergeCell ref="D319:D320"/>
    <mergeCell ref="E319:E320"/>
    <mergeCell ref="F319:F320"/>
    <mergeCell ref="G319:G320"/>
    <mergeCell ref="AV311:AW311"/>
    <mergeCell ref="AY311:AZ311"/>
    <mergeCell ref="BB311:BC311"/>
    <mergeCell ref="AM317:AT317"/>
    <mergeCell ref="AV317:BC317"/>
    <mergeCell ref="AJ311:AJ312"/>
    <mergeCell ref="AK311:AK312"/>
    <mergeCell ref="AM311:AN311"/>
    <mergeCell ref="AP311:AQ311"/>
    <mergeCell ref="AS311:AT311"/>
    <mergeCell ref="S311:V311"/>
    <mergeCell ref="W311:AB311"/>
    <mergeCell ref="AC311:AE311"/>
    <mergeCell ref="AF311:AG311"/>
    <mergeCell ref="AH311:AI311"/>
    <mergeCell ref="H311:H312"/>
    <mergeCell ref="I311:I312"/>
    <mergeCell ref="L311:L312"/>
    <mergeCell ref="M311:M312"/>
    <mergeCell ref="P311:R311"/>
    <mergeCell ref="C311:C312"/>
    <mergeCell ref="D311:D312"/>
    <mergeCell ref="E311:E312"/>
    <mergeCell ref="F311:F312"/>
    <mergeCell ref="G311:G312"/>
    <mergeCell ref="AV302:AW302"/>
    <mergeCell ref="AY302:AZ302"/>
    <mergeCell ref="BB302:BC302"/>
    <mergeCell ref="AM309:AT309"/>
    <mergeCell ref="AV309:BC309"/>
    <mergeCell ref="AJ302:AJ303"/>
    <mergeCell ref="AK302:AK303"/>
    <mergeCell ref="AM302:AN302"/>
    <mergeCell ref="AP302:AQ302"/>
    <mergeCell ref="AS302:AT302"/>
    <mergeCell ref="S302:V302"/>
    <mergeCell ref="W302:AB302"/>
    <mergeCell ref="AC302:AE302"/>
    <mergeCell ref="AF302:AG302"/>
    <mergeCell ref="AH302:AI302"/>
    <mergeCell ref="H302:H303"/>
    <mergeCell ref="I302:I303"/>
    <mergeCell ref="L302:L303"/>
    <mergeCell ref="M302:M303"/>
    <mergeCell ref="P302:R302"/>
    <mergeCell ref="C302:C303"/>
    <mergeCell ref="D302:D303"/>
    <mergeCell ref="E302:E303"/>
    <mergeCell ref="F302:F303"/>
    <mergeCell ref="G302:G303"/>
    <mergeCell ref="AV293:AW293"/>
    <mergeCell ref="AY293:AZ293"/>
    <mergeCell ref="BB293:BC293"/>
    <mergeCell ref="AM300:AT300"/>
    <mergeCell ref="AV300:BC300"/>
    <mergeCell ref="AJ293:AJ294"/>
    <mergeCell ref="AK293:AK294"/>
    <mergeCell ref="AM293:AN293"/>
    <mergeCell ref="AP293:AQ293"/>
    <mergeCell ref="AS293:AT293"/>
    <mergeCell ref="S293:V293"/>
    <mergeCell ref="W293:AB293"/>
    <mergeCell ref="AC293:AE293"/>
    <mergeCell ref="AF293:AG293"/>
    <mergeCell ref="AH293:AI293"/>
    <mergeCell ref="H293:H294"/>
    <mergeCell ref="I293:I294"/>
    <mergeCell ref="L293:L294"/>
    <mergeCell ref="M293:M294"/>
    <mergeCell ref="P293:R293"/>
    <mergeCell ref="C293:C294"/>
    <mergeCell ref="D293:D294"/>
    <mergeCell ref="E293:E294"/>
    <mergeCell ref="F293:F294"/>
    <mergeCell ref="G293:G294"/>
    <mergeCell ref="AV284:AW284"/>
    <mergeCell ref="AY284:AZ284"/>
    <mergeCell ref="H284:H285"/>
    <mergeCell ref="I284:I285"/>
    <mergeCell ref="L284:L285"/>
    <mergeCell ref="M284:M285"/>
    <mergeCell ref="P284:R284"/>
    <mergeCell ref="C284:C285"/>
    <mergeCell ref="D284:D285"/>
    <mergeCell ref="E284:E285"/>
    <mergeCell ref="F284:F285"/>
    <mergeCell ref="G284:G285"/>
    <mergeCell ref="BB284:BC284"/>
    <mergeCell ref="AM291:AT291"/>
    <mergeCell ref="AV291:BC291"/>
    <mergeCell ref="AJ284:AJ285"/>
    <mergeCell ref="AK284:AK285"/>
    <mergeCell ref="AM284:AN284"/>
    <mergeCell ref="AP284:AQ284"/>
    <mergeCell ref="AS284:AT284"/>
    <mergeCell ref="S284:V284"/>
    <mergeCell ref="W284:AB284"/>
    <mergeCell ref="AC284:AE284"/>
    <mergeCell ref="AF284:AG284"/>
    <mergeCell ref="AH284:AI284"/>
    <mergeCell ref="AV275:AW275"/>
    <mergeCell ref="AY275:AZ275"/>
    <mergeCell ref="BB275:BC275"/>
    <mergeCell ref="AM282:AT282"/>
    <mergeCell ref="AV282:BC282"/>
    <mergeCell ref="AJ275:AJ276"/>
    <mergeCell ref="AK275:AK276"/>
    <mergeCell ref="AM275:AN275"/>
    <mergeCell ref="AP275:AQ275"/>
    <mergeCell ref="AS275:AT275"/>
    <mergeCell ref="S275:V275"/>
    <mergeCell ref="W275:AB275"/>
    <mergeCell ref="AC275:AE275"/>
    <mergeCell ref="AF275:AG275"/>
    <mergeCell ref="AH275:AI275"/>
    <mergeCell ref="H275:H276"/>
    <mergeCell ref="I275:I276"/>
    <mergeCell ref="L275:L276"/>
    <mergeCell ref="M275:M276"/>
    <mergeCell ref="P275:R275"/>
    <mergeCell ref="C275:C276"/>
    <mergeCell ref="D275:D276"/>
    <mergeCell ref="E275:E276"/>
    <mergeCell ref="F275:F276"/>
    <mergeCell ref="G275:G276"/>
    <mergeCell ref="AV266:AW266"/>
    <mergeCell ref="AY266:AZ266"/>
    <mergeCell ref="BB266:BC266"/>
    <mergeCell ref="AM273:AT273"/>
    <mergeCell ref="AV273:BC273"/>
    <mergeCell ref="AJ266:AJ267"/>
    <mergeCell ref="AK266:AK267"/>
    <mergeCell ref="AM266:AN266"/>
    <mergeCell ref="AP266:AQ266"/>
    <mergeCell ref="AS266:AT266"/>
    <mergeCell ref="S266:V266"/>
    <mergeCell ref="W266:AB266"/>
    <mergeCell ref="AC266:AE266"/>
    <mergeCell ref="AF266:AG266"/>
    <mergeCell ref="AH266:AI266"/>
    <mergeCell ref="H266:H267"/>
    <mergeCell ref="I266:I267"/>
    <mergeCell ref="L266:L267"/>
    <mergeCell ref="M266:M267"/>
    <mergeCell ref="P266:R266"/>
    <mergeCell ref="C266:C267"/>
    <mergeCell ref="D266:D267"/>
    <mergeCell ref="E266:E267"/>
    <mergeCell ref="F266:F267"/>
    <mergeCell ref="G266:G267"/>
    <mergeCell ref="AV257:AW257"/>
    <mergeCell ref="AY257:AZ257"/>
    <mergeCell ref="BB257:BC257"/>
    <mergeCell ref="AM264:AT264"/>
    <mergeCell ref="AV264:BC264"/>
    <mergeCell ref="AJ257:AJ258"/>
    <mergeCell ref="AK257:AK258"/>
    <mergeCell ref="AM257:AN257"/>
    <mergeCell ref="AP257:AQ257"/>
    <mergeCell ref="AS257:AT257"/>
    <mergeCell ref="S257:V257"/>
    <mergeCell ref="W257:AB257"/>
    <mergeCell ref="AC257:AE257"/>
    <mergeCell ref="AF257:AG257"/>
    <mergeCell ref="AH257:AI257"/>
    <mergeCell ref="H257:H258"/>
    <mergeCell ref="I257:I258"/>
    <mergeCell ref="L257:L258"/>
    <mergeCell ref="M257:M258"/>
    <mergeCell ref="P257:R257"/>
    <mergeCell ref="C257:C258"/>
    <mergeCell ref="D257:D258"/>
    <mergeCell ref="E257:E258"/>
    <mergeCell ref="F257:F258"/>
    <mergeCell ref="G257:G258"/>
    <mergeCell ref="AV248:AW248"/>
    <mergeCell ref="AY248:AZ248"/>
    <mergeCell ref="H248:H249"/>
    <mergeCell ref="I248:I249"/>
    <mergeCell ref="L248:L249"/>
    <mergeCell ref="M248:M249"/>
    <mergeCell ref="P248:R248"/>
    <mergeCell ref="C248:C249"/>
    <mergeCell ref="D248:D249"/>
    <mergeCell ref="E248:E249"/>
    <mergeCell ref="F248:F249"/>
    <mergeCell ref="G248:G249"/>
    <mergeCell ref="BB248:BC248"/>
    <mergeCell ref="AM255:AT255"/>
    <mergeCell ref="AV255:BC255"/>
    <mergeCell ref="AJ248:AJ249"/>
    <mergeCell ref="AK248:AK249"/>
    <mergeCell ref="AM248:AN248"/>
    <mergeCell ref="AP248:AQ248"/>
    <mergeCell ref="AS248:AT248"/>
    <mergeCell ref="S248:V248"/>
    <mergeCell ref="W248:AB248"/>
    <mergeCell ref="AC248:AE248"/>
    <mergeCell ref="AF248:AG248"/>
    <mergeCell ref="AH248:AI248"/>
    <mergeCell ref="AV240:AW240"/>
    <mergeCell ref="AY240:AZ240"/>
    <mergeCell ref="BB240:BC240"/>
    <mergeCell ref="AM246:AT246"/>
    <mergeCell ref="AV246:BC246"/>
    <mergeCell ref="AJ240:AJ241"/>
    <mergeCell ref="AK240:AK241"/>
    <mergeCell ref="AM240:AN240"/>
    <mergeCell ref="AP240:AQ240"/>
    <mergeCell ref="AS240:AT240"/>
    <mergeCell ref="S240:V240"/>
    <mergeCell ref="W240:AB240"/>
    <mergeCell ref="AC240:AE240"/>
    <mergeCell ref="AF240:AG240"/>
    <mergeCell ref="AH240:AI240"/>
    <mergeCell ref="H240:H241"/>
    <mergeCell ref="I240:I241"/>
    <mergeCell ref="L240:L241"/>
    <mergeCell ref="M240:M241"/>
    <mergeCell ref="P240:R240"/>
    <mergeCell ref="C240:C241"/>
    <mergeCell ref="D240:D241"/>
    <mergeCell ref="E240:E241"/>
    <mergeCell ref="F240:F241"/>
    <mergeCell ref="G240:G241"/>
    <mergeCell ref="AV232:AW232"/>
    <mergeCell ref="AY232:AZ232"/>
    <mergeCell ref="BB232:BC232"/>
    <mergeCell ref="AM238:AT238"/>
    <mergeCell ref="AV238:BC238"/>
    <mergeCell ref="AJ232:AJ233"/>
    <mergeCell ref="AK232:AK233"/>
    <mergeCell ref="AM232:AN232"/>
    <mergeCell ref="AP232:AQ232"/>
    <mergeCell ref="AS232:AT232"/>
    <mergeCell ref="S232:V232"/>
    <mergeCell ref="W232:AB232"/>
    <mergeCell ref="AC232:AE232"/>
    <mergeCell ref="AF232:AG232"/>
    <mergeCell ref="AH232:AI232"/>
    <mergeCell ref="H232:H233"/>
    <mergeCell ref="I232:I233"/>
    <mergeCell ref="L232:L233"/>
    <mergeCell ref="M232:M233"/>
    <mergeCell ref="P232:R232"/>
    <mergeCell ref="C232:C233"/>
    <mergeCell ref="D232:D233"/>
    <mergeCell ref="E232:E233"/>
    <mergeCell ref="F232:F233"/>
    <mergeCell ref="G232:G233"/>
    <mergeCell ref="AV224:AW224"/>
    <mergeCell ref="AY224:AZ224"/>
    <mergeCell ref="BB224:BC224"/>
    <mergeCell ref="AM230:AT230"/>
    <mergeCell ref="AV230:BC230"/>
    <mergeCell ref="AJ224:AJ225"/>
    <mergeCell ref="AK224:AK225"/>
    <mergeCell ref="AM224:AN224"/>
    <mergeCell ref="AP224:AQ224"/>
    <mergeCell ref="AS224:AT224"/>
    <mergeCell ref="S224:V224"/>
    <mergeCell ref="W224:AB224"/>
    <mergeCell ref="AC224:AE224"/>
    <mergeCell ref="AF224:AG224"/>
    <mergeCell ref="AH224:AI224"/>
    <mergeCell ref="H224:H225"/>
    <mergeCell ref="I224:I225"/>
    <mergeCell ref="L224:L225"/>
    <mergeCell ref="M224:M225"/>
    <mergeCell ref="P224:R224"/>
    <mergeCell ref="C224:C225"/>
    <mergeCell ref="D224:D225"/>
    <mergeCell ref="E224:E225"/>
    <mergeCell ref="F224:F225"/>
    <mergeCell ref="G224:G225"/>
    <mergeCell ref="AV216:AW216"/>
    <mergeCell ref="AY216:AZ216"/>
    <mergeCell ref="H216:H217"/>
    <mergeCell ref="I216:I217"/>
    <mergeCell ref="L216:L217"/>
    <mergeCell ref="M216:M217"/>
    <mergeCell ref="P216:R216"/>
    <mergeCell ref="C216:C217"/>
    <mergeCell ref="D216:D217"/>
    <mergeCell ref="E216:E217"/>
    <mergeCell ref="F216:F217"/>
    <mergeCell ref="G216:G217"/>
    <mergeCell ref="BB216:BC216"/>
    <mergeCell ref="AM222:AT222"/>
    <mergeCell ref="AV222:BC222"/>
    <mergeCell ref="AJ216:AJ217"/>
    <mergeCell ref="AK216:AK217"/>
    <mergeCell ref="AM216:AN216"/>
    <mergeCell ref="AP216:AQ216"/>
    <mergeCell ref="AS216:AT216"/>
    <mergeCell ref="S216:V216"/>
    <mergeCell ref="W216:AB216"/>
    <mergeCell ref="AC216:AE216"/>
    <mergeCell ref="AF216:AG216"/>
    <mergeCell ref="AH216:AI216"/>
    <mergeCell ref="AV208:AW208"/>
    <mergeCell ref="AY208:AZ208"/>
    <mergeCell ref="BB208:BC208"/>
    <mergeCell ref="AM214:AT214"/>
    <mergeCell ref="AV214:BC214"/>
    <mergeCell ref="AJ208:AJ209"/>
    <mergeCell ref="AK208:AK209"/>
    <mergeCell ref="AM208:AN208"/>
    <mergeCell ref="AP208:AQ208"/>
    <mergeCell ref="AS208:AT208"/>
    <mergeCell ref="S208:V208"/>
    <mergeCell ref="W208:AB208"/>
    <mergeCell ref="AC208:AE208"/>
    <mergeCell ref="AF208:AG208"/>
    <mergeCell ref="AH208:AI208"/>
    <mergeCell ref="H208:H209"/>
    <mergeCell ref="I208:I209"/>
    <mergeCell ref="L208:L209"/>
    <mergeCell ref="M208:M209"/>
    <mergeCell ref="P208:R208"/>
    <mergeCell ref="C208:C209"/>
    <mergeCell ref="D208:D209"/>
    <mergeCell ref="E208:E209"/>
    <mergeCell ref="F208:F209"/>
    <mergeCell ref="G208:G209"/>
    <mergeCell ref="AV200:AW200"/>
    <mergeCell ref="AY200:AZ200"/>
    <mergeCell ref="BB200:BC200"/>
    <mergeCell ref="AM206:AT206"/>
    <mergeCell ref="AV206:BC206"/>
    <mergeCell ref="AJ200:AJ201"/>
    <mergeCell ref="AK200:AK201"/>
    <mergeCell ref="AM200:AN200"/>
    <mergeCell ref="AP200:AQ200"/>
    <mergeCell ref="AS200:AT200"/>
    <mergeCell ref="S200:V200"/>
    <mergeCell ref="W200:AB200"/>
    <mergeCell ref="AC200:AE200"/>
    <mergeCell ref="AF200:AG200"/>
    <mergeCell ref="AH200:AI200"/>
    <mergeCell ref="H200:H201"/>
    <mergeCell ref="I200:I201"/>
    <mergeCell ref="L200:L201"/>
    <mergeCell ref="M200:M201"/>
    <mergeCell ref="P200:R200"/>
    <mergeCell ref="C200:C201"/>
    <mergeCell ref="D200:D201"/>
    <mergeCell ref="E200:E201"/>
    <mergeCell ref="F200:F201"/>
    <mergeCell ref="G200:G201"/>
    <mergeCell ref="AV192:AW192"/>
    <mergeCell ref="AY192:AZ192"/>
    <mergeCell ref="BB192:BC192"/>
    <mergeCell ref="AM198:AT198"/>
    <mergeCell ref="AV198:BC198"/>
    <mergeCell ref="AJ192:AJ193"/>
    <mergeCell ref="AK192:AK193"/>
    <mergeCell ref="AM192:AN192"/>
    <mergeCell ref="AP192:AQ192"/>
    <mergeCell ref="AS192:AT192"/>
    <mergeCell ref="S192:V192"/>
    <mergeCell ref="W192:AB192"/>
    <mergeCell ref="AC192:AE192"/>
    <mergeCell ref="AF192:AG192"/>
    <mergeCell ref="AH192:AI192"/>
    <mergeCell ref="H192:H193"/>
    <mergeCell ref="I192:I193"/>
    <mergeCell ref="L192:L193"/>
    <mergeCell ref="M192:M193"/>
    <mergeCell ref="P192:R192"/>
    <mergeCell ref="C192:C193"/>
    <mergeCell ref="D192:D193"/>
    <mergeCell ref="E192:E193"/>
    <mergeCell ref="F192:F193"/>
    <mergeCell ref="G192:G193"/>
    <mergeCell ref="AV176:AW176"/>
    <mergeCell ref="AY176:AZ176"/>
    <mergeCell ref="H176:H177"/>
    <mergeCell ref="I176:I177"/>
    <mergeCell ref="L176:L177"/>
    <mergeCell ref="M176:M177"/>
    <mergeCell ref="P176:R176"/>
    <mergeCell ref="C176:C177"/>
    <mergeCell ref="D176:D177"/>
    <mergeCell ref="E176:E177"/>
    <mergeCell ref="F176:F177"/>
    <mergeCell ref="G176:G177"/>
    <mergeCell ref="BB176:BC176"/>
    <mergeCell ref="AM190:AT190"/>
    <mergeCell ref="AV190:BC190"/>
    <mergeCell ref="AJ176:AJ177"/>
    <mergeCell ref="AK176:AK177"/>
    <mergeCell ref="AM176:AN176"/>
    <mergeCell ref="AP176:AQ176"/>
    <mergeCell ref="AS176:AT176"/>
    <mergeCell ref="S176:V176"/>
    <mergeCell ref="W176:AB176"/>
    <mergeCell ref="AC176:AE176"/>
    <mergeCell ref="AF176:AG176"/>
    <mergeCell ref="AH176:AI176"/>
    <mergeCell ref="AV167:AW167"/>
    <mergeCell ref="AY167:AZ167"/>
    <mergeCell ref="BB167:BC167"/>
    <mergeCell ref="AM174:AT174"/>
    <mergeCell ref="AV174:BC174"/>
    <mergeCell ref="AJ167:AJ168"/>
    <mergeCell ref="AK167:AK168"/>
    <mergeCell ref="AM167:AN167"/>
    <mergeCell ref="AP167:AQ167"/>
    <mergeCell ref="AS167:AT167"/>
    <mergeCell ref="S167:V167"/>
    <mergeCell ref="W167:AB167"/>
    <mergeCell ref="AC167:AE167"/>
    <mergeCell ref="AF167:AG167"/>
    <mergeCell ref="AH167:AI167"/>
    <mergeCell ref="H167:H168"/>
    <mergeCell ref="I167:I168"/>
    <mergeCell ref="L167:L168"/>
    <mergeCell ref="M167:M168"/>
    <mergeCell ref="P167:R167"/>
    <mergeCell ref="C167:C168"/>
    <mergeCell ref="D167:D168"/>
    <mergeCell ref="E167:E168"/>
    <mergeCell ref="F167:F168"/>
    <mergeCell ref="G167:G168"/>
    <mergeCell ref="AV145:AW145"/>
    <mergeCell ref="AY145:AZ145"/>
    <mergeCell ref="BB145:BC145"/>
    <mergeCell ref="AM165:AT165"/>
    <mergeCell ref="AV165:BC165"/>
    <mergeCell ref="AJ145:AJ146"/>
    <mergeCell ref="AK145:AK146"/>
    <mergeCell ref="AM145:AN145"/>
    <mergeCell ref="AP145:AQ145"/>
    <mergeCell ref="AS145:AT145"/>
    <mergeCell ref="S145:V145"/>
    <mergeCell ref="W145:AB145"/>
    <mergeCell ref="AC145:AE145"/>
    <mergeCell ref="AF145:AG145"/>
    <mergeCell ref="AH145:AI145"/>
    <mergeCell ref="H145:H146"/>
    <mergeCell ref="I145:I146"/>
    <mergeCell ref="L145:L146"/>
    <mergeCell ref="M145:M146"/>
    <mergeCell ref="P145:R145"/>
    <mergeCell ref="C145:C146"/>
    <mergeCell ref="D145:D146"/>
    <mergeCell ref="E145:E146"/>
    <mergeCell ref="F145:F146"/>
    <mergeCell ref="G145:G146"/>
    <mergeCell ref="AV130:AW130"/>
    <mergeCell ref="AY130:AZ130"/>
    <mergeCell ref="BB130:BC130"/>
    <mergeCell ref="AM143:AT143"/>
    <mergeCell ref="AV143:BC143"/>
    <mergeCell ref="AJ130:AJ131"/>
    <mergeCell ref="AK130:AK131"/>
    <mergeCell ref="AM130:AN130"/>
    <mergeCell ref="AP130:AQ130"/>
    <mergeCell ref="AS130:AT130"/>
    <mergeCell ref="S130:V130"/>
    <mergeCell ref="W130:AB130"/>
    <mergeCell ref="AC130:AE130"/>
    <mergeCell ref="AF130:AG130"/>
    <mergeCell ref="AH130:AI130"/>
    <mergeCell ref="H130:H131"/>
    <mergeCell ref="I130:I131"/>
    <mergeCell ref="L130:L131"/>
    <mergeCell ref="M130:M131"/>
    <mergeCell ref="P130:R130"/>
    <mergeCell ref="C130:C131"/>
    <mergeCell ref="D130:D131"/>
    <mergeCell ref="E130:E131"/>
    <mergeCell ref="F130:F131"/>
    <mergeCell ref="G130:G131"/>
    <mergeCell ref="AV120:AW120"/>
    <mergeCell ref="AY120:AZ120"/>
    <mergeCell ref="H120:H121"/>
    <mergeCell ref="I120:I121"/>
    <mergeCell ref="L120:L121"/>
    <mergeCell ref="M120:M121"/>
    <mergeCell ref="P120:R120"/>
    <mergeCell ref="C120:C121"/>
    <mergeCell ref="D120:D121"/>
    <mergeCell ref="E120:E121"/>
    <mergeCell ref="F120:F121"/>
    <mergeCell ref="G120:G121"/>
    <mergeCell ref="BB120:BC120"/>
    <mergeCell ref="AM128:AT128"/>
    <mergeCell ref="AV128:BC128"/>
    <mergeCell ref="AJ120:AJ121"/>
    <mergeCell ref="AK120:AK121"/>
    <mergeCell ref="AM120:AN120"/>
    <mergeCell ref="AP120:AQ120"/>
    <mergeCell ref="AS120:AT120"/>
    <mergeCell ref="S120:V120"/>
    <mergeCell ref="W120:AB120"/>
    <mergeCell ref="AC120:AE120"/>
    <mergeCell ref="AF120:AG120"/>
    <mergeCell ref="AH120:AI120"/>
    <mergeCell ref="AV108:AW108"/>
    <mergeCell ref="AY108:AZ108"/>
    <mergeCell ref="BB108:BC108"/>
    <mergeCell ref="AM118:AT118"/>
    <mergeCell ref="AV118:BC118"/>
    <mergeCell ref="AJ108:AJ109"/>
    <mergeCell ref="AK108:AK109"/>
    <mergeCell ref="AM108:AN108"/>
    <mergeCell ref="AP108:AQ108"/>
    <mergeCell ref="AS108:AT108"/>
    <mergeCell ref="S108:V108"/>
    <mergeCell ref="W108:AB108"/>
    <mergeCell ref="AC108:AE108"/>
    <mergeCell ref="AF108:AG108"/>
    <mergeCell ref="AH108:AI108"/>
    <mergeCell ref="H108:H109"/>
    <mergeCell ref="I108:I109"/>
    <mergeCell ref="L108:L109"/>
    <mergeCell ref="M108:M109"/>
    <mergeCell ref="P108:R108"/>
    <mergeCell ref="C108:C109"/>
    <mergeCell ref="D108:D109"/>
    <mergeCell ref="E108:E109"/>
    <mergeCell ref="F108:F109"/>
    <mergeCell ref="G108:G109"/>
    <mergeCell ref="AV99:AW99"/>
    <mergeCell ref="AY99:AZ99"/>
    <mergeCell ref="BB99:BC99"/>
    <mergeCell ref="AM106:AT106"/>
    <mergeCell ref="AV106:BC106"/>
    <mergeCell ref="AJ99:AJ100"/>
    <mergeCell ref="AK99:AK100"/>
    <mergeCell ref="AM99:AN99"/>
    <mergeCell ref="AP99:AQ99"/>
    <mergeCell ref="AS99:AT99"/>
    <mergeCell ref="S99:V99"/>
    <mergeCell ref="W99:AB99"/>
    <mergeCell ref="AC99:AE99"/>
    <mergeCell ref="AF99:AG99"/>
    <mergeCell ref="AH99:AI99"/>
    <mergeCell ref="H99:H100"/>
    <mergeCell ref="I99:I100"/>
    <mergeCell ref="L99:L100"/>
    <mergeCell ref="M99:M100"/>
    <mergeCell ref="P99:R99"/>
    <mergeCell ref="C99:C100"/>
    <mergeCell ref="D99:D100"/>
    <mergeCell ref="E99:E100"/>
    <mergeCell ref="F99:F100"/>
    <mergeCell ref="G99:G100"/>
    <mergeCell ref="AV89:AW89"/>
    <mergeCell ref="AY89:AZ89"/>
    <mergeCell ref="BB89:BC89"/>
    <mergeCell ref="AM97:AT97"/>
    <mergeCell ref="AV97:BC97"/>
    <mergeCell ref="AJ89:AJ90"/>
    <mergeCell ref="AK89:AK90"/>
    <mergeCell ref="AM89:AN89"/>
    <mergeCell ref="AP89:AQ89"/>
    <mergeCell ref="AS89:AT89"/>
    <mergeCell ref="S89:V89"/>
    <mergeCell ref="W89:AB89"/>
    <mergeCell ref="AC89:AE89"/>
    <mergeCell ref="AF89:AG89"/>
    <mergeCell ref="AH89:AI89"/>
    <mergeCell ref="H89:H90"/>
    <mergeCell ref="I89:I90"/>
    <mergeCell ref="L89:L90"/>
    <mergeCell ref="S79:V79"/>
    <mergeCell ref="W79:AB79"/>
    <mergeCell ref="AC79:AE79"/>
    <mergeCell ref="AF79:AG79"/>
    <mergeCell ref="AH79:AI79"/>
    <mergeCell ref="M89:M90"/>
    <mergeCell ref="P89:R89"/>
    <mergeCell ref="C89:C90"/>
    <mergeCell ref="D89:D90"/>
    <mergeCell ref="E89:E90"/>
    <mergeCell ref="F89:F90"/>
    <mergeCell ref="G89:G90"/>
    <mergeCell ref="H79:H80"/>
    <mergeCell ref="I79:I80"/>
    <mergeCell ref="L79:L80"/>
    <mergeCell ref="M79:M80"/>
    <mergeCell ref="P79:R79"/>
    <mergeCell ref="C79:C80"/>
    <mergeCell ref="D79:D80"/>
    <mergeCell ref="E79:E80"/>
    <mergeCell ref="F79:F80"/>
    <mergeCell ref="G79:G80"/>
    <mergeCell ref="AM77:AT77"/>
    <mergeCell ref="AV77:BC77"/>
    <mergeCell ref="AH69:AI69"/>
    <mergeCell ref="AJ69:AJ70"/>
    <mergeCell ref="AK69:AK70"/>
    <mergeCell ref="AM69:AN69"/>
    <mergeCell ref="AP69:AQ69"/>
    <mergeCell ref="BB79:BC79"/>
    <mergeCell ref="AM87:AT87"/>
    <mergeCell ref="AV87:BC87"/>
    <mergeCell ref="AJ79:AJ80"/>
    <mergeCell ref="AK79:AK80"/>
    <mergeCell ref="AM79:AN79"/>
    <mergeCell ref="AP79:AQ79"/>
    <mergeCell ref="AS79:AT79"/>
    <mergeCell ref="AV79:AW79"/>
    <mergeCell ref="AY79:AZ79"/>
    <mergeCell ref="AM67:AT67"/>
    <mergeCell ref="AV67:BC67"/>
    <mergeCell ref="C69:C70"/>
    <mergeCell ref="D69:D70"/>
    <mergeCell ref="E69:E70"/>
    <mergeCell ref="F69:F70"/>
    <mergeCell ref="G69:G70"/>
    <mergeCell ref="H69:H70"/>
    <mergeCell ref="I69:I70"/>
    <mergeCell ref="L69:L70"/>
    <mergeCell ref="M69:M70"/>
    <mergeCell ref="P69:R69"/>
    <mergeCell ref="S69:V69"/>
    <mergeCell ref="W69:AB69"/>
    <mergeCell ref="AC69:AE69"/>
    <mergeCell ref="AF69:AG69"/>
    <mergeCell ref="AS69:AT69"/>
    <mergeCell ref="AV69:AW69"/>
    <mergeCell ref="AY69:AZ69"/>
    <mergeCell ref="BB69:BC69"/>
    <mergeCell ref="M51:M52"/>
    <mergeCell ref="P51:R51"/>
    <mergeCell ref="C51:C52"/>
    <mergeCell ref="D51:D52"/>
    <mergeCell ref="E51:E52"/>
    <mergeCell ref="F51:F52"/>
    <mergeCell ref="G51:G52"/>
    <mergeCell ref="M60:M61"/>
    <mergeCell ref="P60:R60"/>
    <mergeCell ref="H51:H52"/>
    <mergeCell ref="I51:I52"/>
    <mergeCell ref="L51:L52"/>
    <mergeCell ref="C60:C61"/>
    <mergeCell ref="D60:D61"/>
    <mergeCell ref="E60:E61"/>
    <mergeCell ref="F60:F61"/>
    <mergeCell ref="G60:G61"/>
    <mergeCell ref="H60:H61"/>
    <mergeCell ref="I60:I61"/>
    <mergeCell ref="L60:L61"/>
    <mergeCell ref="BB51:BC51"/>
    <mergeCell ref="AJ60:AJ61"/>
    <mergeCell ref="AK60:AK61"/>
    <mergeCell ref="AM60:AN60"/>
    <mergeCell ref="AP60:AQ60"/>
    <mergeCell ref="AS60:AT60"/>
    <mergeCell ref="AJ51:AJ52"/>
    <mergeCell ref="AK51:AK52"/>
    <mergeCell ref="AM51:AN51"/>
    <mergeCell ref="AP51:AQ51"/>
    <mergeCell ref="AS51:AT51"/>
    <mergeCell ref="S60:V60"/>
    <mergeCell ref="W60:AB60"/>
    <mergeCell ref="AC60:AE60"/>
    <mergeCell ref="AF60:AG60"/>
    <mergeCell ref="AM58:AT58"/>
    <mergeCell ref="AV58:BC58"/>
    <mergeCell ref="AH43:AI43"/>
    <mergeCell ref="AJ43:AJ44"/>
    <mergeCell ref="AK43:AK44"/>
    <mergeCell ref="AM43:AN43"/>
    <mergeCell ref="AP43:AQ43"/>
    <mergeCell ref="S51:V51"/>
    <mergeCell ref="W51:AB51"/>
    <mergeCell ref="AC51:AE51"/>
    <mergeCell ref="AF51:AG51"/>
    <mergeCell ref="AH51:AI51"/>
    <mergeCell ref="AH60:AI60"/>
    <mergeCell ref="AV60:AW60"/>
    <mergeCell ref="AY60:AZ60"/>
    <mergeCell ref="BB60:BC60"/>
    <mergeCell ref="AM49:AT49"/>
    <mergeCell ref="AV49:BC49"/>
    <mergeCell ref="AV51:AW51"/>
    <mergeCell ref="AY51:AZ51"/>
    <mergeCell ref="AM41:AT41"/>
    <mergeCell ref="AV41:BC41"/>
    <mergeCell ref="C43:C44"/>
    <mergeCell ref="D43:D44"/>
    <mergeCell ref="E43:E44"/>
    <mergeCell ref="F43:F44"/>
    <mergeCell ref="G43:G44"/>
    <mergeCell ref="H43:H44"/>
    <mergeCell ref="I43:I44"/>
    <mergeCell ref="L43:L44"/>
    <mergeCell ref="M43:M44"/>
    <mergeCell ref="P43:R43"/>
    <mergeCell ref="S43:V43"/>
    <mergeCell ref="W43:AB43"/>
    <mergeCell ref="AC43:AE43"/>
    <mergeCell ref="AF43:AG43"/>
    <mergeCell ref="AS43:AT43"/>
    <mergeCell ref="AV43:AW43"/>
    <mergeCell ref="AY43:AZ43"/>
    <mergeCell ref="BB43:BC43"/>
    <mergeCell ref="AP33:AQ33"/>
    <mergeCell ref="AS33:AT33"/>
    <mergeCell ref="AV33:AW33"/>
    <mergeCell ref="AY33:AZ33"/>
    <mergeCell ref="BB33:BC33"/>
    <mergeCell ref="AF33:AG33"/>
    <mergeCell ref="AH33:AI33"/>
    <mergeCell ref="AJ33:AJ34"/>
    <mergeCell ref="AK33:AK34"/>
    <mergeCell ref="AM33:AN33"/>
    <mergeCell ref="BB25:BC25"/>
    <mergeCell ref="AM31:AT31"/>
    <mergeCell ref="AV31:BC31"/>
    <mergeCell ref="C33:C34"/>
    <mergeCell ref="D33:D34"/>
    <mergeCell ref="E33:E34"/>
    <mergeCell ref="F33:F34"/>
    <mergeCell ref="G33:G34"/>
    <mergeCell ref="H33:H34"/>
    <mergeCell ref="I33:I34"/>
    <mergeCell ref="L33:L34"/>
    <mergeCell ref="M33:M34"/>
    <mergeCell ref="P33:R33"/>
    <mergeCell ref="S33:V33"/>
    <mergeCell ref="W33:AB33"/>
    <mergeCell ref="AC33:AE33"/>
    <mergeCell ref="AM25:AN25"/>
    <mergeCell ref="AP25:AQ25"/>
    <mergeCell ref="AS25:AT25"/>
    <mergeCell ref="AV25:AW25"/>
    <mergeCell ref="AY25:AZ25"/>
    <mergeCell ref="AC25:AE25"/>
    <mergeCell ref="AF25:AG25"/>
    <mergeCell ref="AH25:AI25"/>
    <mergeCell ref="AJ25:AJ26"/>
    <mergeCell ref="AK25:AK26"/>
    <mergeCell ref="A319:A320"/>
    <mergeCell ref="B319:B320"/>
    <mergeCell ref="AM23:AT23"/>
    <mergeCell ref="AV23:BC23"/>
    <mergeCell ref="C25:C26"/>
    <mergeCell ref="D25:D26"/>
    <mergeCell ref="E25:E26"/>
    <mergeCell ref="F25:F26"/>
    <mergeCell ref="G25:G26"/>
    <mergeCell ref="H25:H26"/>
    <mergeCell ref="I25:I26"/>
    <mergeCell ref="L25:L26"/>
    <mergeCell ref="M25:M26"/>
    <mergeCell ref="P25:R25"/>
    <mergeCell ref="S25:V25"/>
    <mergeCell ref="W25:AB25"/>
    <mergeCell ref="A293:A294"/>
    <mergeCell ref="B293:B294"/>
    <mergeCell ref="A302:A303"/>
    <mergeCell ref="B302:B303"/>
    <mergeCell ref="A311:A312"/>
    <mergeCell ref="B311:B312"/>
    <mergeCell ref="A266:A267"/>
    <mergeCell ref="B266:B267"/>
    <mergeCell ref="A275:A276"/>
    <mergeCell ref="B275:B276"/>
    <mergeCell ref="A284:A285"/>
    <mergeCell ref="B284:B285"/>
    <mergeCell ref="A240:A241"/>
    <mergeCell ref="B240:B241"/>
    <mergeCell ref="A248:A249"/>
    <mergeCell ref="B248:B249"/>
    <mergeCell ref="A257:A258"/>
    <mergeCell ref="B257:B258"/>
    <mergeCell ref="A216:A217"/>
    <mergeCell ref="B216:B217"/>
    <mergeCell ref="A224:A225"/>
    <mergeCell ref="B224:B225"/>
    <mergeCell ref="A232:A233"/>
    <mergeCell ref="B232:B233"/>
    <mergeCell ref="A192:A193"/>
    <mergeCell ref="B192:B193"/>
    <mergeCell ref="A200:A201"/>
    <mergeCell ref="B200:B201"/>
    <mergeCell ref="A208:A209"/>
    <mergeCell ref="B208:B209"/>
    <mergeCell ref="A167:A168"/>
    <mergeCell ref="B167:B168"/>
    <mergeCell ref="A176:A177"/>
    <mergeCell ref="B176:B177"/>
    <mergeCell ref="A178:A179"/>
    <mergeCell ref="A153:A154"/>
    <mergeCell ref="A155:A156"/>
    <mergeCell ref="A157:A158"/>
    <mergeCell ref="A159:A160"/>
    <mergeCell ref="A161:A162"/>
    <mergeCell ref="A145:A146"/>
    <mergeCell ref="B145:B146"/>
    <mergeCell ref="A147:A148"/>
    <mergeCell ref="A149:A150"/>
    <mergeCell ref="A151:A152"/>
    <mergeCell ref="A132:A133"/>
    <mergeCell ref="A134:A135"/>
    <mergeCell ref="A136:A137"/>
    <mergeCell ref="A138:A139"/>
    <mergeCell ref="A140:A141"/>
    <mergeCell ref="A51:A52"/>
    <mergeCell ref="B51:B52"/>
    <mergeCell ref="A120:A121"/>
    <mergeCell ref="B120:B121"/>
    <mergeCell ref="A122:A123"/>
    <mergeCell ref="A124:A125"/>
    <mergeCell ref="A130:A131"/>
    <mergeCell ref="B130:B131"/>
    <mergeCell ref="A89:A90"/>
    <mergeCell ref="B89:B90"/>
    <mergeCell ref="A99:A100"/>
    <mergeCell ref="B99:B100"/>
    <mergeCell ref="A108:A109"/>
    <mergeCell ref="B108:B109"/>
    <mergeCell ref="A347:I347"/>
    <mergeCell ref="A346:I346"/>
    <mergeCell ref="S11:U11"/>
    <mergeCell ref="L17:L18"/>
    <mergeCell ref="M17:M18"/>
    <mergeCell ref="P17:R17"/>
    <mergeCell ref="H17:H18"/>
    <mergeCell ref="I17:I18"/>
    <mergeCell ref="F11:G11"/>
    <mergeCell ref="A339:I339"/>
    <mergeCell ref="A328:I328"/>
    <mergeCell ref="A329:I329"/>
    <mergeCell ref="A25:A26"/>
    <mergeCell ref="B25:B26"/>
    <mergeCell ref="A60:A61"/>
    <mergeCell ref="B60:B61"/>
    <mergeCell ref="A69:A70"/>
    <mergeCell ref="B69:B70"/>
    <mergeCell ref="A79:A80"/>
    <mergeCell ref="B79:B80"/>
    <mergeCell ref="A33:A34"/>
    <mergeCell ref="B33:B34"/>
    <mergeCell ref="A43:A44"/>
    <mergeCell ref="B43:B44"/>
    <mergeCell ref="A8:G8"/>
    <mergeCell ref="A17:A18"/>
    <mergeCell ref="B17:B18"/>
    <mergeCell ref="C17:C18"/>
    <mergeCell ref="D17:D18"/>
    <mergeCell ref="E17:E18"/>
    <mergeCell ref="F9:G9"/>
    <mergeCell ref="A6:J7"/>
    <mergeCell ref="AM17:AN17"/>
    <mergeCell ref="AK17:AK18"/>
    <mergeCell ref="AJ17:AJ18"/>
    <mergeCell ref="F17:F18"/>
    <mergeCell ref="G17:G18"/>
    <mergeCell ref="AF17:AG17"/>
    <mergeCell ref="AH17:AI17"/>
    <mergeCell ref="AV15:BC15"/>
    <mergeCell ref="S17:V17"/>
    <mergeCell ref="BB17:BC17"/>
    <mergeCell ref="AV17:AW17"/>
    <mergeCell ref="AY17:AZ17"/>
    <mergeCell ref="AM15:AT15"/>
    <mergeCell ref="AP17:AQ17"/>
    <mergeCell ref="AS17:AT17"/>
    <mergeCell ref="AC17:AE17"/>
    <mergeCell ref="W17:AB17"/>
  </mergeCells>
  <conditionalFormatting sqref="K7 A6">
    <cfRule type="cellIs" dxfId="972" priority="12333" stopIfTrue="1" operator="equal">
      <formula>#REF!</formula>
    </cfRule>
  </conditionalFormatting>
  <conditionalFormatting sqref="P17 W17">
    <cfRule type="cellIs" dxfId="971" priority="11082" stopIfTrue="1" operator="equal">
      <formula>"fail"</formula>
    </cfRule>
  </conditionalFormatting>
  <conditionalFormatting sqref="G19:G21">
    <cfRule type="cellIs" dxfId="970" priority="7409" operator="equal">
      <formula>"FAILᶻ"</formula>
    </cfRule>
    <cfRule type="cellIs" dxfId="969" priority="10799" stopIfTrue="1" operator="equal">
      <formula>"FAIL"</formula>
    </cfRule>
  </conditionalFormatting>
  <conditionalFormatting sqref="AC17">
    <cfRule type="cellIs" dxfId="968" priority="7993" stopIfTrue="1" operator="equal">
      <formula>"FAIL"</formula>
    </cfRule>
  </conditionalFormatting>
  <conditionalFormatting sqref="AK17">
    <cfRule type="cellIs" dxfId="967" priority="7399" stopIfTrue="1" operator="equal">
      <formula>"FAIL"</formula>
    </cfRule>
  </conditionalFormatting>
  <conditionalFormatting sqref="AC18:AG18">
    <cfRule type="cellIs" dxfId="966" priority="7067" stopIfTrue="1" operator="equal">
      <formula>"FAIL"</formula>
    </cfRule>
  </conditionalFormatting>
  <conditionalFormatting sqref="AL19:AT21 AV19:BC21 AV27:BC29 AM27:AT29 BC35:BC39 BC45:BC47 BC62:BC64 BC53:BC55 BC71:BC75 BC81:BC85 BC91:BC95 BC101:BC104 BC110:BC115 BC122:BC125 BC132:BC141 BC147:BC162 BC169:BC171 BC178:BC187 BC194:BC196 BC202:BC204 BC210:BC212 BC218:BC220 BC226:BC228 BC234:BC236 BC242:BC244 BC250:BC252 BC259:BC262 BC268:BC271 BC277:BC280 BC286:BC289 BC295:BC298 BC304:BC307 BC313:BC315 BC321:BC322">
    <cfRule type="cellIs" dxfId="965" priority="6869" operator="equal">
      <formula>3</formula>
    </cfRule>
    <cfRule type="cellIs" dxfId="964" priority="6870" operator="equal">
      <formula>4</formula>
    </cfRule>
  </conditionalFormatting>
  <conditionalFormatting sqref="S17">
    <cfRule type="cellIs" dxfId="963" priority="6858" stopIfTrue="1" operator="equal">
      <formula>"fail"</formula>
    </cfRule>
  </conditionalFormatting>
  <conditionalFormatting sqref="E19">
    <cfRule type="expression" dxfId="962" priority="5931">
      <formula>$G19="FAILᶻ"</formula>
    </cfRule>
    <cfRule type="expression" dxfId="961" priority="5932">
      <formula>$G19="FAIL"</formula>
    </cfRule>
  </conditionalFormatting>
  <conditionalFormatting sqref="D19">
    <cfRule type="expression" dxfId="960" priority="5929">
      <formula>$V19="FAILᶻ"</formula>
    </cfRule>
    <cfRule type="expression" dxfId="959" priority="5930">
      <formula>$V19="FAIL"</formula>
    </cfRule>
  </conditionalFormatting>
  <conditionalFormatting sqref="D21">
    <cfRule type="expression" dxfId="958" priority="5925">
      <formula>$V21="FAILᶻ"</formula>
    </cfRule>
    <cfRule type="expression" dxfId="957" priority="5926">
      <formula>$V21="FAIL"</formula>
    </cfRule>
  </conditionalFormatting>
  <conditionalFormatting sqref="E21">
    <cfRule type="expression" dxfId="956" priority="5923">
      <formula>$G21="FAILᶻ"</formula>
    </cfRule>
    <cfRule type="expression" dxfId="955" priority="5924">
      <formula>$G21="FAIL"</formula>
    </cfRule>
  </conditionalFormatting>
  <conditionalFormatting sqref="G27:G29">
    <cfRule type="cellIs" dxfId="954" priority="5896" operator="equal">
      <formula>"FAILᶻ"</formula>
    </cfRule>
    <cfRule type="cellIs" dxfId="953" priority="5897" stopIfTrue="1" operator="equal">
      <formula>"FAIL"</formula>
    </cfRule>
  </conditionalFormatting>
  <conditionalFormatting sqref="AL27:AL29">
    <cfRule type="cellIs" dxfId="952" priority="5892" operator="equal">
      <formula>3</formula>
    </cfRule>
    <cfRule type="cellIs" dxfId="951" priority="5893" operator="equal">
      <formula>4</formula>
    </cfRule>
  </conditionalFormatting>
  <conditionalFormatting sqref="D27">
    <cfRule type="expression" dxfId="950" priority="5870">
      <formula>$V27="FAILᶻ"</formula>
    </cfRule>
    <cfRule type="expression" dxfId="949" priority="5871">
      <formula>$V27="FAIL"</formula>
    </cfRule>
  </conditionalFormatting>
  <conditionalFormatting sqref="E27">
    <cfRule type="expression" dxfId="948" priority="5868">
      <formula>$G27="FAILᶻ"</formula>
    </cfRule>
    <cfRule type="expression" dxfId="947" priority="5869">
      <formula>$G27="FAIL"</formula>
    </cfRule>
  </conditionalFormatting>
  <conditionalFormatting sqref="D28">
    <cfRule type="expression" dxfId="946" priority="5866">
      <formula>$V28="FAILᶻ"</formula>
    </cfRule>
    <cfRule type="expression" dxfId="945" priority="5867">
      <formula>$V28="FAIL"</formula>
    </cfRule>
  </conditionalFormatting>
  <conditionalFormatting sqref="E28">
    <cfRule type="expression" dxfId="944" priority="5864">
      <formula>$G28="FAILᶻ"</formula>
    </cfRule>
    <cfRule type="expression" dxfId="943" priority="5865">
      <formula>$G28="FAIL"</formula>
    </cfRule>
  </conditionalFormatting>
  <conditionalFormatting sqref="D29">
    <cfRule type="expression" dxfId="942" priority="5862">
      <formula>$V29="FAILᶻ"</formula>
    </cfRule>
    <cfRule type="expression" dxfId="941" priority="5863">
      <formula>$V29="FAIL"</formula>
    </cfRule>
  </conditionalFormatting>
  <conditionalFormatting sqref="E29">
    <cfRule type="expression" dxfId="940" priority="5860">
      <formula>$G29="FAILᶻ"</formula>
    </cfRule>
    <cfRule type="expression" dxfId="939" priority="5861">
      <formula>$G29="FAIL"</formula>
    </cfRule>
  </conditionalFormatting>
  <conditionalFormatting sqref="D20">
    <cfRule type="expression" dxfId="938" priority="3003">
      <formula>$V20="FAILᶻ"</formula>
    </cfRule>
    <cfRule type="expression" dxfId="937" priority="3004">
      <formula>$V20="FAIL"</formula>
    </cfRule>
  </conditionalFormatting>
  <conditionalFormatting sqref="E20">
    <cfRule type="expression" dxfId="936" priority="3001">
      <formula>$G20="FAILᶻ"</formula>
    </cfRule>
    <cfRule type="expression" dxfId="935" priority="3002">
      <formula>$G20="FAIL"</formula>
    </cfRule>
  </conditionalFormatting>
  <conditionalFormatting sqref="AH18:AI18">
    <cfRule type="cellIs" dxfId="934" priority="2901" stopIfTrue="1" operator="equal">
      <formula>"FAIL"</formula>
    </cfRule>
  </conditionalFormatting>
  <conditionalFormatting sqref="G35:G39">
    <cfRule type="cellIs" dxfId="933" priority="2899" operator="equal">
      <formula>"FAILᶻ"</formula>
    </cfRule>
    <cfRule type="cellIs" dxfId="932" priority="2900" stopIfTrue="1" operator="equal">
      <formula>"FAIL"</formula>
    </cfRule>
  </conditionalFormatting>
  <conditionalFormatting sqref="AL35:AT39 AV35:BB39 AV45:BB45 AM45:AT45">
    <cfRule type="cellIs" dxfId="931" priority="2897" operator="equal">
      <formula>3</formula>
    </cfRule>
    <cfRule type="cellIs" dxfId="930" priority="2898" operator="equal">
      <formula>4</formula>
    </cfRule>
  </conditionalFormatting>
  <conditionalFormatting sqref="D36">
    <cfRule type="expression" dxfId="929" priority="2895">
      <formula>$V36="FAILᶻ"</formula>
    </cfRule>
    <cfRule type="expression" dxfId="928" priority="2896">
      <formula>$V36="FAIL"</formula>
    </cfRule>
  </conditionalFormatting>
  <conditionalFormatting sqref="E36">
    <cfRule type="expression" dxfId="927" priority="2893">
      <formula>$G36="FAILᶻ"</formula>
    </cfRule>
    <cfRule type="expression" dxfId="926" priority="2894">
      <formula>$G36="FAIL"</formula>
    </cfRule>
  </conditionalFormatting>
  <conditionalFormatting sqref="D37">
    <cfRule type="expression" dxfId="925" priority="2891">
      <formula>$V37="FAILᶻ"</formula>
    </cfRule>
    <cfRule type="expression" dxfId="924" priority="2892">
      <formula>$V37="FAIL"</formula>
    </cfRule>
  </conditionalFormatting>
  <conditionalFormatting sqref="E37">
    <cfRule type="expression" dxfId="923" priority="2889">
      <formula>$G37="FAILᶻ"</formula>
    </cfRule>
    <cfRule type="expression" dxfId="922" priority="2890">
      <formula>$G37="FAIL"</formula>
    </cfRule>
  </conditionalFormatting>
  <conditionalFormatting sqref="D38">
    <cfRule type="expression" dxfId="921" priority="2887">
      <formula>$V38="FAILᶻ"</formula>
    </cfRule>
    <cfRule type="expression" dxfId="920" priority="2888">
      <formula>$V38="FAIL"</formula>
    </cfRule>
  </conditionalFormatting>
  <conditionalFormatting sqref="E38">
    <cfRule type="expression" dxfId="919" priority="2885">
      <formula>$G38="FAILᶻ"</formula>
    </cfRule>
    <cfRule type="expression" dxfId="918" priority="2886">
      <formula>$G38="FAIL"</formula>
    </cfRule>
  </conditionalFormatting>
  <conditionalFormatting sqref="D39">
    <cfRule type="expression" dxfId="917" priority="2883">
      <formula>$V39="FAILᶻ"</formula>
    </cfRule>
    <cfRule type="expression" dxfId="916" priority="2884">
      <formula>$V39="FAIL"</formula>
    </cfRule>
  </conditionalFormatting>
  <conditionalFormatting sqref="E39">
    <cfRule type="expression" dxfId="915" priority="2881">
      <formula>$G39="FAILᶻ"</formula>
    </cfRule>
    <cfRule type="expression" dxfId="914" priority="2882">
      <formula>$G39="FAIL"</formula>
    </cfRule>
  </conditionalFormatting>
  <conditionalFormatting sqref="D35">
    <cfRule type="expression" dxfId="913" priority="2875">
      <formula>$V35="FAILᶻ"</formula>
    </cfRule>
    <cfRule type="expression" dxfId="912" priority="2876">
      <formula>$V35="FAIL"</formula>
    </cfRule>
  </conditionalFormatting>
  <conditionalFormatting sqref="E35">
    <cfRule type="expression" dxfId="911" priority="2873">
      <formula>$G35="FAILᶻ"</formula>
    </cfRule>
    <cfRule type="expression" dxfId="910" priority="2874">
      <formula>$G35="FAIL"</formula>
    </cfRule>
  </conditionalFormatting>
  <conditionalFormatting sqref="G45">
    <cfRule type="cellIs" dxfId="909" priority="2871" operator="equal">
      <formula>"FAILᶻ"</formula>
    </cfRule>
    <cfRule type="cellIs" dxfId="908" priority="2872" stopIfTrue="1" operator="equal">
      <formula>"FAIL"</formula>
    </cfRule>
  </conditionalFormatting>
  <conditionalFormatting sqref="AL45">
    <cfRule type="cellIs" dxfId="907" priority="2869" operator="equal">
      <formula>3</formula>
    </cfRule>
    <cfRule type="cellIs" dxfId="906" priority="2870" operator="equal">
      <formula>4</formula>
    </cfRule>
  </conditionalFormatting>
  <conditionalFormatting sqref="D72">
    <cfRule type="expression" dxfId="905" priority="2663">
      <formula>$V72="FAILᶻ"</formula>
    </cfRule>
    <cfRule type="expression" dxfId="904" priority="2664">
      <formula>$V72="FAIL"</formula>
    </cfRule>
  </conditionalFormatting>
  <conditionalFormatting sqref="E72">
    <cfRule type="expression" dxfId="903" priority="2661">
      <formula>$G72="FAILᶻ"</formula>
    </cfRule>
    <cfRule type="expression" dxfId="902" priority="2662">
      <formula>$G72="FAIL"</formula>
    </cfRule>
  </conditionalFormatting>
  <conditionalFormatting sqref="D45">
    <cfRule type="expression" dxfId="901" priority="2859">
      <formula>$V45="FAILᶻ"</formula>
    </cfRule>
    <cfRule type="expression" dxfId="900" priority="2860">
      <formula>$V45="FAIL"</formula>
    </cfRule>
  </conditionalFormatting>
  <conditionalFormatting sqref="E45">
    <cfRule type="expression" dxfId="899" priority="2857">
      <formula>$G45="FAILᶻ"</formula>
    </cfRule>
    <cfRule type="expression" dxfId="898" priority="2858">
      <formula>$G45="FAIL"</formula>
    </cfRule>
  </conditionalFormatting>
  <conditionalFormatting sqref="D91">
    <cfRule type="expression" dxfId="897" priority="2643">
      <formula>$V91="FAILᶻ"</formula>
    </cfRule>
    <cfRule type="expression" dxfId="896" priority="2644">
      <formula>$V91="FAIL"</formula>
    </cfRule>
  </conditionalFormatting>
  <conditionalFormatting sqref="E91">
    <cfRule type="expression" dxfId="895" priority="2641">
      <formula>$G91="FAILᶻ"</formula>
    </cfRule>
    <cfRule type="expression" dxfId="894" priority="2642">
      <formula>$G91="FAIL"</formula>
    </cfRule>
  </conditionalFormatting>
  <conditionalFormatting sqref="G46:G47">
    <cfRule type="cellIs" dxfId="893" priority="2839" operator="equal">
      <formula>"FAILᶻ"</formula>
    </cfRule>
    <cfRule type="cellIs" dxfId="892" priority="2840" stopIfTrue="1" operator="equal">
      <formula>"FAIL"</formula>
    </cfRule>
  </conditionalFormatting>
  <conditionalFormatting sqref="AL46:AT47 AV46:BB47 AV53:BB55 AM53:AT55">
    <cfRule type="cellIs" dxfId="891" priority="2837" operator="equal">
      <formula>3</formula>
    </cfRule>
    <cfRule type="cellIs" dxfId="890" priority="2838" operator="equal">
      <formula>4</formula>
    </cfRule>
  </conditionalFormatting>
  <conditionalFormatting sqref="D47">
    <cfRule type="expression" dxfId="889" priority="2819">
      <formula>$V47="FAILᶻ"</formula>
    </cfRule>
    <cfRule type="expression" dxfId="888" priority="2820">
      <formula>$V47="FAIL"</formula>
    </cfRule>
  </conditionalFormatting>
  <conditionalFormatting sqref="E47">
    <cfRule type="expression" dxfId="887" priority="2817">
      <formula>$G47="FAILᶻ"</formula>
    </cfRule>
    <cfRule type="expression" dxfId="886" priority="2818">
      <formula>$G47="FAIL"</formula>
    </cfRule>
  </conditionalFormatting>
  <conditionalFormatting sqref="G53:G55">
    <cfRule type="cellIs" dxfId="885" priority="2811" operator="equal">
      <formula>"FAILᶻ"</formula>
    </cfRule>
    <cfRule type="cellIs" dxfId="884" priority="2812" stopIfTrue="1" operator="equal">
      <formula>"FAIL"</formula>
    </cfRule>
  </conditionalFormatting>
  <conditionalFormatting sqref="AL53:AL55">
    <cfRule type="cellIs" dxfId="883" priority="2809" operator="equal">
      <formula>3</formula>
    </cfRule>
    <cfRule type="cellIs" dxfId="882" priority="2810" operator="equal">
      <formula>4</formula>
    </cfRule>
  </conditionalFormatting>
  <conditionalFormatting sqref="D53">
    <cfRule type="expression" dxfId="881" priority="2795">
      <formula>$V53="FAILᶻ"</formula>
    </cfRule>
    <cfRule type="expression" dxfId="880" priority="2796">
      <formula>$V53="FAIL"</formula>
    </cfRule>
  </conditionalFormatting>
  <conditionalFormatting sqref="E53">
    <cfRule type="expression" dxfId="879" priority="2793">
      <formula>$G53="FAILᶻ"</formula>
    </cfRule>
    <cfRule type="expression" dxfId="878" priority="2794">
      <formula>$G53="FAIL"</formula>
    </cfRule>
  </conditionalFormatting>
  <conditionalFormatting sqref="D54">
    <cfRule type="expression" dxfId="877" priority="2791">
      <formula>$V54="FAILᶻ"</formula>
    </cfRule>
    <cfRule type="expression" dxfId="876" priority="2792">
      <formula>$V54="FAIL"</formula>
    </cfRule>
  </conditionalFormatting>
  <conditionalFormatting sqref="E54">
    <cfRule type="expression" dxfId="875" priority="2789">
      <formula>$G54="FAILᶻ"</formula>
    </cfRule>
    <cfRule type="expression" dxfId="874" priority="2790">
      <formula>$G54="FAIL"</formula>
    </cfRule>
  </conditionalFormatting>
  <conditionalFormatting sqref="D55">
    <cfRule type="expression" dxfId="873" priority="2787">
      <formula>$V55="FAILᶻ"</formula>
    </cfRule>
    <cfRule type="expression" dxfId="872" priority="2788">
      <formula>$V55="FAIL"</formula>
    </cfRule>
  </conditionalFormatting>
  <conditionalFormatting sqref="E55">
    <cfRule type="expression" dxfId="871" priority="2785">
      <formula>$G55="FAILᶻ"</formula>
    </cfRule>
    <cfRule type="expression" dxfId="870" priority="2786">
      <formula>$G55="FAIL"</formula>
    </cfRule>
  </conditionalFormatting>
  <conditionalFormatting sqref="D46">
    <cfRule type="expression" dxfId="869" priority="2783">
      <formula>$V46="FAILᶻ"</formula>
    </cfRule>
    <cfRule type="expression" dxfId="868" priority="2784">
      <formula>$V46="FAIL"</formula>
    </cfRule>
  </conditionalFormatting>
  <conditionalFormatting sqref="E46">
    <cfRule type="expression" dxfId="867" priority="2781">
      <formula>$G46="FAILᶻ"</formula>
    </cfRule>
    <cfRule type="expression" dxfId="866" priority="2782">
      <formula>$G46="FAIL"</formula>
    </cfRule>
  </conditionalFormatting>
  <conditionalFormatting sqref="G62:G64">
    <cfRule type="cellIs" dxfId="865" priority="2779" operator="equal">
      <formula>"FAILᶻ"</formula>
    </cfRule>
    <cfRule type="cellIs" dxfId="864" priority="2780" stopIfTrue="1" operator="equal">
      <formula>"FAIL"</formula>
    </cfRule>
  </conditionalFormatting>
  <conditionalFormatting sqref="AL62:AT64 AV62:BB64 AV71:BB71 AM71:AT71">
    <cfRule type="cellIs" dxfId="863" priority="2777" operator="equal">
      <formula>3</formula>
    </cfRule>
    <cfRule type="cellIs" dxfId="862" priority="2778" operator="equal">
      <formula>4</formula>
    </cfRule>
  </conditionalFormatting>
  <conditionalFormatting sqref="D62">
    <cfRule type="expression" dxfId="861" priority="2775">
      <formula>$V62="FAILᶻ"</formula>
    </cfRule>
    <cfRule type="expression" dxfId="860" priority="2776">
      <formula>$V62="FAIL"</formula>
    </cfRule>
  </conditionalFormatting>
  <conditionalFormatting sqref="E62">
    <cfRule type="expression" dxfId="859" priority="2773">
      <formula>$G62="FAILᶻ"</formula>
    </cfRule>
    <cfRule type="expression" dxfId="858" priority="2774">
      <formula>$G62="FAIL"</formula>
    </cfRule>
  </conditionalFormatting>
  <conditionalFormatting sqref="D63">
    <cfRule type="expression" dxfId="857" priority="2771">
      <formula>$V63="FAILᶻ"</formula>
    </cfRule>
    <cfRule type="expression" dxfId="856" priority="2772">
      <formula>$V63="FAIL"</formula>
    </cfRule>
  </conditionalFormatting>
  <conditionalFormatting sqref="E63">
    <cfRule type="expression" dxfId="855" priority="2769">
      <formula>$G63="FAILᶻ"</formula>
    </cfRule>
    <cfRule type="expression" dxfId="854" priority="2770">
      <formula>$G63="FAIL"</formula>
    </cfRule>
  </conditionalFormatting>
  <conditionalFormatting sqref="D64">
    <cfRule type="expression" dxfId="853" priority="2767">
      <formula>$V64="FAILᶻ"</formula>
    </cfRule>
    <cfRule type="expression" dxfId="852" priority="2768">
      <formula>$V64="FAIL"</formula>
    </cfRule>
  </conditionalFormatting>
  <conditionalFormatting sqref="E64">
    <cfRule type="expression" dxfId="851" priority="2765">
      <formula>$G64="FAILᶻ"</formula>
    </cfRule>
    <cfRule type="expression" dxfId="850" priority="2766">
      <formula>$G64="FAIL"</formula>
    </cfRule>
  </conditionalFormatting>
  <conditionalFormatting sqref="G71">
    <cfRule type="cellIs" dxfId="849" priority="2751" operator="equal">
      <formula>"FAILᶻ"</formula>
    </cfRule>
    <cfRule type="cellIs" dxfId="848" priority="2752" stopIfTrue="1" operator="equal">
      <formula>"FAIL"</formula>
    </cfRule>
  </conditionalFormatting>
  <conditionalFormatting sqref="AL71">
    <cfRule type="cellIs" dxfId="847" priority="2749" operator="equal">
      <formula>3</formula>
    </cfRule>
    <cfRule type="cellIs" dxfId="846" priority="2750" operator="equal">
      <formula>4</formula>
    </cfRule>
  </conditionalFormatting>
  <conditionalFormatting sqref="D71">
    <cfRule type="expression" dxfId="845" priority="2739">
      <formula>$V71="FAILᶻ"</formula>
    </cfRule>
    <cfRule type="expression" dxfId="844" priority="2740">
      <formula>$V71="FAIL"</formula>
    </cfRule>
  </conditionalFormatting>
  <conditionalFormatting sqref="E71">
    <cfRule type="expression" dxfId="843" priority="2737">
      <formula>$G71="FAILᶻ"</formula>
    </cfRule>
    <cfRule type="expression" dxfId="842" priority="2738">
      <formula>$G71="FAIL"</formula>
    </cfRule>
  </conditionalFormatting>
  <conditionalFormatting sqref="G72:G75">
    <cfRule type="cellIs" dxfId="841" priority="2719" operator="equal">
      <formula>"FAILᶻ"</formula>
    </cfRule>
    <cfRule type="cellIs" dxfId="840" priority="2720" stopIfTrue="1" operator="equal">
      <formula>"FAIL"</formula>
    </cfRule>
  </conditionalFormatting>
  <conditionalFormatting sqref="AL72:AT75 AV72:BB75 AV81:BB84 AM81:AT84">
    <cfRule type="cellIs" dxfId="839" priority="2717" operator="equal">
      <formula>3</formula>
    </cfRule>
    <cfRule type="cellIs" dxfId="838" priority="2718" operator="equal">
      <formula>4</formula>
    </cfRule>
  </conditionalFormatting>
  <conditionalFormatting sqref="D75">
    <cfRule type="expression" dxfId="837" priority="2715">
      <formula>$V75="FAILᶻ"</formula>
    </cfRule>
    <cfRule type="expression" dxfId="836" priority="2716">
      <formula>$V75="FAIL"</formula>
    </cfRule>
  </conditionalFormatting>
  <conditionalFormatting sqref="E75">
    <cfRule type="expression" dxfId="835" priority="2713">
      <formula>$G75="FAILᶻ"</formula>
    </cfRule>
    <cfRule type="expression" dxfId="834" priority="2714">
      <formula>$G75="FAIL"</formula>
    </cfRule>
  </conditionalFormatting>
  <conditionalFormatting sqref="D115">
    <cfRule type="expression" dxfId="833" priority="2531">
      <formula>$V115="FAILᶻ"</formula>
    </cfRule>
    <cfRule type="expression" dxfId="832" priority="2532">
      <formula>$V115="FAIL"</formula>
    </cfRule>
  </conditionalFormatting>
  <conditionalFormatting sqref="E115">
    <cfRule type="expression" dxfId="831" priority="2529">
      <formula>$G115="FAILᶻ"</formula>
    </cfRule>
    <cfRule type="expression" dxfId="830" priority="2530">
      <formula>$G115="FAIL"</formula>
    </cfRule>
  </conditionalFormatting>
  <conditionalFormatting sqref="D73">
    <cfRule type="expression" dxfId="829" priority="2699">
      <formula>$V73="FAILᶻ"</formula>
    </cfRule>
    <cfRule type="expression" dxfId="828" priority="2700">
      <formula>$V73="FAIL"</formula>
    </cfRule>
  </conditionalFormatting>
  <conditionalFormatting sqref="E73">
    <cfRule type="expression" dxfId="827" priority="2697">
      <formula>$G73="FAILᶻ"</formula>
    </cfRule>
    <cfRule type="expression" dxfId="826" priority="2698">
      <formula>$G73="FAIL"</formula>
    </cfRule>
  </conditionalFormatting>
  <conditionalFormatting sqref="D74">
    <cfRule type="expression" dxfId="825" priority="2695">
      <formula>$V74="FAILᶻ"</formula>
    </cfRule>
    <cfRule type="expression" dxfId="824" priority="2696">
      <formula>$V74="FAIL"</formula>
    </cfRule>
  </conditionalFormatting>
  <conditionalFormatting sqref="E74">
    <cfRule type="expression" dxfId="823" priority="2693">
      <formula>$G74="FAILᶻ"</formula>
    </cfRule>
    <cfRule type="expression" dxfId="822" priority="2694">
      <formula>$G74="FAIL"</formula>
    </cfRule>
  </conditionalFormatting>
  <conditionalFormatting sqref="G81:G84">
    <cfRule type="cellIs" dxfId="821" priority="2691" operator="equal">
      <formula>"FAILᶻ"</formula>
    </cfRule>
    <cfRule type="cellIs" dxfId="820" priority="2692" stopIfTrue="1" operator="equal">
      <formula>"FAIL"</formula>
    </cfRule>
  </conditionalFormatting>
  <conditionalFormatting sqref="AL81:AL84">
    <cfRule type="cellIs" dxfId="819" priority="2689" operator="equal">
      <formula>3</formula>
    </cfRule>
    <cfRule type="cellIs" dxfId="818" priority="2690" operator="equal">
      <formula>4</formula>
    </cfRule>
  </conditionalFormatting>
  <conditionalFormatting sqref="D82">
    <cfRule type="expression" dxfId="817" priority="2687">
      <formula>$V82="FAILᶻ"</formula>
    </cfRule>
    <cfRule type="expression" dxfId="816" priority="2688">
      <formula>$V82="FAIL"</formula>
    </cfRule>
  </conditionalFormatting>
  <conditionalFormatting sqref="E82">
    <cfRule type="expression" dxfId="815" priority="2685">
      <formula>$G82="FAILᶻ"</formula>
    </cfRule>
    <cfRule type="expression" dxfId="814" priority="2686">
      <formula>$G82="FAIL"</formula>
    </cfRule>
  </conditionalFormatting>
  <conditionalFormatting sqref="D83">
    <cfRule type="expression" dxfId="813" priority="2683">
      <formula>$V83="FAILᶻ"</formula>
    </cfRule>
    <cfRule type="expression" dxfId="812" priority="2684">
      <formula>$V83="FAIL"</formula>
    </cfRule>
  </conditionalFormatting>
  <conditionalFormatting sqref="E83">
    <cfRule type="expression" dxfId="811" priority="2681">
      <formula>$G83="FAILᶻ"</formula>
    </cfRule>
    <cfRule type="expression" dxfId="810" priority="2682">
      <formula>$G83="FAIL"</formula>
    </cfRule>
  </conditionalFormatting>
  <conditionalFormatting sqref="D84">
    <cfRule type="expression" dxfId="809" priority="2679">
      <formula>$V84="FAILᶻ"</formula>
    </cfRule>
    <cfRule type="expression" dxfId="808" priority="2680">
      <formula>$V84="FAIL"</formula>
    </cfRule>
  </conditionalFormatting>
  <conditionalFormatting sqref="E84">
    <cfRule type="expression" dxfId="807" priority="2677">
      <formula>$G84="FAILᶻ"</formula>
    </cfRule>
    <cfRule type="expression" dxfId="806" priority="2678">
      <formula>$G84="FAIL"</formula>
    </cfRule>
  </conditionalFormatting>
  <conditionalFormatting sqref="D81">
    <cfRule type="expression" dxfId="805" priority="2667">
      <formula>$V81="FAILᶻ"</formula>
    </cfRule>
    <cfRule type="expression" dxfId="804" priority="2668">
      <formula>$V81="FAIL"</formula>
    </cfRule>
  </conditionalFormatting>
  <conditionalFormatting sqref="E81">
    <cfRule type="expression" dxfId="803" priority="2665">
      <formula>$G81="FAILᶻ"</formula>
    </cfRule>
    <cfRule type="expression" dxfId="802" priority="2666">
      <formula>$G81="FAIL"</formula>
    </cfRule>
  </conditionalFormatting>
  <conditionalFormatting sqref="G85 G91">
    <cfRule type="cellIs" dxfId="801" priority="2659" operator="equal">
      <formula>"FAILᶻ"</formula>
    </cfRule>
    <cfRule type="cellIs" dxfId="800" priority="2660" stopIfTrue="1" operator="equal">
      <formula>"FAIL"</formula>
    </cfRule>
  </conditionalFormatting>
  <conditionalFormatting sqref="AL85:AT85 AV85:BB85 AV91:BB95 AM91:AT95 AL91">
    <cfRule type="cellIs" dxfId="799" priority="2657" operator="equal">
      <formula>3</formula>
    </cfRule>
    <cfRule type="cellIs" dxfId="798" priority="2658" operator="equal">
      <formula>4</formula>
    </cfRule>
  </conditionalFormatting>
  <conditionalFormatting sqref="G92:G95">
    <cfRule type="cellIs" dxfId="797" priority="2631" operator="equal">
      <formula>"FAILᶻ"</formula>
    </cfRule>
    <cfRule type="cellIs" dxfId="796" priority="2632" stopIfTrue="1" operator="equal">
      <formula>"FAIL"</formula>
    </cfRule>
  </conditionalFormatting>
  <conditionalFormatting sqref="AL92:AL95">
    <cfRule type="cellIs" dxfId="795" priority="2629" operator="equal">
      <formula>3</formula>
    </cfRule>
    <cfRule type="cellIs" dxfId="794" priority="2630" operator="equal">
      <formula>4</formula>
    </cfRule>
  </conditionalFormatting>
  <conditionalFormatting sqref="D95">
    <cfRule type="expression" dxfId="793" priority="2627">
      <formula>$V95="FAILᶻ"</formula>
    </cfRule>
    <cfRule type="expression" dxfId="792" priority="2628">
      <formula>$V95="FAIL"</formula>
    </cfRule>
  </conditionalFormatting>
  <conditionalFormatting sqref="E95">
    <cfRule type="expression" dxfId="791" priority="2625">
      <formula>$G95="FAILᶻ"</formula>
    </cfRule>
    <cfRule type="expression" dxfId="790" priority="2626">
      <formula>$G95="FAIL"</formula>
    </cfRule>
  </conditionalFormatting>
  <conditionalFormatting sqref="D92">
    <cfRule type="expression" dxfId="789" priority="2615">
      <formula>$V92="FAILᶻ"</formula>
    </cfRule>
    <cfRule type="expression" dxfId="788" priority="2616">
      <formula>$V92="FAIL"</formula>
    </cfRule>
  </conditionalFormatting>
  <conditionalFormatting sqref="E92">
    <cfRule type="expression" dxfId="787" priority="2613">
      <formula>$G92="FAILᶻ"</formula>
    </cfRule>
    <cfRule type="expression" dxfId="786" priority="2614">
      <formula>$G92="FAIL"</formula>
    </cfRule>
  </conditionalFormatting>
  <conditionalFormatting sqref="D93">
    <cfRule type="expression" dxfId="785" priority="2611">
      <formula>$V93="FAILᶻ"</formula>
    </cfRule>
    <cfRule type="expression" dxfId="784" priority="2612">
      <formula>$V93="FAIL"</formula>
    </cfRule>
  </conditionalFormatting>
  <conditionalFormatting sqref="E93">
    <cfRule type="expression" dxfId="783" priority="2609">
      <formula>$G93="FAILᶻ"</formula>
    </cfRule>
    <cfRule type="expression" dxfId="782" priority="2610">
      <formula>$G93="FAIL"</formula>
    </cfRule>
  </conditionalFormatting>
  <conditionalFormatting sqref="D94">
    <cfRule type="expression" dxfId="781" priority="2607">
      <formula>$V94="FAILᶻ"</formula>
    </cfRule>
    <cfRule type="expression" dxfId="780" priority="2608">
      <formula>$V94="FAIL"</formula>
    </cfRule>
  </conditionalFormatting>
  <conditionalFormatting sqref="E94">
    <cfRule type="expression" dxfId="779" priority="2605">
      <formula>$G94="FAILᶻ"</formula>
    </cfRule>
    <cfRule type="expression" dxfId="778" priority="2606">
      <formula>$G94="FAIL"</formula>
    </cfRule>
  </conditionalFormatting>
  <conditionalFormatting sqref="D85">
    <cfRule type="expression" dxfId="777" priority="2603">
      <formula>$V85="FAILᶻ"</formula>
    </cfRule>
    <cfRule type="expression" dxfId="776" priority="2604">
      <formula>$V85="FAIL"</formula>
    </cfRule>
  </conditionalFormatting>
  <conditionalFormatting sqref="E85">
    <cfRule type="expression" dxfId="775" priority="2601">
      <formula>$G85="FAILᶻ"</formula>
    </cfRule>
    <cfRule type="expression" dxfId="774" priority="2602">
      <formula>$G85="FAIL"</formula>
    </cfRule>
  </conditionalFormatting>
  <conditionalFormatting sqref="G101:G104">
    <cfRule type="cellIs" dxfId="773" priority="2599" operator="equal">
      <formula>"FAILᶻ"</formula>
    </cfRule>
    <cfRule type="cellIs" dxfId="772" priority="2600" stopIfTrue="1" operator="equal">
      <formula>"FAIL"</formula>
    </cfRule>
  </conditionalFormatting>
  <conditionalFormatting sqref="AL101:AT104 AV101:BB104 AV110:BB110 AM110:AT110">
    <cfRule type="cellIs" dxfId="771" priority="2597" operator="equal">
      <formula>3</formula>
    </cfRule>
    <cfRule type="cellIs" dxfId="770" priority="2598" operator="equal">
      <formula>4</formula>
    </cfRule>
  </conditionalFormatting>
  <conditionalFormatting sqref="D101">
    <cfRule type="expression" dxfId="769" priority="2595">
      <formula>$V101="FAILᶻ"</formula>
    </cfRule>
    <cfRule type="expression" dxfId="768" priority="2596">
      <formula>$V101="FAIL"</formula>
    </cfRule>
  </conditionalFormatting>
  <conditionalFormatting sqref="E101">
    <cfRule type="expression" dxfId="767" priority="2593">
      <formula>$G101="FAILᶻ"</formula>
    </cfRule>
    <cfRule type="expression" dxfId="766" priority="2594">
      <formula>$G101="FAIL"</formula>
    </cfRule>
  </conditionalFormatting>
  <conditionalFormatting sqref="D102">
    <cfRule type="expression" dxfId="765" priority="2591">
      <formula>$V102="FAILᶻ"</formula>
    </cfRule>
    <cfRule type="expression" dxfId="764" priority="2592">
      <formula>$V102="FAIL"</formula>
    </cfRule>
  </conditionalFormatting>
  <conditionalFormatting sqref="E102">
    <cfRule type="expression" dxfId="763" priority="2589">
      <formula>$G102="FAILᶻ"</formula>
    </cfRule>
    <cfRule type="expression" dxfId="762" priority="2590">
      <formula>$G102="FAIL"</formula>
    </cfRule>
  </conditionalFormatting>
  <conditionalFormatting sqref="D103">
    <cfRule type="expression" dxfId="761" priority="2587">
      <formula>$V103="FAILᶻ"</formula>
    </cfRule>
    <cfRule type="expression" dxfId="760" priority="2588">
      <formula>$V103="FAIL"</formula>
    </cfRule>
  </conditionalFormatting>
  <conditionalFormatting sqref="E103">
    <cfRule type="expression" dxfId="759" priority="2585">
      <formula>$G103="FAILᶻ"</formula>
    </cfRule>
    <cfRule type="expression" dxfId="758" priority="2586">
      <formula>$G103="FAIL"</formula>
    </cfRule>
  </conditionalFormatting>
  <conditionalFormatting sqref="D104">
    <cfRule type="expression" dxfId="757" priority="2583">
      <formula>$V104="FAILᶻ"</formula>
    </cfRule>
    <cfRule type="expression" dxfId="756" priority="2584">
      <formula>$V104="FAIL"</formula>
    </cfRule>
  </conditionalFormatting>
  <conditionalFormatting sqref="E104">
    <cfRule type="expression" dxfId="755" priority="2581">
      <formula>$G104="FAILᶻ"</formula>
    </cfRule>
    <cfRule type="expression" dxfId="754" priority="2582">
      <formula>$G104="FAIL"</formula>
    </cfRule>
  </conditionalFormatting>
  <conditionalFormatting sqref="D141">
    <cfRule type="expression" dxfId="753" priority="2411">
      <formula>$V141="FAILᶻ"</formula>
    </cfRule>
    <cfRule type="expression" dxfId="752" priority="2412">
      <formula>$V141="FAIL"</formula>
    </cfRule>
  </conditionalFormatting>
  <conditionalFormatting sqref="E141">
    <cfRule type="expression" dxfId="751" priority="2409">
      <formula>$G141="FAILᶻ"</formula>
    </cfRule>
    <cfRule type="expression" dxfId="750" priority="2410">
      <formula>$G141="FAIL"</formula>
    </cfRule>
  </conditionalFormatting>
  <conditionalFormatting sqref="G110">
    <cfRule type="cellIs" dxfId="749" priority="2571" operator="equal">
      <formula>"FAILᶻ"</formula>
    </cfRule>
    <cfRule type="cellIs" dxfId="748" priority="2572" stopIfTrue="1" operator="equal">
      <formula>"FAIL"</formula>
    </cfRule>
  </conditionalFormatting>
  <conditionalFormatting sqref="AL110">
    <cfRule type="cellIs" dxfId="747" priority="2569" operator="equal">
      <formula>3</formula>
    </cfRule>
    <cfRule type="cellIs" dxfId="746" priority="2570" operator="equal">
      <formula>4</formula>
    </cfRule>
  </conditionalFormatting>
  <conditionalFormatting sqref="D110">
    <cfRule type="expression" dxfId="745" priority="2559">
      <formula>$V110="FAILᶻ"</formula>
    </cfRule>
    <cfRule type="expression" dxfId="744" priority="2560">
      <formula>$V110="FAIL"</formula>
    </cfRule>
  </conditionalFormatting>
  <conditionalFormatting sqref="E110">
    <cfRule type="expression" dxfId="743" priority="2557">
      <formula>$G110="FAILᶻ"</formula>
    </cfRule>
    <cfRule type="expression" dxfId="742" priority="2558">
      <formula>$G110="FAIL"</formula>
    </cfRule>
  </conditionalFormatting>
  <conditionalFormatting sqref="G111:G115">
    <cfRule type="cellIs" dxfId="741" priority="2539" operator="equal">
      <formula>"FAILᶻ"</formula>
    </cfRule>
    <cfRule type="cellIs" dxfId="740" priority="2540" stopIfTrue="1" operator="equal">
      <formula>"FAIL"</formula>
    </cfRule>
  </conditionalFormatting>
  <conditionalFormatting sqref="AL111:AT115 AV111:BB115 AV122:BB123 AM122:AT123">
    <cfRule type="cellIs" dxfId="739" priority="2537" operator="equal">
      <formula>3</formula>
    </cfRule>
    <cfRule type="cellIs" dxfId="738" priority="2538" operator="equal">
      <formula>4</formula>
    </cfRule>
  </conditionalFormatting>
  <conditionalFormatting sqref="D114">
    <cfRule type="expression" dxfId="737" priority="2535">
      <formula>$V114="FAILᶻ"</formula>
    </cfRule>
    <cfRule type="expression" dxfId="736" priority="2536">
      <formula>$V114="FAIL"</formula>
    </cfRule>
  </conditionalFormatting>
  <conditionalFormatting sqref="E114">
    <cfRule type="expression" dxfId="735" priority="2533">
      <formula>$G114="FAILᶻ"</formula>
    </cfRule>
    <cfRule type="expression" dxfId="734" priority="2534">
      <formula>$G114="FAIL"</formula>
    </cfRule>
  </conditionalFormatting>
  <conditionalFormatting sqref="D112">
    <cfRule type="expression" dxfId="733" priority="2519">
      <formula>$V112="FAILᶻ"</formula>
    </cfRule>
    <cfRule type="expression" dxfId="732" priority="2520">
      <formula>$V112="FAIL"</formula>
    </cfRule>
  </conditionalFormatting>
  <conditionalFormatting sqref="E112">
    <cfRule type="expression" dxfId="731" priority="2517">
      <formula>$G112="FAILᶻ"</formula>
    </cfRule>
    <cfRule type="expression" dxfId="730" priority="2518">
      <formula>$G112="FAIL"</formula>
    </cfRule>
  </conditionalFormatting>
  <conditionalFormatting sqref="D113">
    <cfRule type="expression" dxfId="729" priority="2515">
      <formula>$V113="FAILᶻ"</formula>
    </cfRule>
    <cfRule type="expression" dxfId="728" priority="2516">
      <formula>$V113="FAIL"</formula>
    </cfRule>
  </conditionalFormatting>
  <conditionalFormatting sqref="E113">
    <cfRule type="expression" dxfId="727" priority="2513">
      <formula>$G113="FAILᶻ"</formula>
    </cfRule>
    <cfRule type="expression" dxfId="726" priority="2514">
      <formula>$G113="FAIL"</formula>
    </cfRule>
  </conditionalFormatting>
  <conditionalFormatting sqref="G122:G123">
    <cfRule type="cellIs" dxfId="725" priority="2511" operator="equal">
      <formula>"FAILᶻ"</formula>
    </cfRule>
    <cfRule type="cellIs" dxfId="724" priority="2512" stopIfTrue="1" operator="equal">
      <formula>"FAIL"</formula>
    </cfRule>
  </conditionalFormatting>
  <conditionalFormatting sqref="AL122:AL123">
    <cfRule type="cellIs" dxfId="723" priority="2509" operator="equal">
      <formula>3</formula>
    </cfRule>
    <cfRule type="cellIs" dxfId="722" priority="2510" operator="equal">
      <formula>4</formula>
    </cfRule>
  </conditionalFormatting>
  <conditionalFormatting sqref="D122">
    <cfRule type="expression" dxfId="721" priority="2503">
      <formula>$V122="FAILᶻ"</formula>
    </cfRule>
    <cfRule type="expression" dxfId="720" priority="2504">
      <formula>$V122="FAIL"</formula>
    </cfRule>
  </conditionalFormatting>
  <conditionalFormatting sqref="E122">
    <cfRule type="expression" dxfId="719" priority="2501">
      <formula>$G122="FAILᶻ"</formula>
    </cfRule>
    <cfRule type="expression" dxfId="718" priority="2502">
      <formula>$G122="FAIL"</formula>
    </cfRule>
  </conditionalFormatting>
  <conditionalFormatting sqref="D123">
    <cfRule type="expression" dxfId="717" priority="2499">
      <formula>$V123="FAILᶻ"</formula>
    </cfRule>
    <cfRule type="expression" dxfId="716" priority="2500">
      <formula>$V123="FAIL"</formula>
    </cfRule>
  </conditionalFormatting>
  <conditionalFormatting sqref="E123">
    <cfRule type="expression" dxfId="715" priority="2497">
      <formula>$G123="FAILᶻ"</formula>
    </cfRule>
    <cfRule type="expression" dxfId="714" priority="2498">
      <formula>$G123="FAIL"</formula>
    </cfRule>
  </conditionalFormatting>
  <conditionalFormatting sqref="D111">
    <cfRule type="expression" dxfId="713" priority="2483">
      <formula>$V111="FAILᶻ"</formula>
    </cfRule>
    <cfRule type="expression" dxfId="712" priority="2484">
      <formula>$V111="FAIL"</formula>
    </cfRule>
  </conditionalFormatting>
  <conditionalFormatting sqref="E111">
    <cfRule type="expression" dxfId="711" priority="2481">
      <formula>$G111="FAILᶻ"</formula>
    </cfRule>
    <cfRule type="expression" dxfId="710" priority="2482">
      <formula>$G111="FAIL"</formula>
    </cfRule>
  </conditionalFormatting>
  <conditionalFormatting sqref="G124:G125">
    <cfRule type="cellIs" dxfId="709" priority="2479" operator="equal">
      <formula>"FAILᶻ"</formula>
    </cfRule>
    <cfRule type="cellIs" dxfId="708" priority="2480" stopIfTrue="1" operator="equal">
      <formula>"FAIL"</formula>
    </cfRule>
  </conditionalFormatting>
  <conditionalFormatting sqref="AL124:AT125 AV124:BB125 AV132:BB136 AM132:AT136">
    <cfRule type="cellIs" dxfId="707" priority="2477" operator="equal">
      <formula>3</formula>
    </cfRule>
    <cfRule type="cellIs" dxfId="706" priority="2478" operator="equal">
      <formula>4</formula>
    </cfRule>
  </conditionalFormatting>
  <conditionalFormatting sqref="D154">
    <cfRule type="expression" dxfId="705" priority="2345">
      <formula>$V154="FAILᶻ"</formula>
    </cfRule>
    <cfRule type="expression" dxfId="704" priority="2346">
      <formula>$V154="FAIL"</formula>
    </cfRule>
  </conditionalFormatting>
  <conditionalFormatting sqref="E154">
    <cfRule type="expression" dxfId="703" priority="2343">
      <formula>$G154="FAILᶻ"</formula>
    </cfRule>
    <cfRule type="expression" dxfId="702" priority="2344">
      <formula>$G154="FAIL"</formula>
    </cfRule>
  </conditionalFormatting>
  <conditionalFormatting sqref="D155">
    <cfRule type="expression" dxfId="701" priority="2341">
      <formula>$V155="FAILᶻ"</formula>
    </cfRule>
    <cfRule type="expression" dxfId="700" priority="2342">
      <formula>$V155="FAIL"</formula>
    </cfRule>
  </conditionalFormatting>
  <conditionalFormatting sqref="E155">
    <cfRule type="expression" dxfId="699" priority="2339">
      <formula>$G155="FAILᶻ"</formula>
    </cfRule>
    <cfRule type="expression" dxfId="698" priority="2340">
      <formula>$G155="FAIL"</formula>
    </cfRule>
  </conditionalFormatting>
  <conditionalFormatting sqref="D156">
    <cfRule type="expression" dxfId="697" priority="2337">
      <formula>$V156="FAILᶻ"</formula>
    </cfRule>
    <cfRule type="expression" dxfId="696" priority="2338">
      <formula>$V156="FAIL"</formula>
    </cfRule>
  </conditionalFormatting>
  <conditionalFormatting sqref="E156">
    <cfRule type="expression" dxfId="695" priority="2335">
      <formula>$G156="FAILᶻ"</formula>
    </cfRule>
    <cfRule type="expression" dxfId="694" priority="2336">
      <formula>$G156="FAIL"</formula>
    </cfRule>
  </conditionalFormatting>
  <conditionalFormatting sqref="D125">
    <cfRule type="expression" dxfId="693" priority="2459">
      <formula>$V125="FAILᶻ"</formula>
    </cfRule>
    <cfRule type="expression" dxfId="692" priority="2460">
      <formula>$V125="FAIL"</formula>
    </cfRule>
  </conditionalFormatting>
  <conditionalFormatting sqref="E125">
    <cfRule type="expression" dxfId="691" priority="2457">
      <formula>$G125="FAILᶻ"</formula>
    </cfRule>
    <cfRule type="expression" dxfId="690" priority="2458">
      <formula>$G125="FAIL"</formula>
    </cfRule>
  </conditionalFormatting>
  <conditionalFormatting sqref="D152">
    <cfRule type="expression" dxfId="689" priority="2329">
      <formula>$V152="FAILᶻ"</formula>
    </cfRule>
    <cfRule type="expression" dxfId="688" priority="2330">
      <formula>$V152="FAIL"</formula>
    </cfRule>
  </conditionalFormatting>
  <conditionalFormatting sqref="E152">
    <cfRule type="expression" dxfId="687" priority="2327">
      <formula>$G152="FAILᶻ"</formula>
    </cfRule>
    <cfRule type="expression" dxfId="686" priority="2328">
      <formula>$G152="FAIL"</formula>
    </cfRule>
  </conditionalFormatting>
  <conditionalFormatting sqref="G132:G136">
    <cfRule type="cellIs" dxfId="685" priority="2451" operator="equal">
      <formula>"FAILᶻ"</formula>
    </cfRule>
    <cfRule type="cellIs" dxfId="684" priority="2452" stopIfTrue="1" operator="equal">
      <formula>"FAIL"</formula>
    </cfRule>
  </conditionalFormatting>
  <conditionalFormatting sqref="AL132:AL136">
    <cfRule type="cellIs" dxfId="683" priority="2449" operator="equal">
      <formula>3</formula>
    </cfRule>
    <cfRule type="cellIs" dxfId="682" priority="2450" operator="equal">
      <formula>4</formula>
    </cfRule>
  </conditionalFormatting>
  <conditionalFormatting sqref="D134">
    <cfRule type="expression" dxfId="681" priority="2447">
      <formula>$V134="FAILᶻ"</formula>
    </cfRule>
    <cfRule type="expression" dxfId="680" priority="2448">
      <formula>$V134="FAIL"</formula>
    </cfRule>
  </conditionalFormatting>
  <conditionalFormatting sqref="E134">
    <cfRule type="expression" dxfId="679" priority="2445">
      <formula>$G134="FAILᶻ"</formula>
    </cfRule>
    <cfRule type="expression" dxfId="678" priority="2446">
      <formula>$G134="FAIL"</formula>
    </cfRule>
  </conditionalFormatting>
  <conditionalFormatting sqref="D135">
    <cfRule type="expression" dxfId="677" priority="2443">
      <formula>$V135="FAILᶻ"</formula>
    </cfRule>
    <cfRule type="expression" dxfId="676" priority="2444">
      <formula>$V135="FAIL"</formula>
    </cfRule>
  </conditionalFormatting>
  <conditionalFormatting sqref="E135">
    <cfRule type="expression" dxfId="675" priority="2441">
      <formula>$G135="FAILᶻ"</formula>
    </cfRule>
    <cfRule type="expression" dxfId="674" priority="2442">
      <formula>$G135="FAIL"</formula>
    </cfRule>
  </conditionalFormatting>
  <conditionalFormatting sqref="D136">
    <cfRule type="expression" dxfId="673" priority="2439">
      <formula>$V136="FAILᶻ"</formula>
    </cfRule>
    <cfRule type="expression" dxfId="672" priority="2440">
      <formula>$V136="FAIL"</formula>
    </cfRule>
  </conditionalFormatting>
  <conditionalFormatting sqref="E136">
    <cfRule type="expression" dxfId="671" priority="2437">
      <formula>$G136="FAILᶻ"</formula>
    </cfRule>
    <cfRule type="expression" dxfId="670" priority="2438">
      <formula>$G136="FAIL"</formula>
    </cfRule>
  </conditionalFormatting>
  <conditionalFormatting sqref="D132">
    <cfRule type="expression" dxfId="669" priority="2431">
      <formula>$V132="FAILᶻ"</formula>
    </cfRule>
    <cfRule type="expression" dxfId="668" priority="2432">
      <formula>$V132="FAIL"</formula>
    </cfRule>
  </conditionalFormatting>
  <conditionalFormatting sqref="E132">
    <cfRule type="expression" dxfId="667" priority="2429">
      <formula>$G132="FAILᶻ"</formula>
    </cfRule>
    <cfRule type="expression" dxfId="666" priority="2430">
      <formula>$G132="FAIL"</formula>
    </cfRule>
  </conditionalFormatting>
  <conditionalFormatting sqref="D133">
    <cfRule type="expression" dxfId="665" priority="2427">
      <formula>$V133="FAILᶻ"</formula>
    </cfRule>
    <cfRule type="expression" dxfId="664" priority="2428">
      <formula>$V133="FAIL"</formula>
    </cfRule>
  </conditionalFormatting>
  <conditionalFormatting sqref="E133">
    <cfRule type="expression" dxfId="663" priority="2425">
      <formula>$G133="FAILᶻ"</formula>
    </cfRule>
    <cfRule type="expression" dxfId="662" priority="2426">
      <formula>$G133="FAIL"</formula>
    </cfRule>
  </conditionalFormatting>
  <conditionalFormatting sqref="D124">
    <cfRule type="expression" dxfId="661" priority="2423">
      <formula>$V124="FAILᶻ"</formula>
    </cfRule>
    <cfRule type="expression" dxfId="660" priority="2424">
      <formula>$V124="FAIL"</formula>
    </cfRule>
  </conditionalFormatting>
  <conditionalFormatting sqref="E124">
    <cfRule type="expression" dxfId="659" priority="2421">
      <formula>$G124="FAILᶻ"</formula>
    </cfRule>
    <cfRule type="expression" dxfId="658" priority="2422">
      <formula>$G124="FAIL"</formula>
    </cfRule>
  </conditionalFormatting>
  <conditionalFormatting sqref="G137:G141">
    <cfRule type="cellIs" dxfId="657" priority="2419" operator="equal">
      <formula>"FAILᶻ"</formula>
    </cfRule>
    <cfRule type="cellIs" dxfId="656" priority="2420" stopIfTrue="1" operator="equal">
      <formula>"FAIL"</formula>
    </cfRule>
  </conditionalFormatting>
  <conditionalFormatting sqref="AL137:AT141 AV137:BB141 AV147:BB149 AM147:AT149">
    <cfRule type="cellIs" dxfId="655" priority="2417" operator="equal">
      <formula>3</formula>
    </cfRule>
    <cfRule type="cellIs" dxfId="654" priority="2418" operator="equal">
      <formula>4</formula>
    </cfRule>
  </conditionalFormatting>
  <conditionalFormatting sqref="D140">
    <cfRule type="expression" dxfId="653" priority="2415">
      <formula>$V140="FAILᶻ"</formula>
    </cfRule>
    <cfRule type="expression" dxfId="652" priority="2416">
      <formula>$V140="FAIL"</formula>
    </cfRule>
  </conditionalFormatting>
  <conditionalFormatting sqref="E140">
    <cfRule type="expression" dxfId="651" priority="2413">
      <formula>$G140="FAILᶻ"</formula>
    </cfRule>
    <cfRule type="expression" dxfId="650" priority="2414">
      <formula>$G140="FAIL"</formula>
    </cfRule>
  </conditionalFormatting>
  <conditionalFormatting sqref="D138">
    <cfRule type="expression" dxfId="649" priority="2399">
      <formula>$V138="FAILᶻ"</formula>
    </cfRule>
    <cfRule type="expression" dxfId="648" priority="2400">
      <formula>$V138="FAIL"</formula>
    </cfRule>
  </conditionalFormatting>
  <conditionalFormatting sqref="E138">
    <cfRule type="expression" dxfId="647" priority="2397">
      <formula>$G138="FAILᶻ"</formula>
    </cfRule>
    <cfRule type="expression" dxfId="646" priority="2398">
      <formula>$G138="FAIL"</formula>
    </cfRule>
  </conditionalFormatting>
  <conditionalFormatting sqref="D139">
    <cfRule type="expression" dxfId="645" priority="2395">
      <formula>$V139="FAILᶻ"</formula>
    </cfRule>
    <cfRule type="expression" dxfId="644" priority="2396">
      <formula>$V139="FAIL"</formula>
    </cfRule>
  </conditionalFormatting>
  <conditionalFormatting sqref="E139">
    <cfRule type="expression" dxfId="643" priority="2393">
      <formula>$G139="FAILᶻ"</formula>
    </cfRule>
    <cfRule type="expression" dxfId="642" priority="2394">
      <formula>$G139="FAIL"</formula>
    </cfRule>
  </conditionalFormatting>
  <conditionalFormatting sqref="G147:G149">
    <cfRule type="cellIs" dxfId="641" priority="2391" operator="equal">
      <formula>"FAILᶻ"</formula>
    </cfRule>
    <cfRule type="cellIs" dxfId="640" priority="2392" stopIfTrue="1" operator="equal">
      <formula>"FAIL"</formula>
    </cfRule>
  </conditionalFormatting>
  <conditionalFormatting sqref="AL147:AL149">
    <cfRule type="cellIs" dxfId="639" priority="2389" operator="equal">
      <formula>3</formula>
    </cfRule>
    <cfRule type="cellIs" dxfId="638" priority="2390" operator="equal">
      <formula>4</formula>
    </cfRule>
  </conditionalFormatting>
  <conditionalFormatting sqref="D147">
    <cfRule type="expression" dxfId="637" priority="2387">
      <formula>$V147="FAILᶻ"</formula>
    </cfRule>
    <cfRule type="expression" dxfId="636" priority="2388">
      <formula>$V147="FAIL"</formula>
    </cfRule>
  </conditionalFormatting>
  <conditionalFormatting sqref="E147">
    <cfRule type="expression" dxfId="635" priority="2385">
      <formula>$G147="FAILᶻ"</formula>
    </cfRule>
    <cfRule type="expression" dxfId="634" priority="2386">
      <formula>$G147="FAIL"</formula>
    </cfRule>
  </conditionalFormatting>
  <conditionalFormatting sqref="D148">
    <cfRule type="expression" dxfId="633" priority="2383">
      <formula>$V148="FAILᶻ"</formula>
    </cfRule>
    <cfRule type="expression" dxfId="632" priority="2384">
      <formula>$V148="FAIL"</formula>
    </cfRule>
  </conditionalFormatting>
  <conditionalFormatting sqref="E148">
    <cfRule type="expression" dxfId="631" priority="2381">
      <formula>$G148="FAILᶻ"</formula>
    </cfRule>
    <cfRule type="expression" dxfId="630" priority="2382">
      <formula>$G148="FAIL"</formula>
    </cfRule>
  </conditionalFormatting>
  <conditionalFormatting sqref="D149">
    <cfRule type="expression" dxfId="629" priority="2379">
      <formula>$V149="FAILᶻ"</formula>
    </cfRule>
    <cfRule type="expression" dxfId="628" priority="2380">
      <formula>$V149="FAIL"</formula>
    </cfRule>
  </conditionalFormatting>
  <conditionalFormatting sqref="E149">
    <cfRule type="expression" dxfId="627" priority="2377">
      <formula>$G149="FAILᶻ"</formula>
    </cfRule>
    <cfRule type="expression" dxfId="626" priority="2378">
      <formula>$G149="FAIL"</formula>
    </cfRule>
  </conditionalFormatting>
  <conditionalFormatting sqref="D171">
    <cfRule type="expression" dxfId="625" priority="2255">
      <formula>$V171="FAILᶻ"</formula>
    </cfRule>
    <cfRule type="expression" dxfId="624" priority="2256">
      <formula>$V171="FAIL"</formula>
    </cfRule>
  </conditionalFormatting>
  <conditionalFormatting sqref="E171">
    <cfRule type="expression" dxfId="623" priority="2253">
      <formula>$G171="FAILᶻ"</formula>
    </cfRule>
    <cfRule type="expression" dxfId="622" priority="2254">
      <formula>$G171="FAIL"</formula>
    </cfRule>
  </conditionalFormatting>
  <conditionalFormatting sqref="D137">
    <cfRule type="expression" dxfId="621" priority="2363">
      <formula>$V137="FAILᶻ"</formula>
    </cfRule>
    <cfRule type="expression" dxfId="620" priority="2364">
      <formula>$V137="FAIL"</formula>
    </cfRule>
  </conditionalFormatting>
  <conditionalFormatting sqref="E137">
    <cfRule type="expression" dxfId="619" priority="2361">
      <formula>$G137="FAILᶻ"</formula>
    </cfRule>
    <cfRule type="expression" dxfId="618" priority="2362">
      <formula>$G137="FAIL"</formula>
    </cfRule>
  </conditionalFormatting>
  <conditionalFormatting sqref="AM150:AT150 AV150:BB150">
    <cfRule type="cellIs" dxfId="617" priority="2359" operator="equal">
      <formula>3</formula>
    </cfRule>
    <cfRule type="cellIs" dxfId="616" priority="2360" operator="equal">
      <formula>4</formula>
    </cfRule>
  </conditionalFormatting>
  <conditionalFormatting sqref="G150">
    <cfRule type="cellIs" dxfId="615" priority="2357" operator="equal">
      <formula>"FAILᶻ"</formula>
    </cfRule>
    <cfRule type="cellIs" dxfId="614" priority="2358" stopIfTrue="1" operator="equal">
      <formula>"FAIL"</formula>
    </cfRule>
  </conditionalFormatting>
  <conditionalFormatting sqref="AL150">
    <cfRule type="cellIs" dxfId="613" priority="2355" operator="equal">
      <formula>3</formula>
    </cfRule>
    <cfRule type="cellIs" dxfId="612" priority="2356" operator="equal">
      <formula>4</formula>
    </cfRule>
  </conditionalFormatting>
  <conditionalFormatting sqref="D150">
    <cfRule type="expression" dxfId="611" priority="2353">
      <formula>$V150="FAILᶻ"</formula>
    </cfRule>
    <cfRule type="expression" dxfId="610" priority="2354">
      <formula>$V150="FAIL"</formula>
    </cfRule>
  </conditionalFormatting>
  <conditionalFormatting sqref="E150">
    <cfRule type="expression" dxfId="609" priority="2351">
      <formula>$G150="FAILᶻ"</formula>
    </cfRule>
    <cfRule type="expression" dxfId="608" priority="2352">
      <formula>$G150="FAIL"</formula>
    </cfRule>
  </conditionalFormatting>
  <conditionalFormatting sqref="G151:G157">
    <cfRule type="cellIs" dxfId="607" priority="2349" operator="equal">
      <formula>"FAILᶻ"</formula>
    </cfRule>
    <cfRule type="cellIs" dxfId="606" priority="2350" stopIfTrue="1" operator="equal">
      <formula>"FAIL"</formula>
    </cfRule>
  </conditionalFormatting>
  <conditionalFormatting sqref="AL151:AL157 AM151:AT162 AV151:BB162">
    <cfRule type="cellIs" dxfId="605" priority="2347" operator="equal">
      <formula>3</formula>
    </cfRule>
    <cfRule type="cellIs" dxfId="604" priority="2348" operator="equal">
      <formula>4</formula>
    </cfRule>
  </conditionalFormatting>
  <conditionalFormatting sqref="D157">
    <cfRule type="expression" dxfId="603" priority="2333">
      <formula>$V157="FAILᶻ"</formula>
    </cfRule>
    <cfRule type="expression" dxfId="602" priority="2334">
      <formula>$V157="FAIL"</formula>
    </cfRule>
  </conditionalFormatting>
  <conditionalFormatting sqref="E157">
    <cfRule type="expression" dxfId="601" priority="2331">
      <formula>$G157="FAILᶻ"</formula>
    </cfRule>
    <cfRule type="expression" dxfId="600" priority="2332">
      <formula>$G157="FAIL"</formula>
    </cfRule>
  </conditionalFormatting>
  <conditionalFormatting sqref="D153">
    <cfRule type="expression" dxfId="599" priority="2325">
      <formula>$V153="FAILᶻ"</formula>
    </cfRule>
    <cfRule type="expression" dxfId="598" priority="2326">
      <formula>$V153="FAIL"</formula>
    </cfRule>
  </conditionalFormatting>
  <conditionalFormatting sqref="E153">
    <cfRule type="expression" dxfId="597" priority="2323">
      <formula>$G153="FAILᶻ"</formula>
    </cfRule>
    <cfRule type="expression" dxfId="596" priority="2324">
      <formula>$G153="FAIL"</formula>
    </cfRule>
  </conditionalFormatting>
  <conditionalFormatting sqref="G158:G162">
    <cfRule type="cellIs" dxfId="595" priority="2321" operator="equal">
      <formula>"FAILᶻ"</formula>
    </cfRule>
    <cfRule type="cellIs" dxfId="594" priority="2322" stopIfTrue="1" operator="equal">
      <formula>"FAIL"</formula>
    </cfRule>
  </conditionalFormatting>
  <conditionalFormatting sqref="AL158:AL162">
    <cfRule type="cellIs" dxfId="593" priority="2319" operator="equal">
      <formula>3</formula>
    </cfRule>
    <cfRule type="cellIs" dxfId="592" priority="2320" operator="equal">
      <formula>4</formula>
    </cfRule>
  </conditionalFormatting>
  <conditionalFormatting sqref="D161">
    <cfRule type="expression" dxfId="591" priority="2317">
      <formula>$V161="FAILᶻ"</formula>
    </cfRule>
    <cfRule type="expression" dxfId="590" priority="2318">
      <formula>$V161="FAIL"</formula>
    </cfRule>
  </conditionalFormatting>
  <conditionalFormatting sqref="E161">
    <cfRule type="expression" dxfId="589" priority="2315">
      <formula>$G161="FAILᶻ"</formula>
    </cfRule>
    <cfRule type="expression" dxfId="588" priority="2316">
      <formula>$G161="FAIL"</formula>
    </cfRule>
  </conditionalFormatting>
  <conditionalFormatting sqref="D162">
    <cfRule type="expression" dxfId="587" priority="2313">
      <formula>$V162="FAILᶻ"</formula>
    </cfRule>
    <cfRule type="expression" dxfId="586" priority="2314">
      <formula>$V162="FAIL"</formula>
    </cfRule>
  </conditionalFormatting>
  <conditionalFormatting sqref="E162">
    <cfRule type="expression" dxfId="585" priority="2311">
      <formula>$G162="FAILᶻ"</formula>
    </cfRule>
    <cfRule type="expression" dxfId="584" priority="2312">
      <formula>$G162="FAIL"</formula>
    </cfRule>
  </conditionalFormatting>
  <conditionalFormatting sqref="D180">
    <cfRule type="expression" dxfId="583" priority="2195">
      <formula>$V180="FAILᶻ"</formula>
    </cfRule>
    <cfRule type="expression" dxfId="582" priority="2196">
      <formula>$V180="FAIL"</formula>
    </cfRule>
  </conditionalFormatting>
  <conditionalFormatting sqref="E180">
    <cfRule type="expression" dxfId="581" priority="2193">
      <formula>$G180="FAILᶻ"</formula>
    </cfRule>
    <cfRule type="expression" dxfId="580" priority="2194">
      <formula>$G180="FAIL"</formula>
    </cfRule>
  </conditionalFormatting>
  <conditionalFormatting sqref="D158">
    <cfRule type="expression" dxfId="579" priority="2305">
      <formula>$V158="FAILᶻ"</formula>
    </cfRule>
    <cfRule type="expression" dxfId="578" priority="2306">
      <formula>$V158="FAIL"</formula>
    </cfRule>
  </conditionalFormatting>
  <conditionalFormatting sqref="E158">
    <cfRule type="expression" dxfId="577" priority="2303">
      <formula>$G158="FAILᶻ"</formula>
    </cfRule>
    <cfRule type="expression" dxfId="576" priority="2304">
      <formula>$G158="FAIL"</formula>
    </cfRule>
  </conditionalFormatting>
  <conditionalFormatting sqref="D159">
    <cfRule type="expression" dxfId="575" priority="2301">
      <formula>$V159="FAILᶻ"</formula>
    </cfRule>
    <cfRule type="expression" dxfId="574" priority="2302">
      <formula>$V159="FAIL"</formula>
    </cfRule>
  </conditionalFormatting>
  <conditionalFormatting sqref="E159">
    <cfRule type="expression" dxfId="573" priority="2299">
      <formula>$G159="FAILᶻ"</formula>
    </cfRule>
    <cfRule type="expression" dxfId="572" priority="2300">
      <formula>$G159="FAIL"</formula>
    </cfRule>
  </conditionalFormatting>
  <conditionalFormatting sqref="D160">
    <cfRule type="expression" dxfId="571" priority="2297">
      <formula>$V160="FAILᶻ"</formula>
    </cfRule>
    <cfRule type="expression" dxfId="570" priority="2298">
      <formula>$V160="FAIL"</formula>
    </cfRule>
  </conditionalFormatting>
  <conditionalFormatting sqref="E160">
    <cfRule type="expression" dxfId="569" priority="2295">
      <formula>$G160="FAILᶻ"</formula>
    </cfRule>
    <cfRule type="expression" dxfId="568" priority="2296">
      <formula>$G160="FAIL"</formula>
    </cfRule>
  </conditionalFormatting>
  <conditionalFormatting sqref="D151">
    <cfRule type="expression" dxfId="567" priority="2293">
      <formula>$V151="FAILᶻ"</formula>
    </cfRule>
    <cfRule type="expression" dxfId="566" priority="2294">
      <formula>$V151="FAIL"</formula>
    </cfRule>
  </conditionalFormatting>
  <conditionalFormatting sqref="E151">
    <cfRule type="expression" dxfId="565" priority="2291">
      <formula>$G151="FAILᶻ"</formula>
    </cfRule>
    <cfRule type="expression" dxfId="564" priority="2292">
      <formula>$G151="FAIL"</formula>
    </cfRule>
  </conditionalFormatting>
  <conditionalFormatting sqref="G169:G171 G314">
    <cfRule type="cellIs" dxfId="563" priority="2267" operator="equal">
      <formula>"FAILᶻ"</formula>
    </cfRule>
    <cfRule type="cellIs" dxfId="562" priority="2268" stopIfTrue="1" operator="equal">
      <formula>"FAIL"</formula>
    </cfRule>
  </conditionalFormatting>
  <conditionalFormatting sqref="AL169:AT171 AL314:AT314 AV169:BB171 AV314:BB314 AV178:BB178 AM178:AT178">
    <cfRule type="cellIs" dxfId="561" priority="2265" operator="equal">
      <formula>3</formula>
    </cfRule>
    <cfRule type="cellIs" dxfId="560" priority="2266" operator="equal">
      <formula>4</formula>
    </cfRule>
  </conditionalFormatting>
  <conditionalFormatting sqref="D169">
    <cfRule type="expression" dxfId="559" priority="2263">
      <formula>$V169="FAILᶻ"</formula>
    </cfRule>
    <cfRule type="expression" dxfId="558" priority="2264">
      <formula>$V169="FAIL"</formula>
    </cfRule>
  </conditionalFormatting>
  <conditionalFormatting sqref="E169">
    <cfRule type="expression" dxfId="557" priority="2261">
      <formula>$G169="FAILᶻ"</formula>
    </cfRule>
    <cfRule type="expression" dxfId="556" priority="2262">
      <formula>$G169="FAIL"</formula>
    </cfRule>
  </conditionalFormatting>
  <conditionalFormatting sqref="D170">
    <cfRule type="expression" dxfId="555" priority="2259">
      <formula>$V170="FAILᶻ"</formula>
    </cfRule>
    <cfRule type="expression" dxfId="554" priority="2260">
      <formula>$V170="FAIL"</formula>
    </cfRule>
  </conditionalFormatting>
  <conditionalFormatting sqref="E170">
    <cfRule type="expression" dxfId="553" priority="2257">
      <formula>$G170="FAILᶻ"</formula>
    </cfRule>
    <cfRule type="expression" dxfId="552" priority="2258">
      <formula>$G170="FAIL"</formula>
    </cfRule>
  </conditionalFormatting>
  <conditionalFormatting sqref="G178">
    <cfRule type="cellIs" dxfId="551" priority="2247" operator="equal">
      <formula>"FAILᶻ"</formula>
    </cfRule>
    <cfRule type="cellIs" dxfId="550" priority="2248" stopIfTrue="1" operator="equal">
      <formula>"FAIL"</formula>
    </cfRule>
  </conditionalFormatting>
  <conditionalFormatting sqref="AL178">
    <cfRule type="cellIs" dxfId="549" priority="2245" operator="equal">
      <formula>3</formula>
    </cfRule>
    <cfRule type="cellIs" dxfId="548" priority="2246" operator="equal">
      <formula>4</formula>
    </cfRule>
  </conditionalFormatting>
  <conditionalFormatting sqref="D194">
    <cfRule type="expression" dxfId="547" priority="2131">
      <formula>$V194="FAILᶻ"</formula>
    </cfRule>
    <cfRule type="expression" dxfId="546" priority="2132">
      <formula>$V194="FAIL"</formula>
    </cfRule>
  </conditionalFormatting>
  <conditionalFormatting sqref="E194">
    <cfRule type="expression" dxfId="545" priority="2129">
      <formula>$G194="FAILᶻ"</formula>
    </cfRule>
    <cfRule type="expression" dxfId="544" priority="2130">
      <formula>$G194="FAIL"</formula>
    </cfRule>
  </conditionalFormatting>
  <conditionalFormatting sqref="D178">
    <cfRule type="expression" dxfId="543" priority="2235">
      <formula>$V178="FAILᶻ"</formula>
    </cfRule>
    <cfRule type="expression" dxfId="542" priority="2236">
      <formula>$V178="FAIL"</formula>
    </cfRule>
  </conditionalFormatting>
  <conditionalFormatting sqref="E178">
    <cfRule type="expression" dxfId="541" priority="2233">
      <formula>$G178="FAILᶻ"</formula>
    </cfRule>
    <cfRule type="expression" dxfId="540" priority="2234">
      <formula>$G178="FAIL"</formula>
    </cfRule>
  </conditionalFormatting>
  <conditionalFormatting sqref="D202">
    <cfRule type="expression" dxfId="539" priority="2123">
      <formula>$V202="FAILᶻ"</formula>
    </cfRule>
    <cfRule type="expression" dxfId="538" priority="2124">
      <formula>$V202="FAIL"</formula>
    </cfRule>
  </conditionalFormatting>
  <conditionalFormatting sqref="E202">
    <cfRule type="expression" dxfId="537" priority="2121">
      <formula>$G202="FAILᶻ"</formula>
    </cfRule>
    <cfRule type="expression" dxfId="536" priority="2122">
      <formula>$G202="FAIL"</formula>
    </cfRule>
  </conditionalFormatting>
  <conditionalFormatting sqref="D203">
    <cfRule type="expression" dxfId="535" priority="2119">
      <formula>$V203="FAILᶻ"</formula>
    </cfRule>
    <cfRule type="expression" dxfId="534" priority="2120">
      <formula>$V203="FAIL"</formula>
    </cfRule>
  </conditionalFormatting>
  <conditionalFormatting sqref="E203">
    <cfRule type="expression" dxfId="533" priority="2117">
      <formula>$G203="FAILᶻ"</formula>
    </cfRule>
    <cfRule type="expression" dxfId="532" priority="2118">
      <formula>$G203="FAIL"</formula>
    </cfRule>
  </conditionalFormatting>
  <conditionalFormatting sqref="D204">
    <cfRule type="expression" dxfId="531" priority="2115">
      <formula>$V204="FAILᶻ"</formula>
    </cfRule>
    <cfRule type="expression" dxfId="530" priority="2116">
      <formula>$V204="FAIL"</formula>
    </cfRule>
  </conditionalFormatting>
  <conditionalFormatting sqref="E204">
    <cfRule type="expression" dxfId="529" priority="2113">
      <formula>$G204="FAILᶻ"</formula>
    </cfRule>
    <cfRule type="expression" dxfId="528" priority="2114">
      <formula>$G204="FAIL"</formula>
    </cfRule>
  </conditionalFormatting>
  <conditionalFormatting sqref="D314">
    <cfRule type="expression" dxfId="527" priority="2219">
      <formula>$V314="FAILᶻ"</formula>
    </cfRule>
    <cfRule type="expression" dxfId="526" priority="2220">
      <formula>$V314="FAIL"</formula>
    </cfRule>
  </conditionalFormatting>
  <conditionalFormatting sqref="E314">
    <cfRule type="expression" dxfId="525" priority="2217">
      <formula>$G314="FAILᶻ"</formula>
    </cfRule>
    <cfRule type="expression" dxfId="524" priority="2218">
      <formula>$G314="FAIL"</formula>
    </cfRule>
  </conditionalFormatting>
  <conditionalFormatting sqref="G179:G185">
    <cfRule type="cellIs" dxfId="523" priority="2215" operator="equal">
      <formula>"FAILᶻ"</formula>
    </cfRule>
    <cfRule type="cellIs" dxfId="522" priority="2216" stopIfTrue="1" operator="equal">
      <formula>"FAIL"</formula>
    </cfRule>
  </conditionalFormatting>
  <conditionalFormatting sqref="AL179:AL185 AM179:AT187 AV179:BB187">
    <cfRule type="cellIs" dxfId="521" priority="2213" operator="equal">
      <formula>3</formula>
    </cfRule>
    <cfRule type="cellIs" dxfId="520" priority="2214" operator="equal">
      <formula>4</formula>
    </cfRule>
  </conditionalFormatting>
  <conditionalFormatting sqref="D182">
    <cfRule type="expression" dxfId="519" priority="2211">
      <formula>$V182="FAILᶻ"</formula>
    </cfRule>
    <cfRule type="expression" dxfId="518" priority="2212">
      <formula>$V182="FAIL"</formula>
    </cfRule>
  </conditionalFormatting>
  <conditionalFormatting sqref="E182">
    <cfRule type="expression" dxfId="517" priority="2209">
      <formula>$G182="FAILᶻ"</formula>
    </cfRule>
    <cfRule type="expression" dxfId="516" priority="2210">
      <formula>$G182="FAIL"</formula>
    </cfRule>
  </conditionalFormatting>
  <conditionalFormatting sqref="D183">
    <cfRule type="expression" dxfId="515" priority="2207">
      <formula>$V183="FAILᶻ"</formula>
    </cfRule>
    <cfRule type="expression" dxfId="514" priority="2208">
      <formula>$V183="FAIL"</formula>
    </cfRule>
  </conditionalFormatting>
  <conditionalFormatting sqref="E183">
    <cfRule type="expression" dxfId="513" priority="2205">
      <formula>$G183="FAILᶻ"</formula>
    </cfRule>
    <cfRule type="expression" dxfId="512" priority="2206">
      <formula>$G183="FAIL"</formula>
    </cfRule>
  </conditionalFormatting>
  <conditionalFormatting sqref="D184">
    <cfRule type="expression" dxfId="511" priority="2203">
      <formula>$V184="FAILᶻ"</formula>
    </cfRule>
    <cfRule type="expression" dxfId="510" priority="2204">
      <formula>$V184="FAIL"</formula>
    </cfRule>
  </conditionalFormatting>
  <conditionalFormatting sqref="E184">
    <cfRule type="expression" dxfId="509" priority="2201">
      <formula>$G184="FAILᶻ"</formula>
    </cfRule>
    <cfRule type="expression" dxfId="508" priority="2202">
      <formula>$G184="FAIL"</formula>
    </cfRule>
  </conditionalFormatting>
  <conditionalFormatting sqref="D185">
    <cfRule type="expression" dxfId="507" priority="2199">
      <formula>$V185="FAILᶻ"</formula>
    </cfRule>
    <cfRule type="expression" dxfId="506" priority="2200">
      <formula>$V185="FAIL"</formula>
    </cfRule>
  </conditionalFormatting>
  <conditionalFormatting sqref="E185">
    <cfRule type="expression" dxfId="505" priority="2197">
      <formula>$G185="FAILᶻ"</formula>
    </cfRule>
    <cfRule type="expression" dxfId="504" priority="2198">
      <formula>$G185="FAIL"</formula>
    </cfRule>
  </conditionalFormatting>
  <conditionalFormatting sqref="D181">
    <cfRule type="expression" dxfId="503" priority="2191">
      <formula>$V181="FAILᶻ"</formula>
    </cfRule>
    <cfRule type="expression" dxfId="502" priority="2192">
      <formula>$V181="FAIL"</formula>
    </cfRule>
  </conditionalFormatting>
  <conditionalFormatting sqref="E181">
    <cfRule type="expression" dxfId="501" priority="2189">
      <formula>$G181="FAILᶻ"</formula>
    </cfRule>
    <cfRule type="expression" dxfId="500" priority="2190">
      <formula>$G181="FAIL"</formula>
    </cfRule>
  </conditionalFormatting>
  <conditionalFormatting sqref="G186:G187">
    <cfRule type="cellIs" dxfId="499" priority="2187" operator="equal">
      <formula>"FAILᶻ"</formula>
    </cfRule>
    <cfRule type="cellIs" dxfId="498" priority="2188" stopIfTrue="1" operator="equal">
      <formula>"FAIL"</formula>
    </cfRule>
  </conditionalFormatting>
  <conditionalFormatting sqref="AL186:AL187">
    <cfRule type="cellIs" dxfId="497" priority="2185" operator="equal">
      <formula>3</formula>
    </cfRule>
    <cfRule type="cellIs" dxfId="496" priority="2186" operator="equal">
      <formula>4</formula>
    </cfRule>
  </conditionalFormatting>
  <conditionalFormatting sqref="D210">
    <cfRule type="expression" dxfId="495" priority="2083">
      <formula>$V210="FAILᶻ"</formula>
    </cfRule>
    <cfRule type="expression" dxfId="494" priority="2084">
      <formula>$V210="FAIL"</formula>
    </cfRule>
  </conditionalFormatting>
  <conditionalFormatting sqref="E210">
    <cfRule type="expression" dxfId="493" priority="2081">
      <formula>$G210="FAILᶻ"</formula>
    </cfRule>
    <cfRule type="expression" dxfId="492" priority="2082">
      <formula>$G210="FAIL"</formula>
    </cfRule>
  </conditionalFormatting>
  <conditionalFormatting sqref="D211">
    <cfRule type="expression" dxfId="491" priority="2079">
      <formula>$V211="FAILᶻ"</formula>
    </cfRule>
    <cfRule type="expression" dxfId="490" priority="2080">
      <formula>$V211="FAIL"</formula>
    </cfRule>
  </conditionalFormatting>
  <conditionalFormatting sqref="E211">
    <cfRule type="expression" dxfId="489" priority="2077">
      <formula>$G211="FAILᶻ"</formula>
    </cfRule>
    <cfRule type="expression" dxfId="488" priority="2078">
      <formula>$G211="FAIL"</formula>
    </cfRule>
  </conditionalFormatting>
  <conditionalFormatting sqref="D186">
    <cfRule type="expression" dxfId="487" priority="2171">
      <formula>$V186="FAILᶻ"</formula>
    </cfRule>
    <cfRule type="expression" dxfId="486" priority="2172">
      <formula>$V186="FAIL"</formula>
    </cfRule>
  </conditionalFormatting>
  <conditionalFormatting sqref="E186">
    <cfRule type="expression" dxfId="485" priority="2169">
      <formula>$G186="FAILᶻ"</formula>
    </cfRule>
    <cfRule type="expression" dxfId="484" priority="2170">
      <formula>$G186="FAIL"</formula>
    </cfRule>
  </conditionalFormatting>
  <conditionalFormatting sqref="D187">
    <cfRule type="expression" dxfId="483" priority="2167">
      <formula>$V187="FAILᶻ"</formula>
    </cfRule>
    <cfRule type="expression" dxfId="482" priority="2168">
      <formula>$V187="FAIL"</formula>
    </cfRule>
  </conditionalFormatting>
  <conditionalFormatting sqref="E187">
    <cfRule type="expression" dxfId="481" priority="2165">
      <formula>$G187="FAILᶻ"</formula>
    </cfRule>
    <cfRule type="expression" dxfId="480" priority="2166">
      <formula>$G187="FAIL"</formula>
    </cfRule>
  </conditionalFormatting>
  <conditionalFormatting sqref="D179">
    <cfRule type="expression" dxfId="479" priority="2159">
      <formula>$V179="FAILᶻ"</formula>
    </cfRule>
    <cfRule type="expression" dxfId="478" priority="2160">
      <formula>$V179="FAIL"</formula>
    </cfRule>
  </conditionalFormatting>
  <conditionalFormatting sqref="E179">
    <cfRule type="expression" dxfId="477" priority="2157">
      <formula>$G179="FAILᶻ"</formula>
    </cfRule>
    <cfRule type="expression" dxfId="476" priority="2158">
      <formula>$G179="FAIL"</formula>
    </cfRule>
  </conditionalFormatting>
  <conditionalFormatting sqref="G194:G196">
    <cfRule type="cellIs" dxfId="475" priority="2155" operator="equal">
      <formula>"FAILᶻ"</formula>
    </cfRule>
    <cfRule type="cellIs" dxfId="474" priority="2156" stopIfTrue="1" operator="equal">
      <formula>"FAIL"</formula>
    </cfRule>
  </conditionalFormatting>
  <conditionalFormatting sqref="AL194:AT196 AV194:BB196 AV202:BB204 AM202:AT204">
    <cfRule type="cellIs" dxfId="473" priority="2153" operator="equal">
      <formula>3</formula>
    </cfRule>
    <cfRule type="cellIs" dxfId="472" priority="2154" operator="equal">
      <formula>4</formula>
    </cfRule>
  </conditionalFormatting>
  <conditionalFormatting sqref="D195">
    <cfRule type="expression" dxfId="471" priority="2151">
      <formula>$V195="FAILᶻ"</formula>
    </cfRule>
    <cfRule type="expression" dxfId="470" priority="2152">
      <formula>$V195="FAIL"</formula>
    </cfRule>
  </conditionalFormatting>
  <conditionalFormatting sqref="E195">
    <cfRule type="expression" dxfId="469" priority="2149">
      <formula>$G195="FAILᶻ"</formula>
    </cfRule>
    <cfRule type="expression" dxfId="468" priority="2150">
      <formula>$G195="FAIL"</formula>
    </cfRule>
  </conditionalFormatting>
  <conditionalFormatting sqref="D196">
    <cfRule type="expression" dxfId="467" priority="2147">
      <formula>$V196="FAILᶻ"</formula>
    </cfRule>
    <cfRule type="expression" dxfId="466" priority="2148">
      <formula>$V196="FAIL"</formula>
    </cfRule>
  </conditionalFormatting>
  <conditionalFormatting sqref="E196">
    <cfRule type="expression" dxfId="465" priority="2145">
      <formula>$G196="FAILᶻ"</formula>
    </cfRule>
    <cfRule type="expression" dxfId="464" priority="2146">
      <formula>$G196="FAIL"</formula>
    </cfRule>
  </conditionalFormatting>
  <conditionalFormatting sqref="G202:G204">
    <cfRule type="cellIs" dxfId="463" priority="2127" operator="equal">
      <formula>"FAILᶻ"</formula>
    </cfRule>
    <cfRule type="cellIs" dxfId="462" priority="2128" stopIfTrue="1" operator="equal">
      <formula>"FAIL"</formula>
    </cfRule>
  </conditionalFormatting>
  <conditionalFormatting sqref="AL202:AL204">
    <cfRule type="cellIs" dxfId="461" priority="2125" operator="equal">
      <formula>3</formula>
    </cfRule>
    <cfRule type="cellIs" dxfId="460" priority="2126" operator="equal">
      <formula>4</formula>
    </cfRule>
  </conditionalFormatting>
  <conditionalFormatting sqref="D228">
    <cfRule type="expression" dxfId="459" priority="2003">
      <formula>$V228="FAILᶻ"</formula>
    </cfRule>
    <cfRule type="expression" dxfId="458" priority="2004">
      <formula>$V228="FAIL"</formula>
    </cfRule>
  </conditionalFormatting>
  <conditionalFormatting sqref="E228">
    <cfRule type="expression" dxfId="457" priority="2001">
      <formula>$G228="FAILᶻ"</formula>
    </cfRule>
    <cfRule type="expression" dxfId="456" priority="2002">
      <formula>$G228="FAIL"</formula>
    </cfRule>
  </conditionalFormatting>
  <conditionalFormatting sqref="G210:G211">
    <cfRule type="cellIs" dxfId="455" priority="2095" operator="equal">
      <formula>"FAILᶻ"</formula>
    </cfRule>
    <cfRule type="cellIs" dxfId="454" priority="2096" stopIfTrue="1" operator="equal">
      <formula>"FAIL"</formula>
    </cfRule>
  </conditionalFormatting>
  <conditionalFormatting sqref="AL210:AL211 AM210:AT212 AV210:BB212">
    <cfRule type="cellIs" dxfId="453" priority="2093" operator="equal">
      <formula>3</formula>
    </cfRule>
    <cfRule type="cellIs" dxfId="452" priority="2094" operator="equal">
      <formula>4</formula>
    </cfRule>
  </conditionalFormatting>
  <conditionalFormatting sqref="D226">
    <cfRule type="expression" dxfId="451" priority="1987">
      <formula>$V226="FAILᶻ"</formula>
    </cfRule>
    <cfRule type="expression" dxfId="450" priority="1988">
      <formula>$V226="FAIL"</formula>
    </cfRule>
  </conditionalFormatting>
  <conditionalFormatting sqref="E226">
    <cfRule type="expression" dxfId="449" priority="1985">
      <formula>$G226="FAILᶻ"</formula>
    </cfRule>
    <cfRule type="expression" dxfId="448" priority="1986">
      <formula>$G226="FAIL"</formula>
    </cfRule>
  </conditionalFormatting>
  <conditionalFormatting sqref="G212">
    <cfRule type="cellIs" dxfId="447" priority="2067" operator="equal">
      <formula>"FAILᶻ"</formula>
    </cfRule>
    <cfRule type="cellIs" dxfId="446" priority="2068" stopIfTrue="1" operator="equal">
      <formula>"FAIL"</formula>
    </cfRule>
  </conditionalFormatting>
  <conditionalFormatting sqref="AL212">
    <cfRule type="cellIs" dxfId="445" priority="2065" operator="equal">
      <formula>3</formula>
    </cfRule>
    <cfRule type="cellIs" dxfId="444" priority="2066" operator="equal">
      <formula>4</formula>
    </cfRule>
  </conditionalFormatting>
  <conditionalFormatting sqref="D212">
    <cfRule type="expression" dxfId="443" priority="2051">
      <formula>$V212="FAILᶻ"</formula>
    </cfRule>
    <cfRule type="expression" dxfId="442" priority="2052">
      <formula>$V212="FAIL"</formula>
    </cfRule>
  </conditionalFormatting>
  <conditionalFormatting sqref="E212">
    <cfRule type="expression" dxfId="441" priority="2049">
      <formula>$G212="FAILᶻ"</formula>
    </cfRule>
    <cfRule type="expression" dxfId="440" priority="2050">
      <formula>$G212="FAIL"</formula>
    </cfRule>
  </conditionalFormatting>
  <conditionalFormatting sqref="G218:G220">
    <cfRule type="cellIs" dxfId="439" priority="2035" operator="equal">
      <formula>"FAILᶻ"</formula>
    </cfRule>
    <cfRule type="cellIs" dxfId="438" priority="2036" stopIfTrue="1" operator="equal">
      <formula>"FAIL"</formula>
    </cfRule>
  </conditionalFormatting>
  <conditionalFormatting sqref="AL218:AT220 AV218:BB220 AV226:BB228 AM226:AT228">
    <cfRule type="cellIs" dxfId="437" priority="2033" operator="equal">
      <formula>3</formula>
    </cfRule>
    <cfRule type="cellIs" dxfId="436" priority="2034" operator="equal">
      <formula>4</formula>
    </cfRule>
  </conditionalFormatting>
  <conditionalFormatting sqref="D219">
    <cfRule type="expression" dxfId="435" priority="2015">
      <formula>$V219="FAILᶻ"</formula>
    </cfRule>
    <cfRule type="expression" dxfId="434" priority="2016">
      <formula>$V219="FAIL"</formula>
    </cfRule>
  </conditionalFormatting>
  <conditionalFormatting sqref="E219">
    <cfRule type="expression" dxfId="433" priority="2013">
      <formula>$G219="FAILᶻ"</formula>
    </cfRule>
    <cfRule type="expression" dxfId="432" priority="2014">
      <formula>$G219="FAIL"</formula>
    </cfRule>
  </conditionalFormatting>
  <conditionalFormatting sqref="D220">
    <cfRule type="expression" dxfId="431" priority="2011">
      <formula>$V220="FAILᶻ"</formula>
    </cfRule>
    <cfRule type="expression" dxfId="430" priority="2012">
      <formula>$V220="FAIL"</formula>
    </cfRule>
  </conditionalFormatting>
  <conditionalFormatting sqref="E220">
    <cfRule type="expression" dxfId="429" priority="2009">
      <formula>$G220="FAILᶻ"</formula>
    </cfRule>
    <cfRule type="expression" dxfId="428" priority="2010">
      <formula>$G220="FAIL"</formula>
    </cfRule>
  </conditionalFormatting>
  <conditionalFormatting sqref="G226:G228">
    <cfRule type="cellIs" dxfId="427" priority="2007" operator="equal">
      <formula>"FAILᶻ"</formula>
    </cfRule>
    <cfRule type="cellIs" dxfId="426" priority="2008" stopIfTrue="1" operator="equal">
      <formula>"FAIL"</formula>
    </cfRule>
  </conditionalFormatting>
  <conditionalFormatting sqref="AL226:AL228">
    <cfRule type="cellIs" dxfId="425" priority="2005" operator="equal">
      <formula>3</formula>
    </cfRule>
    <cfRule type="cellIs" dxfId="424" priority="2006" operator="equal">
      <formula>4</formula>
    </cfRule>
  </conditionalFormatting>
  <conditionalFormatting sqref="D227">
    <cfRule type="expression" dxfId="423" priority="1983">
      <formula>$V227="FAILᶻ"</formula>
    </cfRule>
    <cfRule type="expression" dxfId="422" priority="1984">
      <formula>$V227="FAIL"</formula>
    </cfRule>
  </conditionalFormatting>
  <conditionalFormatting sqref="E227">
    <cfRule type="expression" dxfId="421" priority="1981">
      <formula>$G227="FAILᶻ"</formula>
    </cfRule>
    <cfRule type="expression" dxfId="420" priority="1982">
      <formula>$G227="FAIL"</formula>
    </cfRule>
  </conditionalFormatting>
  <conditionalFormatting sqref="D218">
    <cfRule type="expression" dxfId="419" priority="1979">
      <formula>$V218="FAILᶻ"</formula>
    </cfRule>
    <cfRule type="expression" dxfId="418" priority="1980">
      <formula>$V218="FAIL"</formula>
    </cfRule>
  </conditionalFormatting>
  <conditionalFormatting sqref="E218">
    <cfRule type="expression" dxfId="417" priority="1977">
      <formula>$G218="FAILᶻ"</formula>
    </cfRule>
    <cfRule type="expression" dxfId="416" priority="1978">
      <formula>$G218="FAIL"</formula>
    </cfRule>
  </conditionalFormatting>
  <conditionalFormatting sqref="G234:G236">
    <cfRule type="cellIs" dxfId="415" priority="1975" operator="equal">
      <formula>"FAILᶻ"</formula>
    </cfRule>
    <cfRule type="cellIs" dxfId="414" priority="1976" stopIfTrue="1" operator="equal">
      <formula>"FAIL"</formula>
    </cfRule>
  </conditionalFormatting>
  <conditionalFormatting sqref="AL234:AT236 AV234:BB236 AV242:BB243 AM242:AT243">
    <cfRule type="cellIs" dxfId="413" priority="1973" operator="equal">
      <formula>3</formula>
    </cfRule>
    <cfRule type="cellIs" dxfId="412" priority="1974" operator="equal">
      <formula>4</formula>
    </cfRule>
  </conditionalFormatting>
  <conditionalFormatting sqref="D234">
    <cfRule type="expression" dxfId="411" priority="1971">
      <formula>$V234="FAILᶻ"</formula>
    </cfRule>
    <cfRule type="expression" dxfId="410" priority="1972">
      <formula>$V234="FAIL"</formula>
    </cfRule>
  </conditionalFormatting>
  <conditionalFormatting sqref="E234">
    <cfRule type="expression" dxfId="409" priority="1969">
      <formula>$G234="FAILᶻ"</formula>
    </cfRule>
    <cfRule type="expression" dxfId="408" priority="1970">
      <formula>$G234="FAIL"</formula>
    </cfRule>
  </conditionalFormatting>
  <conditionalFormatting sqref="D235">
    <cfRule type="expression" dxfId="407" priority="1967">
      <formula>$V235="FAILᶻ"</formula>
    </cfRule>
    <cfRule type="expression" dxfId="406" priority="1968">
      <formula>$V235="FAIL"</formula>
    </cfRule>
  </conditionalFormatting>
  <conditionalFormatting sqref="E235">
    <cfRule type="expression" dxfId="405" priority="1965">
      <formula>$G235="FAILᶻ"</formula>
    </cfRule>
    <cfRule type="expression" dxfId="404" priority="1966">
      <formula>$G235="FAIL"</formula>
    </cfRule>
  </conditionalFormatting>
  <conditionalFormatting sqref="D236">
    <cfRule type="expression" dxfId="403" priority="1963">
      <formula>$V236="FAILᶻ"</formula>
    </cfRule>
    <cfRule type="expression" dxfId="402" priority="1964">
      <formula>$V236="FAIL"</formula>
    </cfRule>
  </conditionalFormatting>
  <conditionalFormatting sqref="E236">
    <cfRule type="expression" dxfId="401" priority="1961">
      <formula>$G236="FAILᶻ"</formula>
    </cfRule>
    <cfRule type="expression" dxfId="400" priority="1962">
      <formula>$G236="FAIL"</formula>
    </cfRule>
  </conditionalFormatting>
  <conditionalFormatting sqref="D250">
    <cfRule type="expression" dxfId="399" priority="1899">
      <formula>$V250="FAILᶻ"</formula>
    </cfRule>
    <cfRule type="expression" dxfId="398" priority="1900">
      <formula>$V250="FAIL"</formula>
    </cfRule>
  </conditionalFormatting>
  <conditionalFormatting sqref="E250">
    <cfRule type="expression" dxfId="397" priority="1897">
      <formula>$G250="FAILᶻ"</formula>
    </cfRule>
    <cfRule type="expression" dxfId="396" priority="1898">
      <formula>$G250="FAIL"</formula>
    </cfRule>
  </conditionalFormatting>
  <conditionalFormatting sqref="G242:G243">
    <cfRule type="cellIs" dxfId="395" priority="1947" operator="equal">
      <formula>"FAILᶻ"</formula>
    </cfRule>
    <cfRule type="cellIs" dxfId="394" priority="1948" stopIfTrue="1" operator="equal">
      <formula>"FAIL"</formula>
    </cfRule>
  </conditionalFormatting>
  <conditionalFormatting sqref="AL242:AL243">
    <cfRule type="cellIs" dxfId="393" priority="1945" operator="equal">
      <formula>3</formula>
    </cfRule>
    <cfRule type="cellIs" dxfId="392" priority="1946" operator="equal">
      <formula>4</formula>
    </cfRule>
  </conditionalFormatting>
  <conditionalFormatting sqref="D242">
    <cfRule type="expression" dxfId="391" priority="1939">
      <formula>$V242="FAILᶻ"</formula>
    </cfRule>
    <cfRule type="expression" dxfId="390" priority="1940">
      <formula>$V242="FAIL"</formula>
    </cfRule>
  </conditionalFormatting>
  <conditionalFormatting sqref="E242">
    <cfRule type="expression" dxfId="389" priority="1937">
      <formula>$G242="FAILᶻ"</formula>
    </cfRule>
    <cfRule type="expression" dxfId="388" priority="1938">
      <formula>$G242="FAIL"</formula>
    </cfRule>
  </conditionalFormatting>
  <conditionalFormatting sqref="D243">
    <cfRule type="expression" dxfId="387" priority="1935">
      <formula>$V243="FAILᶻ"</formula>
    </cfRule>
    <cfRule type="expression" dxfId="386" priority="1936">
      <formula>$V243="FAIL"</formula>
    </cfRule>
  </conditionalFormatting>
  <conditionalFormatting sqref="E243">
    <cfRule type="expression" dxfId="385" priority="1933">
      <formula>$G243="FAILᶻ"</formula>
    </cfRule>
    <cfRule type="expression" dxfId="384" priority="1934">
      <formula>$G243="FAIL"</formula>
    </cfRule>
  </conditionalFormatting>
  <conditionalFormatting sqref="D251">
    <cfRule type="expression" dxfId="383" priority="1871">
      <formula>$V251="FAILᶻ"</formula>
    </cfRule>
    <cfRule type="expression" dxfId="382" priority="1872">
      <formula>$V251="FAIL"</formula>
    </cfRule>
  </conditionalFormatting>
  <conditionalFormatting sqref="E251">
    <cfRule type="expression" dxfId="381" priority="1869">
      <formula>$G251="FAILᶻ"</formula>
    </cfRule>
    <cfRule type="expression" dxfId="380" priority="1870">
      <formula>$G251="FAIL"</formula>
    </cfRule>
  </conditionalFormatting>
  <conditionalFormatting sqref="D252">
    <cfRule type="expression" dxfId="379" priority="1867">
      <formula>$V252="FAILᶻ"</formula>
    </cfRule>
    <cfRule type="expression" dxfId="378" priority="1868">
      <formula>$V252="FAIL"</formula>
    </cfRule>
  </conditionalFormatting>
  <conditionalFormatting sqref="E252">
    <cfRule type="expression" dxfId="377" priority="1865">
      <formula>$G252="FAILᶻ"</formula>
    </cfRule>
    <cfRule type="expression" dxfId="376" priority="1866">
      <formula>$G252="FAIL"</formula>
    </cfRule>
  </conditionalFormatting>
  <conditionalFormatting sqref="G244 G250">
    <cfRule type="cellIs" dxfId="375" priority="1915" operator="equal">
      <formula>"FAILᶻ"</formula>
    </cfRule>
    <cfRule type="cellIs" dxfId="374" priority="1916" stopIfTrue="1" operator="equal">
      <formula>"FAIL"</formula>
    </cfRule>
  </conditionalFormatting>
  <conditionalFormatting sqref="AL244:AT244 AV244:BB244 AV250:BB252 AM250:AT252 AL250">
    <cfRule type="cellIs" dxfId="373" priority="1913" operator="equal">
      <formula>3</formula>
    </cfRule>
    <cfRule type="cellIs" dxfId="372" priority="1914" operator="equal">
      <formula>4</formula>
    </cfRule>
  </conditionalFormatting>
  <conditionalFormatting sqref="G251:G252">
    <cfRule type="cellIs" dxfId="371" priority="1887" operator="equal">
      <formula>"FAILᶻ"</formula>
    </cfRule>
    <cfRule type="cellIs" dxfId="370" priority="1888" stopIfTrue="1" operator="equal">
      <formula>"FAIL"</formula>
    </cfRule>
  </conditionalFormatting>
  <conditionalFormatting sqref="AL251:AL252">
    <cfRule type="cellIs" dxfId="369" priority="1885" operator="equal">
      <formula>3</formula>
    </cfRule>
    <cfRule type="cellIs" dxfId="368" priority="1886" operator="equal">
      <formula>4</formula>
    </cfRule>
  </conditionalFormatting>
  <conditionalFormatting sqref="D259">
    <cfRule type="expression" dxfId="367" priority="1831">
      <formula>$V259="FAILᶻ"</formula>
    </cfRule>
    <cfRule type="expression" dxfId="366" priority="1832">
      <formula>$V259="FAIL"</formula>
    </cfRule>
  </conditionalFormatting>
  <conditionalFormatting sqref="E259">
    <cfRule type="expression" dxfId="365" priority="1829">
      <formula>$G259="FAILᶻ"</formula>
    </cfRule>
    <cfRule type="expression" dxfId="364" priority="1830">
      <formula>$G259="FAIL"</formula>
    </cfRule>
  </conditionalFormatting>
  <conditionalFormatting sqref="D269">
    <cfRule type="expression" dxfId="363" priority="1815">
      <formula>$V269="FAILᶻ"</formula>
    </cfRule>
    <cfRule type="expression" dxfId="362" priority="1816">
      <formula>$V269="FAIL"</formula>
    </cfRule>
  </conditionalFormatting>
  <conditionalFormatting sqref="E269">
    <cfRule type="expression" dxfId="361" priority="1813">
      <formula>$G269="FAILᶻ"</formula>
    </cfRule>
    <cfRule type="expression" dxfId="360" priority="1814">
      <formula>$G269="FAIL"</formula>
    </cfRule>
  </conditionalFormatting>
  <conditionalFormatting sqref="D244">
    <cfRule type="expression" dxfId="359" priority="1859">
      <formula>$V244="FAILᶻ"</formula>
    </cfRule>
    <cfRule type="expression" dxfId="358" priority="1860">
      <formula>$V244="FAIL"</formula>
    </cfRule>
  </conditionalFormatting>
  <conditionalFormatting sqref="E244">
    <cfRule type="expression" dxfId="357" priority="1857">
      <formula>$G244="FAILᶻ"</formula>
    </cfRule>
    <cfRule type="expression" dxfId="356" priority="1858">
      <formula>$G244="FAIL"</formula>
    </cfRule>
  </conditionalFormatting>
  <conditionalFormatting sqref="G259:G262">
    <cfRule type="cellIs" dxfId="355" priority="1855" operator="equal">
      <formula>"FAILᶻ"</formula>
    </cfRule>
    <cfRule type="cellIs" dxfId="354" priority="1856" stopIfTrue="1" operator="equal">
      <formula>"FAIL"</formula>
    </cfRule>
  </conditionalFormatting>
  <conditionalFormatting sqref="AL259:AT262 AV259:BB262 AV268:BB269 AM268:AT269">
    <cfRule type="cellIs" dxfId="353" priority="1853" operator="equal">
      <formula>3</formula>
    </cfRule>
    <cfRule type="cellIs" dxfId="352" priority="1854" operator="equal">
      <formula>4</formula>
    </cfRule>
  </conditionalFormatting>
  <conditionalFormatting sqref="D260">
    <cfRule type="expression" dxfId="351" priority="1851">
      <formula>$V260="FAILᶻ"</formula>
    </cfRule>
    <cfRule type="expression" dxfId="350" priority="1852">
      <formula>$V260="FAIL"</formula>
    </cfRule>
  </conditionalFormatting>
  <conditionalFormatting sqref="E260">
    <cfRule type="expression" dxfId="349" priority="1849">
      <formula>$G260="FAILᶻ"</formula>
    </cfRule>
    <cfRule type="expression" dxfId="348" priority="1850">
      <formula>$G260="FAIL"</formula>
    </cfRule>
  </conditionalFormatting>
  <conditionalFormatting sqref="D261">
    <cfRule type="expression" dxfId="347" priority="1847">
      <formula>$V261="FAILᶻ"</formula>
    </cfRule>
    <cfRule type="expression" dxfId="346" priority="1848">
      <formula>$V261="FAIL"</formula>
    </cfRule>
  </conditionalFormatting>
  <conditionalFormatting sqref="E261">
    <cfRule type="expression" dxfId="345" priority="1845">
      <formula>$G261="FAILᶻ"</formula>
    </cfRule>
    <cfRule type="expression" dxfId="344" priority="1846">
      <formula>$G261="FAIL"</formula>
    </cfRule>
  </conditionalFormatting>
  <conditionalFormatting sqref="D262">
    <cfRule type="expression" dxfId="343" priority="1843">
      <formula>$V262="FAILᶻ"</formula>
    </cfRule>
    <cfRule type="expression" dxfId="342" priority="1844">
      <formula>$V262="FAIL"</formula>
    </cfRule>
  </conditionalFormatting>
  <conditionalFormatting sqref="E262">
    <cfRule type="expression" dxfId="341" priority="1841">
      <formula>$G262="FAILᶻ"</formula>
    </cfRule>
    <cfRule type="expression" dxfId="340" priority="1842">
      <formula>$G262="FAIL"</formula>
    </cfRule>
  </conditionalFormatting>
  <conditionalFormatting sqref="G268:G269">
    <cfRule type="cellIs" dxfId="339" priority="1827" operator="equal">
      <formula>"FAILᶻ"</formula>
    </cfRule>
    <cfRule type="cellIs" dxfId="338" priority="1828" stopIfTrue="1" operator="equal">
      <formula>"FAIL"</formula>
    </cfRule>
  </conditionalFormatting>
  <conditionalFormatting sqref="AL268:AL269">
    <cfRule type="cellIs" dxfId="337" priority="1825" operator="equal">
      <formula>3</formula>
    </cfRule>
    <cfRule type="cellIs" dxfId="336" priority="1826" operator="equal">
      <formula>4</formula>
    </cfRule>
  </conditionalFormatting>
  <conditionalFormatting sqref="D268">
    <cfRule type="expression" dxfId="335" priority="1819">
      <formula>$V268="FAILᶻ"</formula>
    </cfRule>
    <cfRule type="expression" dxfId="334" priority="1820">
      <formula>$V268="FAIL"</formula>
    </cfRule>
  </conditionalFormatting>
  <conditionalFormatting sqref="E268">
    <cfRule type="expression" dxfId="333" priority="1817">
      <formula>$G268="FAILᶻ"</formula>
    </cfRule>
    <cfRule type="expression" dxfId="332" priority="1818">
      <formula>$G268="FAIL"</formula>
    </cfRule>
  </conditionalFormatting>
  <conditionalFormatting sqref="D277">
    <cfRule type="expression" dxfId="331" priority="1751">
      <formula>$V277="FAILᶻ"</formula>
    </cfRule>
    <cfRule type="expression" dxfId="330" priority="1752">
      <formula>$V277="FAIL"</formula>
    </cfRule>
  </conditionalFormatting>
  <conditionalFormatting sqref="E277">
    <cfRule type="expression" dxfId="329" priority="1749">
      <formula>$G277="FAILᶻ"</formula>
    </cfRule>
    <cfRule type="expression" dxfId="328" priority="1750">
      <formula>$G277="FAIL"</formula>
    </cfRule>
  </conditionalFormatting>
  <conditionalFormatting sqref="G270:G271">
    <cfRule type="cellIs" dxfId="327" priority="1795" operator="equal">
      <formula>"FAILᶻ"</formula>
    </cfRule>
    <cfRule type="cellIs" dxfId="326" priority="1796" stopIfTrue="1" operator="equal">
      <formula>"FAIL"</formula>
    </cfRule>
  </conditionalFormatting>
  <conditionalFormatting sqref="AL270:AT271 AV270:BB271 AV277:BB280 AM277:AT280">
    <cfRule type="cellIs" dxfId="325" priority="1793" operator="equal">
      <formula>3</formula>
    </cfRule>
    <cfRule type="cellIs" dxfId="324" priority="1794" operator="equal">
      <formula>4</formula>
    </cfRule>
  </conditionalFormatting>
  <conditionalFormatting sqref="D278">
    <cfRule type="expression" dxfId="323" priority="1747">
      <formula>$V278="FAILᶻ"</formula>
    </cfRule>
    <cfRule type="expression" dxfId="322" priority="1748">
      <formula>$V278="FAIL"</formula>
    </cfRule>
  </conditionalFormatting>
  <conditionalFormatting sqref="E278">
    <cfRule type="expression" dxfId="321" priority="1745">
      <formula>$G278="FAILᶻ"</formula>
    </cfRule>
    <cfRule type="expression" dxfId="320" priority="1746">
      <formula>$G278="FAIL"</formula>
    </cfRule>
  </conditionalFormatting>
  <conditionalFormatting sqref="D279">
    <cfRule type="expression" dxfId="319" priority="1743">
      <formula>$V279="FAILᶻ"</formula>
    </cfRule>
    <cfRule type="expression" dxfId="318" priority="1744">
      <formula>$V279="FAIL"</formula>
    </cfRule>
  </conditionalFormatting>
  <conditionalFormatting sqref="E279">
    <cfRule type="expression" dxfId="317" priority="1741">
      <formula>$G279="FAILᶻ"</formula>
    </cfRule>
    <cfRule type="expression" dxfId="316" priority="1742">
      <formula>$G279="FAIL"</formula>
    </cfRule>
  </conditionalFormatting>
  <conditionalFormatting sqref="D271">
    <cfRule type="expression" dxfId="315" priority="1775">
      <formula>$V271="FAILᶻ"</formula>
    </cfRule>
    <cfRule type="expression" dxfId="314" priority="1776">
      <formula>$V271="FAIL"</formula>
    </cfRule>
  </conditionalFormatting>
  <conditionalFormatting sqref="E271">
    <cfRule type="expression" dxfId="313" priority="1773">
      <formula>$G271="FAILᶻ"</formula>
    </cfRule>
    <cfRule type="expression" dxfId="312" priority="1774">
      <formula>$G271="FAIL"</formula>
    </cfRule>
  </conditionalFormatting>
  <conditionalFormatting sqref="G277:G280">
    <cfRule type="cellIs" dxfId="311" priority="1767" operator="equal">
      <formula>"FAILᶻ"</formula>
    </cfRule>
    <cfRule type="cellIs" dxfId="310" priority="1768" stopIfTrue="1" operator="equal">
      <formula>"FAIL"</formula>
    </cfRule>
  </conditionalFormatting>
  <conditionalFormatting sqref="AL277:AL280">
    <cfRule type="cellIs" dxfId="309" priority="1765" operator="equal">
      <formula>3</formula>
    </cfRule>
    <cfRule type="cellIs" dxfId="308" priority="1766" operator="equal">
      <formula>4</formula>
    </cfRule>
  </conditionalFormatting>
  <conditionalFormatting sqref="D280">
    <cfRule type="expression" dxfId="307" priority="1763">
      <formula>$V280="FAILᶻ"</formula>
    </cfRule>
    <cfRule type="expression" dxfId="306" priority="1764">
      <formula>$V280="FAIL"</formula>
    </cfRule>
  </conditionalFormatting>
  <conditionalFormatting sqref="E280">
    <cfRule type="expression" dxfId="305" priority="1761">
      <formula>$G280="FAILᶻ"</formula>
    </cfRule>
    <cfRule type="expression" dxfId="304" priority="1762">
      <formula>$G280="FAIL"</formula>
    </cfRule>
  </conditionalFormatting>
  <conditionalFormatting sqref="D270">
    <cfRule type="expression" dxfId="303" priority="1739">
      <formula>$V270="FAILᶻ"</formula>
    </cfRule>
    <cfRule type="expression" dxfId="302" priority="1740">
      <formula>$V270="FAIL"</formula>
    </cfRule>
  </conditionalFormatting>
  <conditionalFormatting sqref="E270">
    <cfRule type="expression" dxfId="301" priority="1737">
      <formula>$G270="FAILᶻ"</formula>
    </cfRule>
    <cfRule type="expression" dxfId="300" priority="1738">
      <formula>$G270="FAIL"</formula>
    </cfRule>
  </conditionalFormatting>
  <conditionalFormatting sqref="G286:G289">
    <cfRule type="cellIs" dxfId="299" priority="1735" operator="equal">
      <formula>"FAILᶻ"</formula>
    </cfRule>
    <cfRule type="cellIs" dxfId="298" priority="1736" stopIfTrue="1" operator="equal">
      <formula>"FAIL"</formula>
    </cfRule>
  </conditionalFormatting>
  <conditionalFormatting sqref="AL286:AT289 AV286:BB289 AV295:BB295 AM295:AT295">
    <cfRule type="cellIs" dxfId="297" priority="1733" operator="equal">
      <formula>3</formula>
    </cfRule>
    <cfRule type="cellIs" dxfId="296" priority="1734" operator="equal">
      <formula>4</formula>
    </cfRule>
  </conditionalFormatting>
  <conditionalFormatting sqref="D286">
    <cfRule type="expression" dxfId="295" priority="1731">
      <formula>$V286="FAILᶻ"</formula>
    </cfRule>
    <cfRule type="expression" dxfId="294" priority="1732">
      <formula>$V286="FAIL"</formula>
    </cfRule>
  </conditionalFormatting>
  <conditionalFormatting sqref="E286">
    <cfRule type="expression" dxfId="293" priority="1729">
      <formula>$G286="FAILᶻ"</formula>
    </cfRule>
    <cfRule type="expression" dxfId="292" priority="1730">
      <formula>$G286="FAIL"</formula>
    </cfRule>
  </conditionalFormatting>
  <conditionalFormatting sqref="D287">
    <cfRule type="expression" dxfId="291" priority="1727">
      <formula>$V287="FAILᶻ"</formula>
    </cfRule>
    <cfRule type="expression" dxfId="290" priority="1728">
      <formula>$V287="FAIL"</formula>
    </cfRule>
  </conditionalFormatting>
  <conditionalFormatting sqref="E287">
    <cfRule type="expression" dxfId="289" priority="1725">
      <formula>$G287="FAILᶻ"</formula>
    </cfRule>
    <cfRule type="expression" dxfId="288" priority="1726">
      <formula>$G287="FAIL"</formula>
    </cfRule>
  </conditionalFormatting>
  <conditionalFormatting sqref="D288">
    <cfRule type="expression" dxfId="287" priority="1723">
      <formula>$V288="FAILᶻ"</formula>
    </cfRule>
    <cfRule type="expression" dxfId="286" priority="1724">
      <formula>$V288="FAIL"</formula>
    </cfRule>
  </conditionalFormatting>
  <conditionalFormatting sqref="E288">
    <cfRule type="expression" dxfId="285" priority="1721">
      <formula>$G288="FAILᶻ"</formula>
    </cfRule>
    <cfRule type="expression" dxfId="284" priority="1722">
      <formula>$G288="FAIL"</formula>
    </cfRule>
  </conditionalFormatting>
  <conditionalFormatting sqref="D289">
    <cfRule type="expression" dxfId="283" priority="1719">
      <formula>$V289="FAILᶻ"</formula>
    </cfRule>
    <cfRule type="expression" dxfId="282" priority="1720">
      <formula>$V289="FAIL"</formula>
    </cfRule>
  </conditionalFormatting>
  <conditionalFormatting sqref="E289">
    <cfRule type="expression" dxfId="281" priority="1717">
      <formula>$G289="FAILᶻ"</formula>
    </cfRule>
    <cfRule type="expression" dxfId="280" priority="1718">
      <formula>$G289="FAIL"</formula>
    </cfRule>
  </conditionalFormatting>
  <conditionalFormatting sqref="G295">
    <cfRule type="cellIs" dxfId="279" priority="1707" operator="equal">
      <formula>"FAILᶻ"</formula>
    </cfRule>
    <cfRule type="cellIs" dxfId="278" priority="1708" stopIfTrue="1" operator="equal">
      <formula>"FAIL"</formula>
    </cfRule>
  </conditionalFormatting>
  <conditionalFormatting sqref="AL295">
    <cfRule type="cellIs" dxfId="277" priority="1705" operator="equal">
      <formula>3</formula>
    </cfRule>
    <cfRule type="cellIs" dxfId="276" priority="1706" operator="equal">
      <formula>4</formula>
    </cfRule>
  </conditionalFormatting>
  <conditionalFormatting sqref="D295">
    <cfRule type="expression" dxfId="275" priority="1695">
      <formula>$V295="FAILᶻ"</formula>
    </cfRule>
    <cfRule type="expression" dxfId="274" priority="1696">
      <formula>$V295="FAIL"</formula>
    </cfRule>
  </conditionalFormatting>
  <conditionalFormatting sqref="E295">
    <cfRule type="expression" dxfId="273" priority="1693">
      <formula>$G295="FAILᶻ"</formula>
    </cfRule>
    <cfRule type="expression" dxfId="272" priority="1694">
      <formula>$G295="FAIL"</formula>
    </cfRule>
  </conditionalFormatting>
  <conditionalFormatting sqref="AM296:AT296 AV296:BB296">
    <cfRule type="cellIs" dxfId="271" priority="1675" operator="equal">
      <formula>3</formula>
    </cfRule>
    <cfRule type="cellIs" dxfId="270" priority="1676" operator="equal">
      <formula>4</formula>
    </cfRule>
  </conditionalFormatting>
  <conditionalFormatting sqref="G296">
    <cfRule type="cellIs" dxfId="269" priority="1673" operator="equal">
      <formula>"FAILᶻ"</formula>
    </cfRule>
    <cfRule type="cellIs" dxfId="268" priority="1674" stopIfTrue="1" operator="equal">
      <formula>"FAIL"</formula>
    </cfRule>
  </conditionalFormatting>
  <conditionalFormatting sqref="AL296">
    <cfRule type="cellIs" dxfId="267" priority="1671" operator="equal">
      <formula>3</formula>
    </cfRule>
    <cfRule type="cellIs" dxfId="266" priority="1672" operator="equal">
      <formula>4</formula>
    </cfRule>
  </conditionalFormatting>
  <conditionalFormatting sqref="D296">
    <cfRule type="expression" dxfId="265" priority="1669">
      <formula>$V296="FAILᶻ"</formula>
    </cfRule>
    <cfRule type="expression" dxfId="264" priority="1670">
      <formula>$V296="FAIL"</formula>
    </cfRule>
  </conditionalFormatting>
  <conditionalFormatting sqref="E296">
    <cfRule type="expression" dxfId="263" priority="1667">
      <formula>$G296="FAILᶻ"</formula>
    </cfRule>
    <cfRule type="expression" dxfId="262" priority="1668">
      <formula>$G296="FAIL"</formula>
    </cfRule>
  </conditionalFormatting>
  <conditionalFormatting sqref="G297:G298">
    <cfRule type="cellIs" dxfId="261" priority="1665" operator="equal">
      <formula>"FAILᶻ"</formula>
    </cfRule>
    <cfRule type="cellIs" dxfId="260" priority="1666" stopIfTrue="1" operator="equal">
      <formula>"FAIL"</formula>
    </cfRule>
  </conditionalFormatting>
  <conditionalFormatting sqref="AL297:AT298 AV297:BB298 AV304:BB307 AM304:AT307">
    <cfRule type="cellIs" dxfId="259" priority="1663" operator="equal">
      <formula>3</formula>
    </cfRule>
    <cfRule type="cellIs" dxfId="258" priority="1664" operator="equal">
      <formula>4</formula>
    </cfRule>
  </conditionalFormatting>
  <conditionalFormatting sqref="D298">
    <cfRule type="expression" dxfId="257" priority="1645">
      <formula>$V298="FAILᶻ"</formula>
    </cfRule>
    <cfRule type="expression" dxfId="256" priority="1646">
      <formula>$V298="FAIL"</formula>
    </cfRule>
  </conditionalFormatting>
  <conditionalFormatting sqref="E298">
    <cfRule type="expression" dxfId="255" priority="1643">
      <formula>$G298="FAILᶻ"</formula>
    </cfRule>
    <cfRule type="expression" dxfId="254" priority="1644">
      <formula>$G298="FAIL"</formula>
    </cfRule>
  </conditionalFormatting>
  <conditionalFormatting sqref="G304:G307">
    <cfRule type="cellIs" dxfId="253" priority="1637" operator="equal">
      <formula>"FAILᶻ"</formula>
    </cfRule>
    <cfRule type="cellIs" dxfId="252" priority="1638" stopIfTrue="1" operator="equal">
      <formula>"FAIL"</formula>
    </cfRule>
  </conditionalFormatting>
  <conditionalFormatting sqref="AL304:AL307">
    <cfRule type="cellIs" dxfId="251" priority="1635" operator="equal">
      <formula>3</formula>
    </cfRule>
    <cfRule type="cellIs" dxfId="250" priority="1636" operator="equal">
      <formula>4</formula>
    </cfRule>
  </conditionalFormatting>
  <conditionalFormatting sqref="D307">
    <cfRule type="expression" dxfId="249" priority="1633">
      <formula>$V307="FAILᶻ"</formula>
    </cfRule>
    <cfRule type="expression" dxfId="248" priority="1634">
      <formula>$V307="FAIL"</formula>
    </cfRule>
  </conditionalFormatting>
  <conditionalFormatting sqref="E307">
    <cfRule type="expression" dxfId="247" priority="1631">
      <formula>$G307="FAILᶻ"</formula>
    </cfRule>
    <cfRule type="expression" dxfId="246" priority="1632">
      <formula>$G307="FAIL"</formula>
    </cfRule>
  </conditionalFormatting>
  <conditionalFormatting sqref="D305">
    <cfRule type="expression" dxfId="245" priority="1617">
      <formula>$V305="FAILᶻ"</formula>
    </cfRule>
    <cfRule type="expression" dxfId="244" priority="1618">
      <formula>$V305="FAIL"</formula>
    </cfRule>
  </conditionalFormatting>
  <conditionalFormatting sqref="E305">
    <cfRule type="expression" dxfId="243" priority="1615">
      <formula>$G305="FAILᶻ"</formula>
    </cfRule>
    <cfRule type="expression" dxfId="242" priority="1616">
      <formula>$G305="FAIL"</formula>
    </cfRule>
  </conditionalFormatting>
  <conditionalFormatting sqref="D306">
    <cfRule type="expression" dxfId="241" priority="1613">
      <formula>$V306="FAILᶻ"</formula>
    </cfRule>
    <cfRule type="expression" dxfId="240" priority="1614">
      <formula>$V306="FAIL"</formula>
    </cfRule>
  </conditionalFormatting>
  <conditionalFormatting sqref="E306">
    <cfRule type="expression" dxfId="239" priority="1611">
      <formula>$G306="FAILᶻ"</formula>
    </cfRule>
    <cfRule type="expression" dxfId="238" priority="1612">
      <formula>$G306="FAIL"</formula>
    </cfRule>
  </conditionalFormatting>
  <conditionalFormatting sqref="D304">
    <cfRule type="expression" dxfId="237" priority="1621">
      <formula>$V304="FAILᶻ"</formula>
    </cfRule>
    <cfRule type="expression" dxfId="236" priority="1622">
      <formula>$V304="FAIL"</formula>
    </cfRule>
  </conditionalFormatting>
  <conditionalFormatting sqref="E304">
    <cfRule type="expression" dxfId="235" priority="1619">
      <formula>$G304="FAILᶻ"</formula>
    </cfRule>
    <cfRule type="expression" dxfId="234" priority="1620">
      <formula>$G304="FAIL"</formula>
    </cfRule>
  </conditionalFormatting>
  <conditionalFormatting sqref="D297">
    <cfRule type="expression" dxfId="233" priority="1609">
      <formula>$V297="FAILᶻ"</formula>
    </cfRule>
    <cfRule type="expression" dxfId="232" priority="1610">
      <formula>$V297="FAIL"</formula>
    </cfRule>
  </conditionalFormatting>
  <conditionalFormatting sqref="E297">
    <cfRule type="expression" dxfId="231" priority="1607">
      <formula>$G297="FAILᶻ"</formula>
    </cfRule>
    <cfRule type="expression" dxfId="230" priority="1608">
      <formula>$G297="FAIL"</formula>
    </cfRule>
  </conditionalFormatting>
  <conditionalFormatting sqref="AM313:AT313 AV313:BB313">
    <cfRule type="cellIs" dxfId="229" priority="1605" operator="equal">
      <formula>3</formula>
    </cfRule>
    <cfRule type="cellIs" dxfId="228" priority="1606" operator="equal">
      <formula>4</formula>
    </cfRule>
  </conditionalFormatting>
  <conditionalFormatting sqref="G313">
    <cfRule type="cellIs" dxfId="227" priority="1603" operator="equal">
      <formula>"FAILᶻ"</formula>
    </cfRule>
    <cfRule type="cellIs" dxfId="226" priority="1604" stopIfTrue="1" operator="equal">
      <formula>"FAIL"</formula>
    </cfRule>
  </conditionalFormatting>
  <conditionalFormatting sqref="AL313">
    <cfRule type="cellIs" dxfId="225" priority="1601" operator="equal">
      <formula>3</formula>
    </cfRule>
    <cfRule type="cellIs" dxfId="224" priority="1602" operator="equal">
      <formula>4</formula>
    </cfRule>
  </conditionalFormatting>
  <conditionalFormatting sqref="D313">
    <cfRule type="expression" dxfId="223" priority="1591">
      <formula>$V313="FAILᶻ"</formula>
    </cfRule>
    <cfRule type="expression" dxfId="222" priority="1592">
      <formula>$V313="FAIL"</formula>
    </cfRule>
  </conditionalFormatting>
  <conditionalFormatting sqref="E313">
    <cfRule type="expression" dxfId="221" priority="1589">
      <formula>$G313="FAILᶻ"</formula>
    </cfRule>
    <cfRule type="expression" dxfId="220" priority="1590">
      <formula>$G313="FAIL"</formula>
    </cfRule>
  </conditionalFormatting>
  <conditionalFormatting sqref="G315">
    <cfRule type="cellIs" dxfId="219" priority="1583" operator="equal">
      <formula>"FAILᶻ"</formula>
    </cfRule>
    <cfRule type="cellIs" dxfId="218" priority="1584" stopIfTrue="1" operator="equal">
      <formula>"FAIL"</formula>
    </cfRule>
  </conditionalFormatting>
  <conditionalFormatting sqref="AL315:AT315 AV315:BB315 AV321:BB322 AM321:AT322">
    <cfRule type="cellIs" dxfId="217" priority="1581" operator="equal">
      <formula>3</formula>
    </cfRule>
    <cfRule type="cellIs" dxfId="216" priority="1582" operator="equal">
      <formula>4</formula>
    </cfRule>
  </conditionalFormatting>
  <conditionalFormatting sqref="D315">
    <cfRule type="expression" dxfId="215" priority="1579">
      <formula>$V315="FAILᶻ"</formula>
    </cfRule>
    <cfRule type="expression" dxfId="214" priority="1580">
      <formula>$V315="FAIL"</formula>
    </cfRule>
  </conditionalFormatting>
  <conditionalFormatting sqref="E315">
    <cfRule type="expression" dxfId="213" priority="1577">
      <formula>$G315="FAILᶻ"</formula>
    </cfRule>
    <cfRule type="expression" dxfId="212" priority="1578">
      <formula>$G315="FAIL"</formula>
    </cfRule>
  </conditionalFormatting>
  <conditionalFormatting sqref="G321:G322">
    <cfRule type="cellIs" dxfId="211" priority="1563" operator="equal">
      <formula>"FAILᶻ"</formula>
    </cfRule>
    <cfRule type="cellIs" dxfId="210" priority="1564" stopIfTrue="1" operator="equal">
      <formula>"FAIL"</formula>
    </cfRule>
  </conditionalFormatting>
  <conditionalFormatting sqref="AL321:AL322">
    <cfRule type="cellIs" dxfId="209" priority="1561" operator="equal">
      <formula>3</formula>
    </cfRule>
    <cfRule type="cellIs" dxfId="208" priority="1562" operator="equal">
      <formula>4</formula>
    </cfRule>
  </conditionalFormatting>
  <conditionalFormatting sqref="D322">
    <cfRule type="expression" dxfId="207" priority="1559">
      <formula>$V322="FAILᶻ"</formula>
    </cfRule>
    <cfRule type="expression" dxfId="206" priority="1560">
      <formula>$V322="FAIL"</formula>
    </cfRule>
  </conditionalFormatting>
  <conditionalFormatting sqref="E322">
    <cfRule type="expression" dxfId="205" priority="1557">
      <formula>$G322="FAILᶻ"</formula>
    </cfRule>
    <cfRule type="expression" dxfId="204" priority="1558">
      <formula>$G322="FAIL"</formula>
    </cfRule>
  </conditionalFormatting>
  <conditionalFormatting sqref="D321">
    <cfRule type="expression" dxfId="203" priority="1539">
      <formula>$V321="FAILᶻ"</formula>
    </cfRule>
    <cfRule type="expression" dxfId="202" priority="1540">
      <formula>$V321="FAIL"</formula>
    </cfRule>
  </conditionalFormatting>
  <conditionalFormatting sqref="E321">
    <cfRule type="expression" dxfId="201" priority="1537">
      <formula>$G321="FAILᶻ"</formula>
    </cfRule>
    <cfRule type="expression" dxfId="200" priority="1538">
      <formula>$G321="FAIL"</formula>
    </cfRule>
  </conditionalFormatting>
  <conditionalFormatting sqref="P25 W25">
    <cfRule type="cellIs" dxfId="199" priority="216" stopIfTrue="1" operator="equal">
      <formula>"fail"</formula>
    </cfRule>
  </conditionalFormatting>
  <conditionalFormatting sqref="AC25">
    <cfRule type="cellIs" dxfId="198" priority="215" stopIfTrue="1" operator="equal">
      <formula>"FAIL"</formula>
    </cfRule>
  </conditionalFormatting>
  <conditionalFormatting sqref="AK25">
    <cfRule type="cellIs" dxfId="197" priority="214" stopIfTrue="1" operator="equal">
      <formula>"FAIL"</formula>
    </cfRule>
  </conditionalFormatting>
  <conditionalFormatting sqref="AC26:AG26">
    <cfRule type="cellIs" dxfId="196" priority="213" stopIfTrue="1" operator="equal">
      <formula>"FAIL"</formula>
    </cfRule>
  </conditionalFormatting>
  <conditionalFormatting sqref="S25">
    <cfRule type="cellIs" dxfId="195" priority="212" stopIfTrue="1" operator="equal">
      <formula>"fail"</formula>
    </cfRule>
  </conditionalFormatting>
  <conditionalFormatting sqref="AH26:AI26">
    <cfRule type="cellIs" dxfId="194" priority="211" stopIfTrue="1" operator="equal">
      <formula>"FAIL"</formula>
    </cfRule>
  </conditionalFormatting>
  <conditionalFormatting sqref="P33 W33">
    <cfRule type="cellIs" dxfId="193" priority="210" stopIfTrue="1" operator="equal">
      <formula>"fail"</formula>
    </cfRule>
  </conditionalFormatting>
  <conditionalFormatting sqref="AC33">
    <cfRule type="cellIs" dxfId="192" priority="209" stopIfTrue="1" operator="equal">
      <formula>"FAIL"</formula>
    </cfRule>
  </conditionalFormatting>
  <conditionalFormatting sqref="AK33">
    <cfRule type="cellIs" dxfId="191" priority="208" stopIfTrue="1" operator="equal">
      <formula>"FAIL"</formula>
    </cfRule>
  </conditionalFormatting>
  <conditionalFormatting sqref="AC34:AG34">
    <cfRule type="cellIs" dxfId="190" priority="207" stopIfTrue="1" operator="equal">
      <formula>"FAIL"</formula>
    </cfRule>
  </conditionalFormatting>
  <conditionalFormatting sqref="S33">
    <cfRule type="cellIs" dxfId="189" priority="206" stopIfTrue="1" operator="equal">
      <formula>"fail"</formula>
    </cfRule>
  </conditionalFormatting>
  <conditionalFormatting sqref="AH34:AI34">
    <cfRule type="cellIs" dxfId="188" priority="205" stopIfTrue="1" operator="equal">
      <formula>"FAIL"</formula>
    </cfRule>
  </conditionalFormatting>
  <conditionalFormatting sqref="P43 W43">
    <cfRule type="cellIs" dxfId="187" priority="204" stopIfTrue="1" operator="equal">
      <formula>"fail"</formula>
    </cfRule>
  </conditionalFormatting>
  <conditionalFormatting sqref="AC43">
    <cfRule type="cellIs" dxfId="186" priority="203" stopIfTrue="1" operator="equal">
      <formula>"FAIL"</formula>
    </cfRule>
  </conditionalFormatting>
  <conditionalFormatting sqref="AK43">
    <cfRule type="cellIs" dxfId="185" priority="202" stopIfTrue="1" operator="equal">
      <formula>"FAIL"</formula>
    </cfRule>
  </conditionalFormatting>
  <conditionalFormatting sqref="AC44:AG44">
    <cfRule type="cellIs" dxfId="184" priority="201" stopIfTrue="1" operator="equal">
      <formula>"FAIL"</formula>
    </cfRule>
  </conditionalFormatting>
  <conditionalFormatting sqref="S43">
    <cfRule type="cellIs" dxfId="183" priority="200" stopIfTrue="1" operator="equal">
      <formula>"fail"</formula>
    </cfRule>
  </conditionalFormatting>
  <conditionalFormatting sqref="AH44:AI44">
    <cfRule type="cellIs" dxfId="182" priority="199" stopIfTrue="1" operator="equal">
      <formula>"FAIL"</formula>
    </cfRule>
  </conditionalFormatting>
  <conditionalFormatting sqref="P60 W60">
    <cfRule type="cellIs" dxfId="181" priority="198" stopIfTrue="1" operator="equal">
      <formula>"fail"</formula>
    </cfRule>
  </conditionalFormatting>
  <conditionalFormatting sqref="AC60">
    <cfRule type="cellIs" dxfId="180" priority="197" stopIfTrue="1" operator="equal">
      <formula>"FAIL"</formula>
    </cfRule>
  </conditionalFormatting>
  <conditionalFormatting sqref="AK60">
    <cfRule type="cellIs" dxfId="179" priority="196" stopIfTrue="1" operator="equal">
      <formula>"FAIL"</formula>
    </cfRule>
  </conditionalFormatting>
  <conditionalFormatting sqref="AC61:AG61">
    <cfRule type="cellIs" dxfId="178" priority="195" stopIfTrue="1" operator="equal">
      <formula>"FAIL"</formula>
    </cfRule>
  </conditionalFormatting>
  <conditionalFormatting sqref="S60">
    <cfRule type="cellIs" dxfId="177" priority="194" stopIfTrue="1" operator="equal">
      <formula>"fail"</formula>
    </cfRule>
  </conditionalFormatting>
  <conditionalFormatting sqref="AH61:AI61">
    <cfRule type="cellIs" dxfId="176" priority="193" stopIfTrue="1" operator="equal">
      <formula>"FAIL"</formula>
    </cfRule>
  </conditionalFormatting>
  <conditionalFormatting sqref="P51 W51">
    <cfRule type="cellIs" dxfId="175" priority="192" stopIfTrue="1" operator="equal">
      <formula>"fail"</formula>
    </cfRule>
  </conditionalFormatting>
  <conditionalFormatting sqref="AC51">
    <cfRule type="cellIs" dxfId="174" priority="191" stopIfTrue="1" operator="equal">
      <formula>"FAIL"</formula>
    </cfRule>
  </conditionalFormatting>
  <conditionalFormatting sqref="AK51">
    <cfRule type="cellIs" dxfId="173" priority="190" stopIfTrue="1" operator="equal">
      <formula>"FAIL"</formula>
    </cfRule>
  </conditionalFormatting>
  <conditionalFormatting sqref="AC52:AG52">
    <cfRule type="cellIs" dxfId="172" priority="189" stopIfTrue="1" operator="equal">
      <formula>"FAIL"</formula>
    </cfRule>
  </conditionalFormatting>
  <conditionalFormatting sqref="S51">
    <cfRule type="cellIs" dxfId="171" priority="188" stopIfTrue="1" operator="equal">
      <formula>"fail"</formula>
    </cfRule>
  </conditionalFormatting>
  <conditionalFormatting sqref="AH52:AI52">
    <cfRule type="cellIs" dxfId="170" priority="187" stopIfTrue="1" operator="equal">
      <formula>"FAIL"</formula>
    </cfRule>
  </conditionalFormatting>
  <conditionalFormatting sqref="P69 W69">
    <cfRule type="cellIs" dxfId="169" priority="186" stopIfTrue="1" operator="equal">
      <formula>"fail"</formula>
    </cfRule>
  </conditionalFormatting>
  <conditionalFormatting sqref="AC69">
    <cfRule type="cellIs" dxfId="168" priority="185" stopIfTrue="1" operator="equal">
      <formula>"FAIL"</formula>
    </cfRule>
  </conditionalFormatting>
  <conditionalFormatting sqref="AK69">
    <cfRule type="cellIs" dxfId="167" priority="184" stopIfTrue="1" operator="equal">
      <formula>"FAIL"</formula>
    </cfRule>
  </conditionalFormatting>
  <conditionalFormatting sqref="AC70:AG70">
    <cfRule type="cellIs" dxfId="166" priority="183" stopIfTrue="1" operator="equal">
      <formula>"FAIL"</formula>
    </cfRule>
  </conditionalFormatting>
  <conditionalFormatting sqref="S69">
    <cfRule type="cellIs" dxfId="165" priority="182" stopIfTrue="1" operator="equal">
      <formula>"fail"</formula>
    </cfRule>
  </conditionalFormatting>
  <conditionalFormatting sqref="AH70:AI70">
    <cfRule type="cellIs" dxfId="164" priority="181" stopIfTrue="1" operator="equal">
      <formula>"FAIL"</formula>
    </cfRule>
  </conditionalFormatting>
  <conditionalFormatting sqref="P284 W284">
    <cfRule type="cellIs" dxfId="163" priority="30" stopIfTrue="1" operator="equal">
      <formula>"fail"</formula>
    </cfRule>
  </conditionalFormatting>
  <conditionalFormatting sqref="AC284">
    <cfRule type="cellIs" dxfId="162" priority="29" stopIfTrue="1" operator="equal">
      <formula>"FAIL"</formula>
    </cfRule>
  </conditionalFormatting>
  <conditionalFormatting sqref="AK284">
    <cfRule type="cellIs" dxfId="161" priority="28" stopIfTrue="1" operator="equal">
      <formula>"FAIL"</formula>
    </cfRule>
  </conditionalFormatting>
  <conditionalFormatting sqref="AC285:AG285">
    <cfRule type="cellIs" dxfId="160" priority="27" stopIfTrue="1" operator="equal">
      <formula>"FAIL"</formula>
    </cfRule>
  </conditionalFormatting>
  <conditionalFormatting sqref="S284">
    <cfRule type="cellIs" dxfId="159" priority="26" stopIfTrue="1" operator="equal">
      <formula>"fail"</formula>
    </cfRule>
  </conditionalFormatting>
  <conditionalFormatting sqref="AH285:AI285">
    <cfRule type="cellIs" dxfId="158" priority="25" stopIfTrue="1" operator="equal">
      <formula>"FAIL"</formula>
    </cfRule>
  </conditionalFormatting>
  <conditionalFormatting sqref="P120 W120">
    <cfRule type="cellIs" dxfId="157" priority="156" stopIfTrue="1" operator="equal">
      <formula>"fail"</formula>
    </cfRule>
  </conditionalFormatting>
  <conditionalFormatting sqref="AC120">
    <cfRule type="cellIs" dxfId="156" priority="155" stopIfTrue="1" operator="equal">
      <formula>"FAIL"</formula>
    </cfRule>
  </conditionalFormatting>
  <conditionalFormatting sqref="AK120">
    <cfRule type="cellIs" dxfId="155" priority="154" stopIfTrue="1" operator="equal">
      <formula>"FAIL"</formula>
    </cfRule>
  </conditionalFormatting>
  <conditionalFormatting sqref="AC121:AG121">
    <cfRule type="cellIs" dxfId="154" priority="153" stopIfTrue="1" operator="equal">
      <formula>"FAIL"</formula>
    </cfRule>
  </conditionalFormatting>
  <conditionalFormatting sqref="S120">
    <cfRule type="cellIs" dxfId="153" priority="152" stopIfTrue="1" operator="equal">
      <formula>"fail"</formula>
    </cfRule>
  </conditionalFormatting>
  <conditionalFormatting sqref="AH121:AI121">
    <cfRule type="cellIs" dxfId="152" priority="151" stopIfTrue="1" operator="equal">
      <formula>"FAIL"</formula>
    </cfRule>
  </conditionalFormatting>
  <conditionalFormatting sqref="P79 W79">
    <cfRule type="cellIs" dxfId="151" priority="150" stopIfTrue="1" operator="equal">
      <formula>"fail"</formula>
    </cfRule>
  </conditionalFormatting>
  <conditionalFormatting sqref="AC79">
    <cfRule type="cellIs" dxfId="150" priority="149" stopIfTrue="1" operator="equal">
      <formula>"FAIL"</formula>
    </cfRule>
  </conditionalFormatting>
  <conditionalFormatting sqref="AK79">
    <cfRule type="cellIs" dxfId="149" priority="148" stopIfTrue="1" operator="equal">
      <formula>"FAIL"</formula>
    </cfRule>
  </conditionalFormatting>
  <conditionalFormatting sqref="AC80:AG80">
    <cfRule type="cellIs" dxfId="148" priority="147" stopIfTrue="1" operator="equal">
      <formula>"FAIL"</formula>
    </cfRule>
  </conditionalFormatting>
  <conditionalFormatting sqref="S79">
    <cfRule type="cellIs" dxfId="147" priority="146" stopIfTrue="1" operator="equal">
      <formula>"fail"</formula>
    </cfRule>
  </conditionalFormatting>
  <conditionalFormatting sqref="AH80:AI80">
    <cfRule type="cellIs" dxfId="146" priority="145" stopIfTrue="1" operator="equal">
      <formula>"FAIL"</formula>
    </cfRule>
  </conditionalFormatting>
  <conditionalFormatting sqref="P89 W89">
    <cfRule type="cellIs" dxfId="145" priority="144" stopIfTrue="1" operator="equal">
      <formula>"fail"</formula>
    </cfRule>
  </conditionalFormatting>
  <conditionalFormatting sqref="AC89">
    <cfRule type="cellIs" dxfId="144" priority="143" stopIfTrue="1" operator="equal">
      <formula>"FAIL"</formula>
    </cfRule>
  </conditionalFormatting>
  <conditionalFormatting sqref="AK89">
    <cfRule type="cellIs" dxfId="143" priority="142" stopIfTrue="1" operator="equal">
      <formula>"FAIL"</formula>
    </cfRule>
  </conditionalFormatting>
  <conditionalFormatting sqref="AC90:AG90">
    <cfRule type="cellIs" dxfId="142" priority="141" stopIfTrue="1" operator="equal">
      <formula>"FAIL"</formula>
    </cfRule>
  </conditionalFormatting>
  <conditionalFormatting sqref="S89">
    <cfRule type="cellIs" dxfId="141" priority="140" stopIfTrue="1" operator="equal">
      <formula>"fail"</formula>
    </cfRule>
  </conditionalFormatting>
  <conditionalFormatting sqref="AH90:AI90">
    <cfRule type="cellIs" dxfId="140" priority="139" stopIfTrue="1" operator="equal">
      <formula>"FAIL"</formula>
    </cfRule>
  </conditionalFormatting>
  <conditionalFormatting sqref="P99 W99">
    <cfRule type="cellIs" dxfId="139" priority="138" stopIfTrue="1" operator="equal">
      <formula>"fail"</formula>
    </cfRule>
  </conditionalFormatting>
  <conditionalFormatting sqref="AC99">
    <cfRule type="cellIs" dxfId="138" priority="137" stopIfTrue="1" operator="equal">
      <formula>"FAIL"</formula>
    </cfRule>
  </conditionalFormatting>
  <conditionalFormatting sqref="AK99">
    <cfRule type="cellIs" dxfId="137" priority="136" stopIfTrue="1" operator="equal">
      <formula>"FAIL"</formula>
    </cfRule>
  </conditionalFormatting>
  <conditionalFormatting sqref="AC100:AG100">
    <cfRule type="cellIs" dxfId="136" priority="135" stopIfTrue="1" operator="equal">
      <formula>"FAIL"</formula>
    </cfRule>
  </conditionalFormatting>
  <conditionalFormatting sqref="S99">
    <cfRule type="cellIs" dxfId="135" priority="134" stopIfTrue="1" operator="equal">
      <formula>"fail"</formula>
    </cfRule>
  </conditionalFormatting>
  <conditionalFormatting sqref="AH100:AI100">
    <cfRule type="cellIs" dxfId="134" priority="133" stopIfTrue="1" operator="equal">
      <formula>"FAIL"</formula>
    </cfRule>
  </conditionalFormatting>
  <conditionalFormatting sqref="P108 W108">
    <cfRule type="cellIs" dxfId="133" priority="132" stopIfTrue="1" operator="equal">
      <formula>"fail"</formula>
    </cfRule>
  </conditionalFormatting>
  <conditionalFormatting sqref="AC108">
    <cfRule type="cellIs" dxfId="132" priority="131" stopIfTrue="1" operator="equal">
      <formula>"FAIL"</formula>
    </cfRule>
  </conditionalFormatting>
  <conditionalFormatting sqref="AK108">
    <cfRule type="cellIs" dxfId="131" priority="130" stopIfTrue="1" operator="equal">
      <formula>"FAIL"</formula>
    </cfRule>
  </conditionalFormatting>
  <conditionalFormatting sqref="AC109:AG109">
    <cfRule type="cellIs" dxfId="130" priority="129" stopIfTrue="1" operator="equal">
      <formula>"FAIL"</formula>
    </cfRule>
  </conditionalFormatting>
  <conditionalFormatting sqref="S108">
    <cfRule type="cellIs" dxfId="129" priority="128" stopIfTrue="1" operator="equal">
      <formula>"fail"</formula>
    </cfRule>
  </conditionalFormatting>
  <conditionalFormatting sqref="AH109:AI109">
    <cfRule type="cellIs" dxfId="128" priority="127" stopIfTrue="1" operator="equal">
      <formula>"FAIL"</formula>
    </cfRule>
  </conditionalFormatting>
  <conditionalFormatting sqref="P130 W130">
    <cfRule type="cellIs" dxfId="127" priority="126" stopIfTrue="1" operator="equal">
      <formula>"fail"</formula>
    </cfRule>
  </conditionalFormatting>
  <conditionalFormatting sqref="AC130">
    <cfRule type="cellIs" dxfId="126" priority="125" stopIfTrue="1" operator="equal">
      <formula>"FAIL"</formula>
    </cfRule>
  </conditionalFormatting>
  <conditionalFormatting sqref="AK130">
    <cfRule type="cellIs" dxfId="125" priority="124" stopIfTrue="1" operator="equal">
      <formula>"FAIL"</formula>
    </cfRule>
  </conditionalFormatting>
  <conditionalFormatting sqref="AC131:AG131">
    <cfRule type="cellIs" dxfId="124" priority="123" stopIfTrue="1" operator="equal">
      <formula>"FAIL"</formula>
    </cfRule>
  </conditionalFormatting>
  <conditionalFormatting sqref="S130">
    <cfRule type="cellIs" dxfId="123" priority="122" stopIfTrue="1" operator="equal">
      <formula>"fail"</formula>
    </cfRule>
  </conditionalFormatting>
  <conditionalFormatting sqref="AH131:AI131">
    <cfRule type="cellIs" dxfId="122" priority="121" stopIfTrue="1" operator="equal">
      <formula>"FAIL"</formula>
    </cfRule>
  </conditionalFormatting>
  <conditionalFormatting sqref="P145 W145">
    <cfRule type="cellIs" dxfId="121" priority="120" stopIfTrue="1" operator="equal">
      <formula>"fail"</formula>
    </cfRule>
  </conditionalFormatting>
  <conditionalFormatting sqref="AC145">
    <cfRule type="cellIs" dxfId="120" priority="119" stopIfTrue="1" operator="equal">
      <formula>"FAIL"</formula>
    </cfRule>
  </conditionalFormatting>
  <conditionalFormatting sqref="AK145">
    <cfRule type="cellIs" dxfId="119" priority="118" stopIfTrue="1" operator="equal">
      <formula>"FAIL"</formula>
    </cfRule>
  </conditionalFormatting>
  <conditionalFormatting sqref="AC146:AG146">
    <cfRule type="cellIs" dxfId="118" priority="117" stopIfTrue="1" operator="equal">
      <formula>"FAIL"</formula>
    </cfRule>
  </conditionalFormatting>
  <conditionalFormatting sqref="S145">
    <cfRule type="cellIs" dxfId="117" priority="116" stopIfTrue="1" operator="equal">
      <formula>"fail"</formula>
    </cfRule>
  </conditionalFormatting>
  <conditionalFormatting sqref="AH146:AI146">
    <cfRule type="cellIs" dxfId="116" priority="115" stopIfTrue="1" operator="equal">
      <formula>"FAIL"</formula>
    </cfRule>
  </conditionalFormatting>
  <conditionalFormatting sqref="P167 W167">
    <cfRule type="cellIs" dxfId="115" priority="114" stopIfTrue="1" operator="equal">
      <formula>"fail"</formula>
    </cfRule>
  </conditionalFormatting>
  <conditionalFormatting sqref="AC167">
    <cfRule type="cellIs" dxfId="114" priority="113" stopIfTrue="1" operator="equal">
      <formula>"FAIL"</formula>
    </cfRule>
  </conditionalFormatting>
  <conditionalFormatting sqref="AK167">
    <cfRule type="cellIs" dxfId="113" priority="112" stopIfTrue="1" operator="equal">
      <formula>"FAIL"</formula>
    </cfRule>
  </conditionalFormatting>
  <conditionalFormatting sqref="AC168:AG168">
    <cfRule type="cellIs" dxfId="112" priority="111" stopIfTrue="1" operator="equal">
      <formula>"FAIL"</formula>
    </cfRule>
  </conditionalFormatting>
  <conditionalFormatting sqref="S167">
    <cfRule type="cellIs" dxfId="111" priority="110" stopIfTrue="1" operator="equal">
      <formula>"fail"</formula>
    </cfRule>
  </conditionalFormatting>
  <conditionalFormatting sqref="AH168:AI168">
    <cfRule type="cellIs" dxfId="110" priority="109" stopIfTrue="1" operator="equal">
      <formula>"FAIL"</formula>
    </cfRule>
  </conditionalFormatting>
  <conditionalFormatting sqref="P319 W319">
    <cfRule type="cellIs" dxfId="109" priority="6" stopIfTrue="1" operator="equal">
      <formula>"fail"</formula>
    </cfRule>
  </conditionalFormatting>
  <conditionalFormatting sqref="AC319">
    <cfRule type="cellIs" dxfId="108" priority="5" stopIfTrue="1" operator="equal">
      <formula>"FAIL"</formula>
    </cfRule>
  </conditionalFormatting>
  <conditionalFormatting sqref="AK319">
    <cfRule type="cellIs" dxfId="107" priority="4" stopIfTrue="1" operator="equal">
      <formula>"FAIL"</formula>
    </cfRule>
  </conditionalFormatting>
  <conditionalFormatting sqref="AC320:AG320">
    <cfRule type="cellIs" dxfId="106" priority="3" stopIfTrue="1" operator="equal">
      <formula>"FAIL"</formula>
    </cfRule>
  </conditionalFormatting>
  <conditionalFormatting sqref="S319">
    <cfRule type="cellIs" dxfId="105" priority="2" stopIfTrue="1" operator="equal">
      <formula>"fail"</formula>
    </cfRule>
  </conditionalFormatting>
  <conditionalFormatting sqref="AH320:AI320">
    <cfRule type="cellIs" dxfId="104" priority="1" stopIfTrue="1" operator="equal">
      <formula>"FAIL"</formula>
    </cfRule>
  </conditionalFormatting>
  <conditionalFormatting sqref="P176 W176">
    <cfRule type="cellIs" dxfId="103" priority="102" stopIfTrue="1" operator="equal">
      <formula>"fail"</formula>
    </cfRule>
  </conditionalFormatting>
  <conditionalFormatting sqref="AC176">
    <cfRule type="cellIs" dxfId="102" priority="101" stopIfTrue="1" operator="equal">
      <formula>"FAIL"</formula>
    </cfRule>
  </conditionalFormatting>
  <conditionalFormatting sqref="AK176">
    <cfRule type="cellIs" dxfId="101" priority="100" stopIfTrue="1" operator="equal">
      <formula>"FAIL"</formula>
    </cfRule>
  </conditionalFormatting>
  <conditionalFormatting sqref="AC177:AG177">
    <cfRule type="cellIs" dxfId="100" priority="99" stopIfTrue="1" operator="equal">
      <formula>"FAIL"</formula>
    </cfRule>
  </conditionalFormatting>
  <conditionalFormatting sqref="S176">
    <cfRule type="cellIs" dxfId="99" priority="98" stopIfTrue="1" operator="equal">
      <formula>"fail"</formula>
    </cfRule>
  </conditionalFormatting>
  <conditionalFormatting sqref="AH177:AI177">
    <cfRule type="cellIs" dxfId="98" priority="97" stopIfTrue="1" operator="equal">
      <formula>"FAIL"</formula>
    </cfRule>
  </conditionalFormatting>
  <conditionalFormatting sqref="P192 W192">
    <cfRule type="cellIs" dxfId="97" priority="96" stopIfTrue="1" operator="equal">
      <formula>"fail"</formula>
    </cfRule>
  </conditionalFormatting>
  <conditionalFormatting sqref="AC192">
    <cfRule type="cellIs" dxfId="96" priority="95" stopIfTrue="1" operator="equal">
      <formula>"FAIL"</formula>
    </cfRule>
  </conditionalFormatting>
  <conditionalFormatting sqref="AK192">
    <cfRule type="cellIs" dxfId="95" priority="94" stopIfTrue="1" operator="equal">
      <formula>"FAIL"</formula>
    </cfRule>
  </conditionalFormatting>
  <conditionalFormatting sqref="AC193:AG193">
    <cfRule type="cellIs" dxfId="94" priority="93" stopIfTrue="1" operator="equal">
      <formula>"FAIL"</formula>
    </cfRule>
  </conditionalFormatting>
  <conditionalFormatting sqref="S192">
    <cfRule type="cellIs" dxfId="93" priority="92" stopIfTrue="1" operator="equal">
      <formula>"fail"</formula>
    </cfRule>
  </conditionalFormatting>
  <conditionalFormatting sqref="AH193:AI193">
    <cfRule type="cellIs" dxfId="92" priority="91" stopIfTrue="1" operator="equal">
      <formula>"FAIL"</formula>
    </cfRule>
  </conditionalFormatting>
  <conditionalFormatting sqref="P200 W200">
    <cfRule type="cellIs" dxfId="91" priority="90" stopIfTrue="1" operator="equal">
      <formula>"fail"</formula>
    </cfRule>
  </conditionalFormatting>
  <conditionalFormatting sqref="AC200">
    <cfRule type="cellIs" dxfId="90" priority="89" stopIfTrue="1" operator="equal">
      <formula>"FAIL"</formula>
    </cfRule>
  </conditionalFormatting>
  <conditionalFormatting sqref="AK200">
    <cfRule type="cellIs" dxfId="89" priority="88" stopIfTrue="1" operator="equal">
      <formula>"FAIL"</formula>
    </cfRule>
  </conditionalFormatting>
  <conditionalFormatting sqref="AC201:AG201">
    <cfRule type="cellIs" dxfId="88" priority="87" stopIfTrue="1" operator="equal">
      <formula>"FAIL"</formula>
    </cfRule>
  </conditionalFormatting>
  <conditionalFormatting sqref="S200">
    <cfRule type="cellIs" dxfId="87" priority="86" stopIfTrue="1" operator="equal">
      <formula>"fail"</formula>
    </cfRule>
  </conditionalFormatting>
  <conditionalFormatting sqref="AH201:AI201">
    <cfRule type="cellIs" dxfId="86" priority="85" stopIfTrue="1" operator="equal">
      <formula>"FAIL"</formula>
    </cfRule>
  </conditionalFormatting>
  <conditionalFormatting sqref="P208 W208">
    <cfRule type="cellIs" dxfId="85" priority="84" stopIfTrue="1" operator="equal">
      <formula>"fail"</formula>
    </cfRule>
  </conditionalFormatting>
  <conditionalFormatting sqref="AC208">
    <cfRule type="cellIs" dxfId="84" priority="83" stopIfTrue="1" operator="equal">
      <formula>"FAIL"</formula>
    </cfRule>
  </conditionalFormatting>
  <conditionalFormatting sqref="AK208">
    <cfRule type="cellIs" dxfId="83" priority="82" stopIfTrue="1" operator="equal">
      <formula>"FAIL"</formula>
    </cfRule>
  </conditionalFormatting>
  <conditionalFormatting sqref="AC209:AG209">
    <cfRule type="cellIs" dxfId="82" priority="81" stopIfTrue="1" operator="equal">
      <formula>"FAIL"</formula>
    </cfRule>
  </conditionalFormatting>
  <conditionalFormatting sqref="S208">
    <cfRule type="cellIs" dxfId="81" priority="80" stopIfTrue="1" operator="equal">
      <formula>"fail"</formula>
    </cfRule>
  </conditionalFormatting>
  <conditionalFormatting sqref="AH209:AI209">
    <cfRule type="cellIs" dxfId="80" priority="79" stopIfTrue="1" operator="equal">
      <formula>"FAIL"</formula>
    </cfRule>
  </conditionalFormatting>
  <conditionalFormatting sqref="P216 W216">
    <cfRule type="cellIs" dxfId="79" priority="78" stopIfTrue="1" operator="equal">
      <formula>"fail"</formula>
    </cfRule>
  </conditionalFormatting>
  <conditionalFormatting sqref="AC216">
    <cfRule type="cellIs" dxfId="78" priority="77" stopIfTrue="1" operator="equal">
      <formula>"FAIL"</formula>
    </cfRule>
  </conditionalFormatting>
  <conditionalFormatting sqref="AK216">
    <cfRule type="cellIs" dxfId="77" priority="76" stopIfTrue="1" operator="equal">
      <formula>"FAIL"</formula>
    </cfRule>
  </conditionalFormatting>
  <conditionalFormatting sqref="AC217:AG217">
    <cfRule type="cellIs" dxfId="76" priority="75" stopIfTrue="1" operator="equal">
      <formula>"FAIL"</formula>
    </cfRule>
  </conditionalFormatting>
  <conditionalFormatting sqref="S216">
    <cfRule type="cellIs" dxfId="75" priority="74" stopIfTrue="1" operator="equal">
      <formula>"fail"</formula>
    </cfRule>
  </conditionalFormatting>
  <conditionalFormatting sqref="AH217:AI217">
    <cfRule type="cellIs" dxfId="74" priority="73" stopIfTrue="1" operator="equal">
      <formula>"FAIL"</formula>
    </cfRule>
  </conditionalFormatting>
  <conditionalFormatting sqref="P224 W224">
    <cfRule type="cellIs" dxfId="73" priority="72" stopIfTrue="1" operator="equal">
      <formula>"fail"</formula>
    </cfRule>
  </conditionalFormatting>
  <conditionalFormatting sqref="AC224">
    <cfRule type="cellIs" dxfId="72" priority="71" stopIfTrue="1" operator="equal">
      <formula>"FAIL"</formula>
    </cfRule>
  </conditionalFormatting>
  <conditionalFormatting sqref="AK224">
    <cfRule type="cellIs" dxfId="71" priority="70" stopIfTrue="1" operator="equal">
      <formula>"FAIL"</formula>
    </cfRule>
  </conditionalFormatting>
  <conditionalFormatting sqref="AC225:AG225">
    <cfRule type="cellIs" dxfId="70" priority="69" stopIfTrue="1" operator="equal">
      <formula>"FAIL"</formula>
    </cfRule>
  </conditionalFormatting>
  <conditionalFormatting sqref="S224">
    <cfRule type="cellIs" dxfId="69" priority="68" stopIfTrue="1" operator="equal">
      <formula>"fail"</formula>
    </cfRule>
  </conditionalFormatting>
  <conditionalFormatting sqref="AH225:AI225">
    <cfRule type="cellIs" dxfId="68" priority="67" stopIfTrue="1" operator="equal">
      <formula>"FAIL"</formula>
    </cfRule>
  </conditionalFormatting>
  <conditionalFormatting sqref="P232 W232">
    <cfRule type="cellIs" dxfId="67" priority="66" stopIfTrue="1" operator="equal">
      <formula>"fail"</formula>
    </cfRule>
  </conditionalFormatting>
  <conditionalFormatting sqref="AC232">
    <cfRule type="cellIs" dxfId="66" priority="65" stopIfTrue="1" operator="equal">
      <formula>"FAIL"</formula>
    </cfRule>
  </conditionalFormatting>
  <conditionalFormatting sqref="AK232">
    <cfRule type="cellIs" dxfId="65" priority="64" stopIfTrue="1" operator="equal">
      <formula>"FAIL"</formula>
    </cfRule>
  </conditionalFormatting>
  <conditionalFormatting sqref="AC233:AG233">
    <cfRule type="cellIs" dxfId="64" priority="63" stopIfTrue="1" operator="equal">
      <formula>"FAIL"</formula>
    </cfRule>
  </conditionalFormatting>
  <conditionalFormatting sqref="S232">
    <cfRule type="cellIs" dxfId="63" priority="62" stopIfTrue="1" operator="equal">
      <formula>"fail"</formula>
    </cfRule>
  </conditionalFormatting>
  <conditionalFormatting sqref="AH233:AI233">
    <cfRule type="cellIs" dxfId="62" priority="61" stopIfTrue="1" operator="equal">
      <formula>"FAIL"</formula>
    </cfRule>
  </conditionalFormatting>
  <conditionalFormatting sqref="P240 W240">
    <cfRule type="cellIs" dxfId="61" priority="60" stopIfTrue="1" operator="equal">
      <formula>"fail"</formula>
    </cfRule>
  </conditionalFormatting>
  <conditionalFormatting sqref="AC240">
    <cfRule type="cellIs" dxfId="60" priority="59" stopIfTrue="1" operator="equal">
      <formula>"FAIL"</formula>
    </cfRule>
  </conditionalFormatting>
  <conditionalFormatting sqref="AK240">
    <cfRule type="cellIs" dxfId="59" priority="58" stopIfTrue="1" operator="equal">
      <formula>"FAIL"</formula>
    </cfRule>
  </conditionalFormatting>
  <conditionalFormatting sqref="AC241:AG241">
    <cfRule type="cellIs" dxfId="58" priority="57" stopIfTrue="1" operator="equal">
      <formula>"FAIL"</formula>
    </cfRule>
  </conditionalFormatting>
  <conditionalFormatting sqref="S240">
    <cfRule type="cellIs" dxfId="57" priority="56" stopIfTrue="1" operator="equal">
      <formula>"fail"</formula>
    </cfRule>
  </conditionalFormatting>
  <conditionalFormatting sqref="AH241:AI241">
    <cfRule type="cellIs" dxfId="56" priority="55" stopIfTrue="1" operator="equal">
      <formula>"FAIL"</formula>
    </cfRule>
  </conditionalFormatting>
  <conditionalFormatting sqref="P248 W248">
    <cfRule type="cellIs" dxfId="55" priority="54" stopIfTrue="1" operator="equal">
      <formula>"fail"</formula>
    </cfRule>
  </conditionalFormatting>
  <conditionalFormatting sqref="AC248">
    <cfRule type="cellIs" dxfId="54" priority="53" stopIfTrue="1" operator="equal">
      <formula>"FAIL"</formula>
    </cfRule>
  </conditionalFormatting>
  <conditionalFormatting sqref="AK248">
    <cfRule type="cellIs" dxfId="53" priority="52" stopIfTrue="1" operator="equal">
      <formula>"FAIL"</formula>
    </cfRule>
  </conditionalFormatting>
  <conditionalFormatting sqref="AC249:AG249">
    <cfRule type="cellIs" dxfId="52" priority="51" stopIfTrue="1" operator="equal">
      <formula>"FAIL"</formula>
    </cfRule>
  </conditionalFormatting>
  <conditionalFormatting sqref="S248">
    <cfRule type="cellIs" dxfId="51" priority="50" stopIfTrue="1" operator="equal">
      <formula>"fail"</formula>
    </cfRule>
  </conditionalFormatting>
  <conditionalFormatting sqref="AH249:AI249">
    <cfRule type="cellIs" dxfId="50" priority="49" stopIfTrue="1" operator="equal">
      <formula>"FAIL"</formula>
    </cfRule>
  </conditionalFormatting>
  <conditionalFormatting sqref="P257 W257">
    <cfRule type="cellIs" dxfId="49" priority="48" stopIfTrue="1" operator="equal">
      <formula>"fail"</formula>
    </cfRule>
  </conditionalFormatting>
  <conditionalFormatting sqref="AC257">
    <cfRule type="cellIs" dxfId="48" priority="47" stopIfTrue="1" operator="equal">
      <formula>"FAIL"</formula>
    </cfRule>
  </conditionalFormatting>
  <conditionalFormatting sqref="AK257">
    <cfRule type="cellIs" dxfId="47" priority="46" stopIfTrue="1" operator="equal">
      <formula>"FAIL"</formula>
    </cfRule>
  </conditionalFormatting>
  <conditionalFormatting sqref="AC258:AG258">
    <cfRule type="cellIs" dxfId="46" priority="45" stopIfTrue="1" operator="equal">
      <formula>"FAIL"</formula>
    </cfRule>
  </conditionalFormatting>
  <conditionalFormatting sqref="S257">
    <cfRule type="cellIs" dxfId="45" priority="44" stopIfTrue="1" operator="equal">
      <formula>"fail"</formula>
    </cfRule>
  </conditionalFormatting>
  <conditionalFormatting sqref="AH258:AI258">
    <cfRule type="cellIs" dxfId="44" priority="43" stopIfTrue="1" operator="equal">
      <formula>"FAIL"</formula>
    </cfRule>
  </conditionalFormatting>
  <conditionalFormatting sqref="P266 W266">
    <cfRule type="cellIs" dxfId="43" priority="42" stopIfTrue="1" operator="equal">
      <formula>"fail"</formula>
    </cfRule>
  </conditionalFormatting>
  <conditionalFormatting sqref="AC266">
    <cfRule type="cellIs" dxfId="42" priority="41" stopIfTrue="1" operator="equal">
      <formula>"FAIL"</formula>
    </cfRule>
  </conditionalFormatting>
  <conditionalFormatting sqref="AK266">
    <cfRule type="cellIs" dxfId="41" priority="40" stopIfTrue="1" operator="equal">
      <formula>"FAIL"</formula>
    </cfRule>
  </conditionalFormatting>
  <conditionalFormatting sqref="AC267:AG267">
    <cfRule type="cellIs" dxfId="40" priority="39" stopIfTrue="1" operator="equal">
      <formula>"FAIL"</formula>
    </cfRule>
  </conditionalFormatting>
  <conditionalFormatting sqref="S266">
    <cfRule type="cellIs" dxfId="39" priority="38" stopIfTrue="1" operator="equal">
      <formula>"fail"</formula>
    </cfRule>
  </conditionalFormatting>
  <conditionalFormatting sqref="AH267:AI267">
    <cfRule type="cellIs" dxfId="38" priority="37" stopIfTrue="1" operator="equal">
      <formula>"FAIL"</formula>
    </cfRule>
  </conditionalFormatting>
  <conditionalFormatting sqref="P275 W275">
    <cfRule type="cellIs" dxfId="37" priority="36" stopIfTrue="1" operator="equal">
      <formula>"fail"</formula>
    </cfRule>
  </conditionalFormatting>
  <conditionalFormatting sqref="AC275">
    <cfRule type="cellIs" dxfId="36" priority="35" stopIfTrue="1" operator="equal">
      <formula>"FAIL"</formula>
    </cfRule>
  </conditionalFormatting>
  <conditionalFormatting sqref="AK275">
    <cfRule type="cellIs" dxfId="35" priority="34" stopIfTrue="1" operator="equal">
      <formula>"FAIL"</formula>
    </cfRule>
  </conditionalFormatting>
  <conditionalFormatting sqref="AC276:AG276">
    <cfRule type="cellIs" dxfId="34" priority="33" stopIfTrue="1" operator="equal">
      <formula>"FAIL"</formula>
    </cfRule>
  </conditionalFormatting>
  <conditionalFormatting sqref="S275">
    <cfRule type="cellIs" dxfId="33" priority="32" stopIfTrue="1" operator="equal">
      <formula>"fail"</formula>
    </cfRule>
  </conditionalFormatting>
  <conditionalFormatting sqref="AH276:AI276">
    <cfRule type="cellIs" dxfId="32" priority="31" stopIfTrue="1" operator="equal">
      <formula>"FAIL"</formula>
    </cfRule>
  </conditionalFormatting>
  <conditionalFormatting sqref="P293 W293">
    <cfRule type="cellIs" dxfId="31" priority="24" stopIfTrue="1" operator="equal">
      <formula>"fail"</formula>
    </cfRule>
  </conditionalFormatting>
  <conditionalFormatting sqref="AC293">
    <cfRule type="cellIs" dxfId="30" priority="23" stopIfTrue="1" operator="equal">
      <formula>"FAIL"</formula>
    </cfRule>
  </conditionalFormatting>
  <conditionalFormatting sqref="AK293">
    <cfRule type="cellIs" dxfId="29" priority="22" stopIfTrue="1" operator="equal">
      <formula>"FAIL"</formula>
    </cfRule>
  </conditionalFormatting>
  <conditionalFormatting sqref="AC294:AG294">
    <cfRule type="cellIs" dxfId="28" priority="21" stopIfTrue="1" operator="equal">
      <formula>"FAIL"</formula>
    </cfRule>
  </conditionalFormatting>
  <conditionalFormatting sqref="S293">
    <cfRule type="cellIs" dxfId="27" priority="20" stopIfTrue="1" operator="equal">
      <formula>"fail"</formula>
    </cfRule>
  </conditionalFormatting>
  <conditionalFormatting sqref="AH294:AI294">
    <cfRule type="cellIs" dxfId="26" priority="19" stopIfTrue="1" operator="equal">
      <formula>"FAIL"</formula>
    </cfRule>
  </conditionalFormatting>
  <conditionalFormatting sqref="P302 W302">
    <cfRule type="cellIs" dxfId="25" priority="18" stopIfTrue="1" operator="equal">
      <formula>"fail"</formula>
    </cfRule>
  </conditionalFormatting>
  <conditionalFormatting sqref="AC302">
    <cfRule type="cellIs" dxfId="24" priority="17" stopIfTrue="1" operator="equal">
      <formula>"FAIL"</formula>
    </cfRule>
  </conditionalFormatting>
  <conditionalFormatting sqref="AK302">
    <cfRule type="cellIs" dxfId="23" priority="16" stopIfTrue="1" operator="equal">
      <formula>"FAIL"</formula>
    </cfRule>
  </conditionalFormatting>
  <conditionalFormatting sqref="AC303:AG303">
    <cfRule type="cellIs" dxfId="22" priority="15" stopIfTrue="1" operator="equal">
      <formula>"FAIL"</formula>
    </cfRule>
  </conditionalFormatting>
  <conditionalFormatting sqref="S302">
    <cfRule type="cellIs" dxfId="21" priority="14" stopIfTrue="1" operator="equal">
      <formula>"fail"</formula>
    </cfRule>
  </conditionalFormatting>
  <conditionalFormatting sqref="AH303:AI303">
    <cfRule type="cellIs" dxfId="20" priority="13" stopIfTrue="1" operator="equal">
      <formula>"FAIL"</formula>
    </cfRule>
  </conditionalFormatting>
  <conditionalFormatting sqref="P311 W311">
    <cfRule type="cellIs" dxfId="19" priority="12" stopIfTrue="1" operator="equal">
      <formula>"fail"</formula>
    </cfRule>
  </conditionalFormatting>
  <conditionalFormatting sqref="AC311">
    <cfRule type="cellIs" dxfId="18" priority="11" stopIfTrue="1" operator="equal">
      <formula>"FAIL"</formula>
    </cfRule>
  </conditionalFormatting>
  <conditionalFormatting sqref="AK311">
    <cfRule type="cellIs" dxfId="17" priority="10" stopIfTrue="1" operator="equal">
      <formula>"FAIL"</formula>
    </cfRule>
  </conditionalFormatting>
  <conditionalFormatting sqref="AC312:AG312">
    <cfRule type="cellIs" dxfId="16" priority="9" stopIfTrue="1" operator="equal">
      <formula>"FAIL"</formula>
    </cfRule>
  </conditionalFormatting>
  <conditionalFormatting sqref="S311">
    <cfRule type="cellIs" dxfId="15" priority="8" stopIfTrue="1" operator="equal">
      <formula>"fail"</formula>
    </cfRule>
  </conditionalFormatting>
  <conditionalFormatting sqref="AH312:AI312">
    <cfRule type="cellIs" dxfId="14" priority="7" stopIfTrue="1" operator="equal">
      <formula>"FAIL"</formula>
    </cfRule>
  </conditionalFormatting>
  <dataValidations disablePrompts="1" count="3">
    <dataValidation allowBlank="1" showInputMessage="1" showErrorMessage="1" prompt="Simple Acceptance?" sqref="AJ9" xr:uid="{00000000-0002-0000-0100-000000000000}"/>
    <dataValidation allowBlank="1" showInputMessage="1" showErrorMessage="1" prompt="Strict FAIL?" sqref="AJ11" xr:uid="{00000000-0002-0000-0100-000001000000}"/>
    <dataValidation allowBlank="1" showInputMessage="1" showErrorMessage="1" prompt="Show TUR Column?" sqref="AK11" xr:uid="{00000000-0002-0000-0100-000002000000}"/>
  </dataValidations>
  <printOptions horizontalCentered="1" gridLinesSet="0"/>
  <pageMargins left="0.51181102362204722" right="0.51181102362204722" top="0.51181102362204722" bottom="0.51181102362204722" header="0.51181102362204722" footer="0.23622047244094491"/>
  <pageSetup scale="50" fitToHeight="30" orientation="portrait" useFirstPageNumber="1" verticalDpi="4294967292" r:id="rId1"/>
  <headerFooter alignWithMargins="0">
    <oddFooter>&amp;L&amp;"Arial Narrow,Bold"&amp;14Confidential: &amp;"Arial Narrow,Regular"&amp;12Controlled Document.
Cannot be reproduced without the approval of the Quality Department.&amp;R&amp;"Arial Narrow,Regular"&amp;12Page &amp;P of  &amp;N
TQDG-FM-002 rev05</oddFooter>
  </headerFooter>
  <rowBreaks count="7" manualBreakCount="7">
    <brk id="56" max="9" man="1"/>
    <brk id="105" max="9" man="1"/>
    <brk id="142" max="9" man="1"/>
    <brk id="188" max="9" man="1"/>
    <brk id="237" max="9" man="1"/>
    <brk id="281" max="9" man="1"/>
    <brk id="323" max="9" man="1"/>
  </rowBreaks>
  <drawing r:id="rId2"/>
  <legacyDrawing r:id="rId3"/>
  <controls>
    <mc:AlternateContent xmlns:mc="http://schemas.openxmlformats.org/markup-compatibility/2006">
      <mc:Choice Requires="x14">
        <control shapeId="3086" r:id="rId4" name="showTUR">
          <controlPr defaultSize="0" autoLine="0" linkedCell="AK11" r:id="rId5">
            <anchor moveWithCells="1">
              <from>
                <xdr:col>11</xdr:col>
                <xdr:colOff>19050</xdr:colOff>
                <xdr:row>5</xdr:row>
                <xdr:rowOff>12700</xdr:rowOff>
              </from>
              <to>
                <xdr:col>13</xdr:col>
                <xdr:colOff>38100</xdr:colOff>
                <xdr:row>6</xdr:row>
                <xdr:rowOff>31750</xdr:rowOff>
              </to>
            </anchor>
          </controlPr>
        </control>
      </mc:Choice>
      <mc:Fallback>
        <control shapeId="3086" r:id="rId4" name="showTUR"/>
      </mc:Fallback>
    </mc:AlternateContent>
    <mc:AlternateContent xmlns:mc="http://schemas.openxmlformats.org/markup-compatibility/2006">
      <mc:Choice Requires="x14">
        <control shapeId="3084" r:id="rId6" name="CheckBox2">
          <controlPr defaultSize="0" autoLine="0" linkedCell="AJ11" r:id="rId7">
            <anchor moveWithCells="1">
              <from>
                <xdr:col>16</xdr:col>
                <xdr:colOff>469900</xdr:colOff>
                <xdr:row>5</xdr:row>
                <xdr:rowOff>19050</xdr:rowOff>
              </from>
              <to>
                <xdr:col>17</xdr:col>
                <xdr:colOff>685800</xdr:colOff>
                <xdr:row>6</xdr:row>
                <xdr:rowOff>57150</xdr:rowOff>
              </to>
            </anchor>
          </controlPr>
        </control>
      </mc:Choice>
      <mc:Fallback>
        <control shapeId="3084" r:id="rId6" name="CheckBox2"/>
      </mc:Fallback>
    </mc:AlternateContent>
    <mc:AlternateContent xmlns:mc="http://schemas.openxmlformats.org/markup-compatibility/2006">
      <mc:Choice Requires="x14">
        <control shapeId="3081" r:id="rId8" name="cboReportResult">
          <controlPr defaultSize="0" autoLine="0" listFillRange="'AUX TABLES'!$N$3:$N$8" r:id="rId9">
            <anchor moveWithCells="1">
              <from>
                <xdr:col>14</xdr:col>
                <xdr:colOff>69850</xdr:colOff>
                <xdr:row>9</xdr:row>
                <xdr:rowOff>69850</xdr:rowOff>
              </from>
              <to>
                <xdr:col>17</xdr:col>
                <xdr:colOff>82550</xdr:colOff>
                <xdr:row>11</xdr:row>
                <xdr:rowOff>63500</xdr:rowOff>
              </to>
            </anchor>
          </controlPr>
        </control>
      </mc:Choice>
      <mc:Fallback>
        <control shapeId="3081" r:id="rId8" name="cboReportResult"/>
      </mc:Fallback>
    </mc:AlternateContent>
    <mc:AlternateContent xmlns:mc="http://schemas.openxmlformats.org/markup-compatibility/2006">
      <mc:Choice Requires="x14">
        <control shapeId="3082" r:id="rId10" name="CheckBox1">
          <controlPr defaultSize="0" autoLine="0" linkedCell="AJ9" r:id="rId11">
            <anchor moveWithCells="1">
              <from>
                <xdr:col>13</xdr:col>
                <xdr:colOff>95250</xdr:colOff>
                <xdr:row>5</xdr:row>
                <xdr:rowOff>19050</xdr:rowOff>
              </from>
              <to>
                <xdr:col>16</xdr:col>
                <xdr:colOff>374650</xdr:colOff>
                <xdr:row>6</xdr:row>
                <xdr:rowOff>57150</xdr:rowOff>
              </to>
            </anchor>
          </controlPr>
        </control>
      </mc:Choice>
      <mc:Fallback>
        <control shapeId="3082" r:id="rId10" name="CheckBox1"/>
      </mc:Fallback>
    </mc:AlternateContent>
    <mc:AlternateContent xmlns:mc="http://schemas.openxmlformats.org/markup-compatibility/2006">
      <mc:Choice Requires="x14">
        <control shapeId="3074" r:id="rId12" name="Button 2">
          <controlPr defaultSize="0" print="0" autoFill="0" autoPict="0" macro="[0]!PDFActiveSheet">
            <anchor moveWithCells="1">
              <from>
                <xdr:col>11</xdr:col>
                <xdr:colOff>12700</xdr:colOff>
                <xdr:row>7</xdr:row>
                <xdr:rowOff>57150</xdr:rowOff>
              </from>
              <to>
                <xdr:col>12</xdr:col>
                <xdr:colOff>0</xdr:colOff>
                <xdr:row>11</xdr:row>
                <xdr:rowOff>203200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tabColor rgb="FF7030A0"/>
  </sheetPr>
  <dimension ref="A1:AN311"/>
  <sheetViews>
    <sheetView showGridLines="0" zoomScale="50" zoomScaleNormal="50" workbookViewId="0">
      <pane xSplit="2" ySplit="7" topLeftCell="C8" activePane="bottomRight" state="frozenSplit"/>
      <selection pane="topRight" activeCell="B1" sqref="B1"/>
      <selection pane="bottomLeft" activeCell="A8" sqref="A8"/>
      <selection pane="bottomRight" activeCell="A7" sqref="A7"/>
    </sheetView>
  </sheetViews>
  <sheetFormatPr defaultColWidth="9.1796875" defaultRowHeight="14" outlineLevelCol="1"/>
  <cols>
    <col min="1" max="1" width="24.26953125" style="78" customWidth="1"/>
    <col min="2" max="2" width="21.81640625" style="78" customWidth="1"/>
    <col min="3" max="38" width="21" style="78" customWidth="1" outlineLevel="1"/>
    <col min="39" max="39" width="21" style="78" customWidth="1"/>
    <col min="40" max="16384" width="9.1796875" style="78"/>
  </cols>
  <sheetData>
    <row r="1" spans="1:40" ht="15" customHeight="1"/>
    <row r="2" spans="1:40" s="55" customFormat="1" ht="15" customHeight="1">
      <c r="B2" s="247"/>
    </row>
    <row r="3" spans="1:40" s="55" customFormat="1" ht="25" customHeight="1">
      <c r="C3" s="82"/>
      <c r="D3" s="82"/>
      <c r="E3" s="82"/>
      <c r="F3" s="82"/>
      <c r="G3" s="82"/>
      <c r="H3" s="82"/>
      <c r="K3" s="82"/>
      <c r="L3" s="82"/>
      <c r="O3" s="82"/>
      <c r="P3" s="82"/>
      <c r="R3" s="82"/>
      <c r="S3" s="82"/>
      <c r="U3" s="82"/>
      <c r="V3" s="82"/>
      <c r="X3" s="82"/>
      <c r="Y3" s="82"/>
      <c r="AA3" s="82"/>
      <c r="AB3" s="82"/>
      <c r="AD3" s="82"/>
      <c r="AE3" s="82"/>
      <c r="AG3" s="82"/>
      <c r="AH3" s="82"/>
      <c r="AI3" s="82"/>
      <c r="AJ3" s="82"/>
      <c r="AK3" s="82"/>
      <c r="AL3" s="184" t="s">
        <v>26</v>
      </c>
      <c r="AM3" s="82" t="s">
        <v>27</v>
      </c>
    </row>
    <row r="4" spans="1:40" s="55" customFormat="1" ht="18" customHeight="1" thickBot="1"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2"/>
      <c r="AE4" s="82"/>
      <c r="AF4" s="82"/>
      <c r="AG4" s="82"/>
      <c r="AH4" s="82"/>
      <c r="AI4" s="83"/>
      <c r="AJ4" s="84"/>
      <c r="AK4" s="84"/>
      <c r="AL4" s="184"/>
      <c r="AM4" s="82"/>
    </row>
    <row r="5" spans="1:40" s="89" customFormat="1" ht="64.900000000000006" customHeight="1">
      <c r="B5" s="671" t="s">
        <v>79</v>
      </c>
      <c r="C5" s="676" t="s">
        <v>104</v>
      </c>
      <c r="D5" s="676"/>
      <c r="E5" s="676"/>
      <c r="F5" s="677" t="s">
        <v>104</v>
      </c>
      <c r="G5" s="677"/>
      <c r="H5" s="677"/>
      <c r="I5" s="678" t="str">
        <f>'TECH DATA ENTRY'!Q35</f>
        <v>Resolution 1</v>
      </c>
      <c r="J5" s="679"/>
      <c r="K5" s="679"/>
      <c r="L5" s="680"/>
      <c r="M5" s="677" t="str">
        <f>'TECH DATA ENTRY'!R35</f>
        <v>Resolution 2</v>
      </c>
      <c r="N5" s="677"/>
      <c r="O5" s="677"/>
      <c r="P5" s="677"/>
      <c r="Q5" s="681" t="str">
        <f>'TECH DATA ENTRY'!S35</f>
        <v>Scope Uncertainty</v>
      </c>
      <c r="R5" s="681"/>
      <c r="S5" s="681"/>
      <c r="T5" s="677" t="str">
        <f>'TECH DATA ENTRY'!T35</f>
        <v>STD 2 Cal Unc</v>
      </c>
      <c r="U5" s="677"/>
      <c r="V5" s="677"/>
      <c r="W5" s="677" t="str">
        <f>'TECH DATA ENTRY'!U35</f>
        <v>Others 1</v>
      </c>
      <c r="X5" s="677"/>
      <c r="Y5" s="677"/>
      <c r="Z5" s="677" t="str">
        <f>'TECH DATA ENTRY'!V35</f>
        <v>Others 2</v>
      </c>
      <c r="AA5" s="677"/>
      <c r="AB5" s="677"/>
      <c r="AC5" s="677" t="str">
        <f>'TECH DATA ENTRY'!W35</f>
        <v>Others 3</v>
      </c>
      <c r="AD5" s="677"/>
      <c r="AE5" s="677"/>
      <c r="AF5" s="677" t="str">
        <f>'TECH DATA ENTRY'!X35</f>
        <v>Others 4</v>
      </c>
      <c r="AG5" s="677"/>
      <c r="AH5" s="677"/>
      <c r="AI5" s="682" t="s">
        <v>94</v>
      </c>
      <c r="AJ5" s="682" t="s">
        <v>93</v>
      </c>
      <c r="AK5" s="682"/>
      <c r="AL5" s="685" t="s">
        <v>96</v>
      </c>
      <c r="AM5" s="673" t="s">
        <v>95</v>
      </c>
    </row>
    <row r="6" spans="1:40" s="55" customFormat="1" ht="64.900000000000006" customHeight="1">
      <c r="B6" s="672"/>
      <c r="C6" s="91" t="s">
        <v>88</v>
      </c>
      <c r="D6" s="187"/>
      <c r="E6" s="92" t="s">
        <v>5</v>
      </c>
      <c r="F6" s="93" t="s">
        <v>88</v>
      </c>
      <c r="G6" s="188"/>
      <c r="H6" s="94" t="s">
        <v>5</v>
      </c>
      <c r="I6" s="95" t="s">
        <v>89</v>
      </c>
      <c r="J6" s="99"/>
      <c r="K6" s="99"/>
      <c r="L6" s="96" t="s">
        <v>9</v>
      </c>
      <c r="M6" s="93" t="s">
        <v>89</v>
      </c>
      <c r="N6" s="90"/>
      <c r="O6" s="188"/>
      <c r="P6" s="94" t="s">
        <v>9</v>
      </c>
      <c r="Q6" s="97" t="s">
        <v>89</v>
      </c>
      <c r="R6" s="189"/>
      <c r="S6" s="98" t="s">
        <v>5</v>
      </c>
      <c r="T6" s="93" t="s">
        <v>89</v>
      </c>
      <c r="U6" s="188"/>
      <c r="V6" s="94" t="s">
        <v>9</v>
      </c>
      <c r="W6" s="93" t="s">
        <v>89</v>
      </c>
      <c r="X6" s="188"/>
      <c r="Y6" s="94" t="s">
        <v>9</v>
      </c>
      <c r="Z6" s="93" t="s">
        <v>89</v>
      </c>
      <c r="AA6" s="188"/>
      <c r="AB6" s="94" t="s">
        <v>9</v>
      </c>
      <c r="AC6" s="93" t="s">
        <v>89</v>
      </c>
      <c r="AD6" s="188"/>
      <c r="AE6" s="94" t="s">
        <v>9</v>
      </c>
      <c r="AF6" s="93" t="s">
        <v>89</v>
      </c>
      <c r="AG6" s="188"/>
      <c r="AH6" s="94" t="s">
        <v>9</v>
      </c>
      <c r="AI6" s="683"/>
      <c r="AJ6" s="683"/>
      <c r="AK6" s="683"/>
      <c r="AL6" s="686"/>
      <c r="AM6" s="674"/>
    </row>
    <row r="7" spans="1:40" s="81" customFormat="1" ht="64.900000000000006" customHeight="1" thickBot="1">
      <c r="A7" s="209"/>
      <c r="B7" s="672"/>
      <c r="C7" s="210" t="str">
        <f>'TECH DATA ENTRY'!O35</f>
        <v>Stdev 1</v>
      </c>
      <c r="D7" s="210" t="s">
        <v>36</v>
      </c>
      <c r="E7" s="211" t="s">
        <v>80</v>
      </c>
      <c r="F7" s="210" t="str">
        <f>'TECH DATA ENTRY'!P35</f>
        <v>Stdev 2</v>
      </c>
      <c r="G7" s="210" t="s">
        <v>36</v>
      </c>
      <c r="H7" s="211" t="s">
        <v>80</v>
      </c>
      <c r="I7" s="210" t="str">
        <f>'TECH DATA ENTRY'!Q35</f>
        <v>Resolution 1</v>
      </c>
      <c r="J7" s="210" t="s">
        <v>81</v>
      </c>
      <c r="K7" s="210" t="s">
        <v>36</v>
      </c>
      <c r="L7" s="211" t="s">
        <v>80</v>
      </c>
      <c r="M7" s="210" t="str">
        <f>'TECH DATA ENTRY'!R35</f>
        <v>Resolution 2</v>
      </c>
      <c r="N7" s="210" t="s">
        <v>81</v>
      </c>
      <c r="O7" s="210" t="s">
        <v>36</v>
      </c>
      <c r="P7" s="211" t="s">
        <v>80</v>
      </c>
      <c r="Q7" s="210" t="s">
        <v>90</v>
      </c>
      <c r="R7" s="210" t="s">
        <v>36</v>
      </c>
      <c r="S7" s="211" t="s">
        <v>80</v>
      </c>
      <c r="T7" s="210" t="s">
        <v>90</v>
      </c>
      <c r="U7" s="210" t="s">
        <v>36</v>
      </c>
      <c r="V7" s="211" t="s">
        <v>80</v>
      </c>
      <c r="W7" s="210" t="s">
        <v>90</v>
      </c>
      <c r="X7" s="210" t="s">
        <v>36</v>
      </c>
      <c r="Y7" s="211" t="s">
        <v>80</v>
      </c>
      <c r="Z7" s="210" t="s">
        <v>90</v>
      </c>
      <c r="AA7" s="210" t="s">
        <v>36</v>
      </c>
      <c r="AB7" s="211" t="s">
        <v>80</v>
      </c>
      <c r="AC7" s="210" t="s">
        <v>90</v>
      </c>
      <c r="AD7" s="210" t="s">
        <v>36</v>
      </c>
      <c r="AE7" s="211" t="s">
        <v>80</v>
      </c>
      <c r="AF7" s="210" t="s">
        <v>90</v>
      </c>
      <c r="AG7" s="210" t="s">
        <v>36</v>
      </c>
      <c r="AH7" s="211" t="s">
        <v>80</v>
      </c>
      <c r="AI7" s="684"/>
      <c r="AJ7" s="307" t="s">
        <v>82</v>
      </c>
      <c r="AK7" s="307" t="s">
        <v>83</v>
      </c>
      <c r="AL7" s="687"/>
      <c r="AM7" s="675"/>
    </row>
    <row r="8" spans="1:40" s="80" customFormat="1" ht="20.149999999999999" customHeight="1">
      <c r="A8" s="212"/>
      <c r="B8" s="248">
        <f>'TECH DATA ENTRY'!B36</f>
        <v>0</v>
      </c>
      <c r="C8" s="204" t="str">
        <f>'TECH DATA ENTRY'!O36</f>
        <v/>
      </c>
      <c r="D8" s="204">
        <v>1</v>
      </c>
      <c r="E8" s="148" t="e">
        <f>D8*(C8/SQRT(AJ8))+0.00000000000001</f>
        <v>#VALUE!</v>
      </c>
      <c r="F8" s="204">
        <f>'TECH DATA ENTRY'!P36</f>
        <v>0</v>
      </c>
      <c r="G8" s="204">
        <v>1</v>
      </c>
      <c r="H8" s="148" t="e">
        <f>G8*(F8/SQRT(AJ8))+0.00000000000001</f>
        <v>#VALUE!</v>
      </c>
      <c r="I8" s="205">
        <f>'TECH DATA ENTRY'!Q36</f>
        <v>1E-4</v>
      </c>
      <c r="J8" s="205" t="str">
        <f>'TECH DATA ENTRY'!$G$26</f>
        <v>Digital</v>
      </c>
      <c r="K8" s="204">
        <v>1</v>
      </c>
      <c r="L8" s="148">
        <f>IF(J8="Digital",I8/2/SQRT(3),I8/5/SQRT(3))*K8</f>
        <v>2.8867513459481293E-5</v>
      </c>
      <c r="M8" s="205">
        <f>'TECH DATA ENTRY'!R36</f>
        <v>0</v>
      </c>
      <c r="N8" s="205" t="str">
        <f>'TECH DATA ENTRY'!$G$26</f>
        <v>Digital</v>
      </c>
      <c r="O8" s="204">
        <v>1</v>
      </c>
      <c r="P8" s="148">
        <f>IF(N8="Digital",M8/2/SQRT(3),M8/5/SQRT(3))*O8</f>
        <v>0</v>
      </c>
      <c r="Q8" s="206">
        <f>'TECH DATA ENTRY'!S36</f>
        <v>4.0000000000000002E-4</v>
      </c>
      <c r="R8" s="204">
        <v>1</v>
      </c>
      <c r="S8" s="148">
        <f>Q8/IF(S$6="NORMAL", 2, IF(S$6="TRIANGULAR",SQRT(6),IF(S$6="U-SHAPED",SQRT(2),SQRT(3))))*R8</f>
        <v>2.0000000000000001E-4</v>
      </c>
      <c r="T8" s="206">
        <f>'TECH DATA ENTRY'!T36</f>
        <v>0</v>
      </c>
      <c r="U8" s="204">
        <v>1</v>
      </c>
      <c r="V8" s="148">
        <f>T8/IF(V$6="NORMAL", 2, IF(V$6="TRIANGULAR",SQRT(6),IF(V$6="U-SHAPED",SQRT(2),SQRT(3))))*U8</f>
        <v>0</v>
      </c>
      <c r="W8" s="206">
        <f>'TECH DATA ENTRY'!U36</f>
        <v>0</v>
      </c>
      <c r="X8" s="204">
        <v>1</v>
      </c>
      <c r="Y8" s="148">
        <f>W8/IF(Y$6="NORMAL", 2, IF(Y$6="TRIANGULAR",SQRT(6),IF(Y$6="U-SHAPED",SQRT(2),SQRT(3))))*X8</f>
        <v>0</v>
      </c>
      <c r="Z8" s="206">
        <f>'TECH DATA ENTRY'!V36</f>
        <v>0</v>
      </c>
      <c r="AA8" s="204">
        <v>1</v>
      </c>
      <c r="AB8" s="148">
        <f>Z8/IF(AB$6="NORMAL", 2, IF(AB$6="TRIANGULAR",SQRT(6),IF(AB$6="U-SHAPED",SQRT(2),SQRT(3))))*AA8</f>
        <v>0</v>
      </c>
      <c r="AC8" s="206">
        <f>'TECH DATA ENTRY'!W36</f>
        <v>0</v>
      </c>
      <c r="AD8" s="204">
        <v>1</v>
      </c>
      <c r="AE8" s="148">
        <f>AC8/IF(AE$6="NORMAL", 2, IF(AE$6="TRIANGULAR",SQRT(6),IF(AE$6="U-SHAPED",SQRT(2),SQRT(3))))*AD8</f>
        <v>0</v>
      </c>
      <c r="AF8" s="206">
        <f>'TECH DATA ENTRY'!X36</f>
        <v>0</v>
      </c>
      <c r="AG8" s="204">
        <v>1</v>
      </c>
      <c r="AH8" s="148">
        <f>AF8/IF(AH$6="NORMAL", 2, IF(AH$6="TRIANGULAR",SQRT(6),IF(AH$6="U-SHAPED",SQRT(2),SQRT(3))))*AG8</f>
        <v>0</v>
      </c>
      <c r="AI8" s="205" t="e">
        <f>SQRT(SUM(E8^2, H8^2,L8^2, P8^2,S8^2,V8^2,Y8^2,AB8^2,AE8^2,AH8^2))</f>
        <v>#VALUE!</v>
      </c>
      <c r="AJ8" s="207" t="str">
        <f>'TECH DATA ENTRY'!K36</f>
        <v/>
      </c>
      <c r="AK8" s="208" t="e">
        <f>IF((AI8^4/(SUM(E8^4,H8^4)/(AJ8-1)))&gt;100,200,(AI8^4/(SUM(E8^4,H8^4)/(AJ8-1))))</f>
        <v>#VALUE!</v>
      </c>
      <c r="AL8" s="208" t="e">
        <f>VLOOKUP(AK8,'AUX TABLES'!A$2:B$29,2)</f>
        <v>#VALUE!</v>
      </c>
      <c r="AM8" s="287" t="str">
        <f>IF(OR(ISTEXT(B8)=TRUE,ISTEXT('TECH DATA ENTRY'!L36)=TRUE), "NA",AL8*AI8)</f>
        <v>NA</v>
      </c>
      <c r="AN8" s="79"/>
    </row>
    <row r="9" spans="1:40" s="80" customFormat="1" ht="20.149999999999999" customHeight="1">
      <c r="A9" s="216"/>
      <c r="B9" s="249">
        <f>'TECH DATA ENTRY'!B37</f>
        <v>100</v>
      </c>
      <c r="C9" s="217" t="str">
        <f>'TECH DATA ENTRY'!O37</f>
        <v/>
      </c>
      <c r="D9" s="217">
        <v>1</v>
      </c>
      <c r="E9" s="218" t="e">
        <f t="shared" ref="E9:E72" si="0">D9*(C9/SQRT(AJ9))+0.00000000000001</f>
        <v>#VALUE!</v>
      </c>
      <c r="F9" s="217">
        <f>'TECH DATA ENTRY'!P37</f>
        <v>0</v>
      </c>
      <c r="G9" s="217">
        <v>1</v>
      </c>
      <c r="H9" s="218" t="e">
        <f t="shared" ref="H9:H72" si="1">G9*(F9/SQRT(AJ9))+0.00000000000001</f>
        <v>#VALUE!</v>
      </c>
      <c r="I9" s="219">
        <f>'TECH DATA ENTRY'!Q37</f>
        <v>1E-4</v>
      </c>
      <c r="J9" s="219" t="str">
        <f>'TECH DATA ENTRY'!$G$26</f>
        <v>Digital</v>
      </c>
      <c r="K9" s="217">
        <v>1</v>
      </c>
      <c r="L9" s="218">
        <f t="shared" ref="L9:L72" si="2">IF(J9="Digital",I9/2/SQRT(3),I9/5/SQRT(3))*K9</f>
        <v>2.8867513459481293E-5</v>
      </c>
      <c r="M9" s="219">
        <f>'TECH DATA ENTRY'!R37</f>
        <v>0</v>
      </c>
      <c r="N9" s="219" t="str">
        <f>'TECH DATA ENTRY'!$G$26</f>
        <v>Digital</v>
      </c>
      <c r="O9" s="217">
        <v>1</v>
      </c>
      <c r="P9" s="218">
        <f t="shared" ref="P9:P72" si="3">IF(N9="Digital",M9/2/SQRT(3),M9/5/SQRT(3))*O9</f>
        <v>0</v>
      </c>
      <c r="Q9" s="220">
        <f>'TECH DATA ENTRY'!S37</f>
        <v>1.5E-3</v>
      </c>
      <c r="R9" s="217">
        <v>1</v>
      </c>
      <c r="S9" s="218">
        <f t="shared" ref="S9:S72" si="4">Q9/IF(S$6="NORMAL", 2, IF(S$6="TRIANGULAR",SQRT(6),IF(S$6="U-SHAPED",SQRT(2),SQRT(3))))*R9</f>
        <v>7.5000000000000002E-4</v>
      </c>
      <c r="T9" s="220">
        <f>'TECH DATA ENTRY'!T37</f>
        <v>0</v>
      </c>
      <c r="U9" s="217">
        <v>1</v>
      </c>
      <c r="V9" s="218">
        <f t="shared" ref="V9:V72" si="5">T9/IF(V$6="NORMAL", 2, IF(V$6="TRIANGULAR",SQRT(6),IF(V$6="U-SHAPED",SQRT(2),SQRT(3))))*U9</f>
        <v>0</v>
      </c>
      <c r="W9" s="220">
        <f>'TECH DATA ENTRY'!U37</f>
        <v>0</v>
      </c>
      <c r="X9" s="217">
        <v>1</v>
      </c>
      <c r="Y9" s="218">
        <f t="shared" ref="Y9:Y72" si="6">W9/IF(Y$6="NORMAL", 2, IF(Y$6="TRIANGULAR",SQRT(6),IF(Y$6="U-SHAPED",SQRT(2),SQRT(3))))*X9</f>
        <v>0</v>
      </c>
      <c r="Z9" s="220">
        <f>'TECH DATA ENTRY'!V37</f>
        <v>0</v>
      </c>
      <c r="AA9" s="217">
        <v>1</v>
      </c>
      <c r="AB9" s="218">
        <f t="shared" ref="AB9:AB72" si="7">Z9/IF(AB$6="NORMAL", 2, IF(AB$6="TRIANGULAR",SQRT(6),IF(AB$6="U-SHAPED",SQRT(2),SQRT(3))))*AA9</f>
        <v>0</v>
      </c>
      <c r="AC9" s="220">
        <f>'TECH DATA ENTRY'!W37</f>
        <v>0</v>
      </c>
      <c r="AD9" s="217">
        <v>1</v>
      </c>
      <c r="AE9" s="218">
        <f t="shared" ref="AE9:AE72" si="8">AC9/IF(AE$6="NORMAL", 2, IF(AE$6="TRIANGULAR",SQRT(6),IF(AE$6="U-SHAPED",SQRT(2),SQRT(3))))*AD9</f>
        <v>0</v>
      </c>
      <c r="AF9" s="220">
        <f>'TECH DATA ENTRY'!X37</f>
        <v>0</v>
      </c>
      <c r="AG9" s="217">
        <v>1</v>
      </c>
      <c r="AH9" s="218">
        <f t="shared" ref="AH9:AH72" si="9">AF9/IF(AH$6="NORMAL", 2, IF(AH$6="TRIANGULAR",SQRT(6),IF(AH$6="U-SHAPED",SQRT(2),SQRT(3))))*AG9</f>
        <v>0</v>
      </c>
      <c r="AI9" s="219" t="e">
        <f t="shared" ref="AI9:AI72" si="10">SQRT(SUM(E9^2, H9^2,L9^2, P9^2,S9^2,V9^2,Y9^2,AB9^2,AE9^2,AH9^2))</f>
        <v>#VALUE!</v>
      </c>
      <c r="AJ9" s="221" t="str">
        <f>'TECH DATA ENTRY'!K37</f>
        <v/>
      </c>
      <c r="AK9" s="222" t="e">
        <f t="shared" ref="AK9:AK72" si="11">IF((AI9^4/(SUM(E9^4,H9^4)/(AJ9-1)))&gt;100,200,(AI9^4/(SUM(E9^4,H9^4)/(AJ9-1))))</f>
        <v>#VALUE!</v>
      </c>
      <c r="AL9" s="222" t="e">
        <f>VLOOKUP(AK9,'AUX TABLES'!A$2:B$29,2)</f>
        <v>#VALUE!</v>
      </c>
      <c r="AM9" s="223" t="str">
        <f>IF(OR(ISTEXT(B9)=TRUE,ISTEXT('TECH DATA ENTRY'!L37)=TRUE), "NA",AL9*AI9)</f>
        <v>NA</v>
      </c>
      <c r="AN9" s="79"/>
    </row>
    <row r="10" spans="1:40" s="80" customFormat="1" ht="20.149999999999999" customHeight="1">
      <c r="A10" s="216"/>
      <c r="B10" s="249">
        <f>'TECH DATA ENTRY'!B38</f>
        <v>-100</v>
      </c>
      <c r="C10" s="217" t="str">
        <f>'TECH DATA ENTRY'!O38</f>
        <v/>
      </c>
      <c r="D10" s="217">
        <v>1</v>
      </c>
      <c r="E10" s="218" t="e">
        <f t="shared" si="0"/>
        <v>#VALUE!</v>
      </c>
      <c r="F10" s="217">
        <f>'TECH DATA ENTRY'!P38</f>
        <v>0</v>
      </c>
      <c r="G10" s="217">
        <v>1</v>
      </c>
      <c r="H10" s="218" t="e">
        <f t="shared" si="1"/>
        <v>#VALUE!</v>
      </c>
      <c r="I10" s="219">
        <f>'TECH DATA ENTRY'!Q38</f>
        <v>1E-4</v>
      </c>
      <c r="J10" s="219" t="str">
        <f>'TECH DATA ENTRY'!$G$26</f>
        <v>Digital</v>
      </c>
      <c r="K10" s="217">
        <v>1</v>
      </c>
      <c r="L10" s="218">
        <f t="shared" si="2"/>
        <v>2.8867513459481293E-5</v>
      </c>
      <c r="M10" s="219">
        <f>'TECH DATA ENTRY'!R38</f>
        <v>0</v>
      </c>
      <c r="N10" s="219" t="str">
        <f>'TECH DATA ENTRY'!$G$26</f>
        <v>Digital</v>
      </c>
      <c r="O10" s="217">
        <v>1</v>
      </c>
      <c r="P10" s="218">
        <f t="shared" si="3"/>
        <v>0</v>
      </c>
      <c r="Q10" s="220">
        <f>'TECH DATA ENTRY'!S38</f>
        <v>1.5E-3</v>
      </c>
      <c r="R10" s="217">
        <v>1</v>
      </c>
      <c r="S10" s="218">
        <f t="shared" si="4"/>
        <v>7.5000000000000002E-4</v>
      </c>
      <c r="T10" s="220">
        <f>'TECH DATA ENTRY'!T38</f>
        <v>0</v>
      </c>
      <c r="U10" s="217">
        <v>1</v>
      </c>
      <c r="V10" s="218">
        <f t="shared" si="5"/>
        <v>0</v>
      </c>
      <c r="W10" s="220">
        <f>'TECH DATA ENTRY'!U38</f>
        <v>0</v>
      </c>
      <c r="X10" s="217">
        <v>1</v>
      </c>
      <c r="Y10" s="218">
        <f t="shared" si="6"/>
        <v>0</v>
      </c>
      <c r="Z10" s="220">
        <f>'TECH DATA ENTRY'!V38</f>
        <v>0</v>
      </c>
      <c r="AA10" s="217">
        <v>1</v>
      </c>
      <c r="AB10" s="218">
        <f t="shared" si="7"/>
        <v>0</v>
      </c>
      <c r="AC10" s="220">
        <f>'TECH DATA ENTRY'!W38</f>
        <v>0</v>
      </c>
      <c r="AD10" s="217">
        <v>1</v>
      </c>
      <c r="AE10" s="218">
        <f t="shared" si="8"/>
        <v>0</v>
      </c>
      <c r="AF10" s="220">
        <f>'TECH DATA ENTRY'!X38</f>
        <v>0</v>
      </c>
      <c r="AG10" s="217">
        <v>1</v>
      </c>
      <c r="AH10" s="218">
        <f t="shared" si="9"/>
        <v>0</v>
      </c>
      <c r="AI10" s="219" t="e">
        <f t="shared" si="10"/>
        <v>#VALUE!</v>
      </c>
      <c r="AJ10" s="221" t="str">
        <f>'TECH DATA ENTRY'!K38</f>
        <v/>
      </c>
      <c r="AK10" s="222" t="e">
        <f t="shared" si="11"/>
        <v>#VALUE!</v>
      </c>
      <c r="AL10" s="222" t="e">
        <f>VLOOKUP(AK10,'AUX TABLES'!A$2:B$29,2)</f>
        <v>#VALUE!</v>
      </c>
      <c r="AM10" s="223" t="str">
        <f>IF(OR(ISTEXT(B10)=TRUE,ISTEXT('TECH DATA ENTRY'!L38)=TRUE), "NA",AL10*AI10)</f>
        <v>NA</v>
      </c>
      <c r="AN10" s="79"/>
    </row>
    <row r="11" spans="1:40" s="80" customFormat="1" ht="20.149999999999999" customHeight="1">
      <c r="A11" s="216"/>
      <c r="B11" s="249">
        <f>'TECH DATA ENTRY'!B39</f>
        <v>0</v>
      </c>
      <c r="C11" s="217">
        <f>'TECH DATA ENTRY'!O39</f>
        <v>0</v>
      </c>
      <c r="D11" s="217">
        <v>1</v>
      </c>
      <c r="E11" s="218" t="e">
        <f t="shared" si="0"/>
        <v>#DIV/0!</v>
      </c>
      <c r="F11" s="217">
        <f>'TECH DATA ENTRY'!P39</f>
        <v>0</v>
      </c>
      <c r="G11" s="217">
        <v>1</v>
      </c>
      <c r="H11" s="218" t="e">
        <f t="shared" si="1"/>
        <v>#DIV/0!</v>
      </c>
      <c r="I11" s="219">
        <f>'TECH DATA ENTRY'!Q39</f>
        <v>0</v>
      </c>
      <c r="J11" s="219" t="str">
        <f>'TECH DATA ENTRY'!$G$26</f>
        <v>Digital</v>
      </c>
      <c r="K11" s="217">
        <v>1</v>
      </c>
      <c r="L11" s="218">
        <f t="shared" si="2"/>
        <v>0</v>
      </c>
      <c r="M11" s="219">
        <f>'TECH DATA ENTRY'!R39</f>
        <v>0</v>
      </c>
      <c r="N11" s="219" t="str">
        <f>'TECH DATA ENTRY'!$G$26</f>
        <v>Digital</v>
      </c>
      <c r="O11" s="217">
        <v>1</v>
      </c>
      <c r="P11" s="218">
        <f t="shared" si="3"/>
        <v>0</v>
      </c>
      <c r="Q11" s="220">
        <f>'TECH DATA ENTRY'!S39</f>
        <v>0</v>
      </c>
      <c r="R11" s="217">
        <v>1</v>
      </c>
      <c r="S11" s="218">
        <f t="shared" si="4"/>
        <v>0</v>
      </c>
      <c r="T11" s="220">
        <f>'TECH DATA ENTRY'!T39</f>
        <v>0</v>
      </c>
      <c r="U11" s="217">
        <v>1</v>
      </c>
      <c r="V11" s="218">
        <f t="shared" si="5"/>
        <v>0</v>
      </c>
      <c r="W11" s="220">
        <f>'TECH DATA ENTRY'!U39</f>
        <v>0</v>
      </c>
      <c r="X11" s="217">
        <v>1</v>
      </c>
      <c r="Y11" s="218">
        <f t="shared" si="6"/>
        <v>0</v>
      </c>
      <c r="Z11" s="220">
        <f>'TECH DATA ENTRY'!V39</f>
        <v>0</v>
      </c>
      <c r="AA11" s="217">
        <v>1</v>
      </c>
      <c r="AB11" s="218">
        <f t="shared" si="7"/>
        <v>0</v>
      </c>
      <c r="AC11" s="220">
        <f>'TECH DATA ENTRY'!W39</f>
        <v>0</v>
      </c>
      <c r="AD11" s="217">
        <v>1</v>
      </c>
      <c r="AE11" s="218">
        <f t="shared" si="8"/>
        <v>0</v>
      </c>
      <c r="AF11" s="220">
        <f>'TECH DATA ENTRY'!X39</f>
        <v>0</v>
      </c>
      <c r="AG11" s="217">
        <v>1</v>
      </c>
      <c r="AH11" s="218">
        <f t="shared" si="9"/>
        <v>0</v>
      </c>
      <c r="AI11" s="219" t="e">
        <f t="shared" si="10"/>
        <v>#DIV/0!</v>
      </c>
      <c r="AJ11" s="221">
        <f>'TECH DATA ENTRY'!K39</f>
        <v>0</v>
      </c>
      <c r="AK11" s="222" t="e">
        <f t="shared" si="11"/>
        <v>#DIV/0!</v>
      </c>
      <c r="AL11" s="222" t="e">
        <f>VLOOKUP(AK11,'AUX TABLES'!A$2:B$29,2)</f>
        <v>#DIV/0!</v>
      </c>
      <c r="AM11" s="223" t="e">
        <f>IF(OR(ISTEXT(B11)=TRUE,ISTEXT('TECH DATA ENTRY'!L39)=TRUE), "NA",AL11*AI11)</f>
        <v>#DIV/0!</v>
      </c>
      <c r="AN11" s="79"/>
    </row>
    <row r="12" spans="1:40" s="80" customFormat="1" ht="20.149999999999999" customHeight="1">
      <c r="A12" s="216"/>
      <c r="B12" s="249">
        <f>'TECH DATA ENTRY'!B40</f>
        <v>0</v>
      </c>
      <c r="C12" s="217">
        <f>'TECH DATA ENTRY'!O40</f>
        <v>0</v>
      </c>
      <c r="D12" s="217">
        <v>1</v>
      </c>
      <c r="E12" s="218" t="e">
        <f t="shared" si="0"/>
        <v>#DIV/0!</v>
      </c>
      <c r="F12" s="217">
        <f>'TECH DATA ENTRY'!P40</f>
        <v>0</v>
      </c>
      <c r="G12" s="217">
        <v>1</v>
      </c>
      <c r="H12" s="218" t="e">
        <f t="shared" si="1"/>
        <v>#DIV/0!</v>
      </c>
      <c r="I12" s="219">
        <f>'TECH DATA ENTRY'!Q40</f>
        <v>0</v>
      </c>
      <c r="J12" s="219" t="str">
        <f>'TECH DATA ENTRY'!$G$26</f>
        <v>Digital</v>
      </c>
      <c r="K12" s="217">
        <v>1</v>
      </c>
      <c r="L12" s="218">
        <f t="shared" si="2"/>
        <v>0</v>
      </c>
      <c r="M12" s="219">
        <f>'TECH DATA ENTRY'!R40</f>
        <v>0</v>
      </c>
      <c r="N12" s="219" t="str">
        <f>'TECH DATA ENTRY'!$G$26</f>
        <v>Digital</v>
      </c>
      <c r="O12" s="217">
        <v>1</v>
      </c>
      <c r="P12" s="218">
        <f t="shared" si="3"/>
        <v>0</v>
      </c>
      <c r="Q12" s="220">
        <f>'TECH DATA ENTRY'!S40</f>
        <v>0</v>
      </c>
      <c r="R12" s="217">
        <v>1</v>
      </c>
      <c r="S12" s="218">
        <f t="shared" si="4"/>
        <v>0</v>
      </c>
      <c r="T12" s="220">
        <f>'TECH DATA ENTRY'!T40</f>
        <v>0</v>
      </c>
      <c r="U12" s="217">
        <v>1</v>
      </c>
      <c r="V12" s="218">
        <f t="shared" si="5"/>
        <v>0</v>
      </c>
      <c r="W12" s="220">
        <f>'TECH DATA ENTRY'!U40</f>
        <v>0</v>
      </c>
      <c r="X12" s="217">
        <v>1</v>
      </c>
      <c r="Y12" s="218">
        <f t="shared" si="6"/>
        <v>0</v>
      </c>
      <c r="Z12" s="220">
        <f>'TECH DATA ENTRY'!V40</f>
        <v>0</v>
      </c>
      <c r="AA12" s="217">
        <v>1</v>
      </c>
      <c r="AB12" s="218">
        <f t="shared" si="7"/>
        <v>0</v>
      </c>
      <c r="AC12" s="220">
        <f>'TECH DATA ENTRY'!W40</f>
        <v>0</v>
      </c>
      <c r="AD12" s="217">
        <v>1</v>
      </c>
      <c r="AE12" s="218">
        <f t="shared" si="8"/>
        <v>0</v>
      </c>
      <c r="AF12" s="220">
        <f>'TECH DATA ENTRY'!X40</f>
        <v>0</v>
      </c>
      <c r="AG12" s="217">
        <v>1</v>
      </c>
      <c r="AH12" s="218">
        <f t="shared" si="9"/>
        <v>0</v>
      </c>
      <c r="AI12" s="219" t="e">
        <f t="shared" si="10"/>
        <v>#DIV/0!</v>
      </c>
      <c r="AJ12" s="221">
        <f>'TECH DATA ENTRY'!K40</f>
        <v>0</v>
      </c>
      <c r="AK12" s="222" t="e">
        <f t="shared" si="11"/>
        <v>#DIV/0!</v>
      </c>
      <c r="AL12" s="222" t="e">
        <f>VLOOKUP(AK12,'AUX TABLES'!A$2:B$29,2)</f>
        <v>#DIV/0!</v>
      </c>
      <c r="AM12" s="223" t="e">
        <f>IF(OR(ISTEXT(B12)=TRUE,ISTEXT('TECH DATA ENTRY'!L40)=TRUE), "NA",AL12*AI12)</f>
        <v>#DIV/0!</v>
      </c>
      <c r="AN12" s="79"/>
    </row>
    <row r="13" spans="1:40" s="80" customFormat="1" ht="20.149999999999999" customHeight="1">
      <c r="A13" s="216"/>
      <c r="B13" s="249">
        <f>'TECH DATA ENTRY'!B41</f>
        <v>0</v>
      </c>
      <c r="C13" s="217">
        <f>'TECH DATA ENTRY'!O41</f>
        <v>0</v>
      </c>
      <c r="D13" s="217">
        <v>1</v>
      </c>
      <c r="E13" s="218" t="e">
        <f t="shared" si="0"/>
        <v>#DIV/0!</v>
      </c>
      <c r="F13" s="217">
        <f>'TECH DATA ENTRY'!P41</f>
        <v>0</v>
      </c>
      <c r="G13" s="217">
        <v>1</v>
      </c>
      <c r="H13" s="218" t="e">
        <f t="shared" si="1"/>
        <v>#DIV/0!</v>
      </c>
      <c r="I13" s="219">
        <f>'TECH DATA ENTRY'!Q41</f>
        <v>0</v>
      </c>
      <c r="J13" s="219" t="str">
        <f>'TECH DATA ENTRY'!$G$26</f>
        <v>Digital</v>
      </c>
      <c r="K13" s="217">
        <v>1</v>
      </c>
      <c r="L13" s="218">
        <f t="shared" si="2"/>
        <v>0</v>
      </c>
      <c r="M13" s="219">
        <f>'TECH DATA ENTRY'!R41</f>
        <v>0</v>
      </c>
      <c r="N13" s="219" t="str">
        <f>'TECH DATA ENTRY'!$G$26</f>
        <v>Digital</v>
      </c>
      <c r="O13" s="217">
        <v>1</v>
      </c>
      <c r="P13" s="218">
        <f t="shared" si="3"/>
        <v>0</v>
      </c>
      <c r="Q13" s="220">
        <f>'TECH DATA ENTRY'!S41</f>
        <v>0</v>
      </c>
      <c r="R13" s="217">
        <v>1</v>
      </c>
      <c r="S13" s="218">
        <f t="shared" si="4"/>
        <v>0</v>
      </c>
      <c r="T13" s="220">
        <f>'TECH DATA ENTRY'!T41</f>
        <v>0</v>
      </c>
      <c r="U13" s="217">
        <v>1</v>
      </c>
      <c r="V13" s="218">
        <f t="shared" si="5"/>
        <v>0</v>
      </c>
      <c r="W13" s="220">
        <f>'TECH DATA ENTRY'!U41</f>
        <v>0</v>
      </c>
      <c r="X13" s="217">
        <v>1</v>
      </c>
      <c r="Y13" s="218">
        <f t="shared" si="6"/>
        <v>0</v>
      </c>
      <c r="Z13" s="220">
        <f>'TECH DATA ENTRY'!V41</f>
        <v>0</v>
      </c>
      <c r="AA13" s="217">
        <v>1</v>
      </c>
      <c r="AB13" s="218">
        <f t="shared" si="7"/>
        <v>0</v>
      </c>
      <c r="AC13" s="220">
        <f>'TECH DATA ENTRY'!W41</f>
        <v>0</v>
      </c>
      <c r="AD13" s="217">
        <v>1</v>
      </c>
      <c r="AE13" s="218">
        <f t="shared" si="8"/>
        <v>0</v>
      </c>
      <c r="AF13" s="220">
        <f>'TECH DATA ENTRY'!X41</f>
        <v>0</v>
      </c>
      <c r="AG13" s="217">
        <v>1</v>
      </c>
      <c r="AH13" s="218">
        <f t="shared" si="9"/>
        <v>0</v>
      </c>
      <c r="AI13" s="219" t="e">
        <f t="shared" si="10"/>
        <v>#DIV/0!</v>
      </c>
      <c r="AJ13" s="221">
        <f>'TECH DATA ENTRY'!K41</f>
        <v>0</v>
      </c>
      <c r="AK13" s="222" t="e">
        <f t="shared" si="11"/>
        <v>#DIV/0!</v>
      </c>
      <c r="AL13" s="222" t="e">
        <f>VLOOKUP(AK13,'AUX TABLES'!A$2:B$29,2)</f>
        <v>#DIV/0!</v>
      </c>
      <c r="AM13" s="223" t="e">
        <f>IF(OR(ISTEXT(B13)=TRUE,ISTEXT('TECH DATA ENTRY'!L41)=TRUE), "NA",AL13*AI13)</f>
        <v>#DIV/0!</v>
      </c>
      <c r="AN13" s="79"/>
    </row>
    <row r="14" spans="1:40" s="80" customFormat="1" ht="20.149999999999999" customHeight="1">
      <c r="A14" s="216"/>
      <c r="B14" s="249" t="str">
        <f>'TECH DATA ENTRY'!B42</f>
        <v>Nominal</v>
      </c>
      <c r="C14" s="217" t="str">
        <f>'TECH DATA ENTRY'!O42</f>
        <v>Uncertainty Components</v>
      </c>
      <c r="D14" s="217">
        <v>1</v>
      </c>
      <c r="E14" s="218" t="e">
        <f t="shared" si="0"/>
        <v>#VALUE!</v>
      </c>
      <c r="F14" s="217">
        <f>'TECH DATA ENTRY'!P42</f>
        <v>0</v>
      </c>
      <c r="G14" s="217">
        <v>1</v>
      </c>
      <c r="H14" s="218" t="e">
        <f t="shared" si="1"/>
        <v>#VALUE!</v>
      </c>
      <c r="I14" s="219">
        <f>'TECH DATA ENTRY'!Q42</f>
        <v>0</v>
      </c>
      <c r="J14" s="219" t="str">
        <f>'TECH DATA ENTRY'!$G$26</f>
        <v>Digital</v>
      </c>
      <c r="K14" s="217">
        <v>1</v>
      </c>
      <c r="L14" s="218">
        <f t="shared" si="2"/>
        <v>0</v>
      </c>
      <c r="M14" s="219">
        <f>'TECH DATA ENTRY'!R42</f>
        <v>0</v>
      </c>
      <c r="N14" s="219" t="str">
        <f>'TECH DATA ENTRY'!$G$26</f>
        <v>Digital</v>
      </c>
      <c r="O14" s="217">
        <v>1</v>
      </c>
      <c r="P14" s="218">
        <f t="shared" si="3"/>
        <v>0</v>
      </c>
      <c r="Q14" s="220">
        <f>'TECH DATA ENTRY'!S42</f>
        <v>0</v>
      </c>
      <c r="R14" s="217">
        <v>1</v>
      </c>
      <c r="S14" s="218">
        <f t="shared" si="4"/>
        <v>0</v>
      </c>
      <c r="T14" s="220">
        <f>'TECH DATA ENTRY'!T42</f>
        <v>0</v>
      </c>
      <c r="U14" s="217">
        <v>1</v>
      </c>
      <c r="V14" s="218">
        <f t="shared" si="5"/>
        <v>0</v>
      </c>
      <c r="W14" s="220">
        <f>'TECH DATA ENTRY'!U42</f>
        <v>0</v>
      </c>
      <c r="X14" s="217">
        <v>1</v>
      </c>
      <c r="Y14" s="218">
        <f t="shared" si="6"/>
        <v>0</v>
      </c>
      <c r="Z14" s="220">
        <f>'TECH DATA ENTRY'!V42</f>
        <v>0</v>
      </c>
      <c r="AA14" s="217">
        <v>1</v>
      </c>
      <c r="AB14" s="218">
        <f t="shared" si="7"/>
        <v>0</v>
      </c>
      <c r="AC14" s="220">
        <f>'TECH DATA ENTRY'!W42</f>
        <v>0</v>
      </c>
      <c r="AD14" s="217">
        <v>1</v>
      </c>
      <c r="AE14" s="218">
        <f t="shared" si="8"/>
        <v>0</v>
      </c>
      <c r="AF14" s="220">
        <f>'TECH DATA ENTRY'!X42</f>
        <v>0</v>
      </c>
      <c r="AG14" s="217">
        <v>1</v>
      </c>
      <c r="AH14" s="218">
        <f t="shared" si="9"/>
        <v>0</v>
      </c>
      <c r="AI14" s="219" t="e">
        <f t="shared" si="10"/>
        <v>#VALUE!</v>
      </c>
      <c r="AJ14" s="221" t="str">
        <f>'TECH DATA ENTRY'!K42</f>
        <v>n</v>
      </c>
      <c r="AK14" s="222" t="e">
        <f t="shared" si="11"/>
        <v>#VALUE!</v>
      </c>
      <c r="AL14" s="222" t="e">
        <f>VLOOKUP(AK14,'AUX TABLES'!A$2:B$29,2)</f>
        <v>#VALUE!</v>
      </c>
      <c r="AM14" s="223" t="str">
        <f>IF(OR(ISTEXT(B14)=TRUE,ISTEXT('TECH DATA ENTRY'!L42)=TRUE), "NA",AL14*AI14)</f>
        <v>NA</v>
      </c>
      <c r="AN14" s="79"/>
    </row>
    <row r="15" spans="1:40" s="80" customFormat="1" ht="20.149999999999999" customHeight="1">
      <c r="A15" s="216"/>
      <c r="B15" s="249">
        <f>'TECH DATA ENTRY'!B43</f>
        <v>0</v>
      </c>
      <c r="C15" s="217" t="str">
        <f>'TECH DATA ENTRY'!O43</f>
        <v>Stdev 1</v>
      </c>
      <c r="D15" s="217">
        <v>1</v>
      </c>
      <c r="E15" s="218" t="e">
        <f t="shared" si="0"/>
        <v>#VALUE!</v>
      </c>
      <c r="F15" s="217" t="str">
        <f>'TECH DATA ENTRY'!P43</f>
        <v>Stdev 2</v>
      </c>
      <c r="G15" s="217">
        <v>1</v>
      </c>
      <c r="H15" s="218" t="e">
        <f t="shared" si="1"/>
        <v>#VALUE!</v>
      </c>
      <c r="I15" s="219" t="str">
        <f>'TECH DATA ENTRY'!Q43</f>
        <v>Resolution 1</v>
      </c>
      <c r="J15" s="219" t="str">
        <f>'TECH DATA ENTRY'!$G$26</f>
        <v>Digital</v>
      </c>
      <c r="K15" s="217">
        <v>1</v>
      </c>
      <c r="L15" s="218" t="e">
        <f t="shared" si="2"/>
        <v>#VALUE!</v>
      </c>
      <c r="M15" s="219" t="str">
        <f>'TECH DATA ENTRY'!R43</f>
        <v>Resolution 2</v>
      </c>
      <c r="N15" s="219" t="str">
        <f>'TECH DATA ENTRY'!$G$26</f>
        <v>Digital</v>
      </c>
      <c r="O15" s="217">
        <v>1</v>
      </c>
      <c r="P15" s="218" t="e">
        <f t="shared" si="3"/>
        <v>#VALUE!</v>
      </c>
      <c r="Q15" s="220" t="str">
        <f>'TECH DATA ENTRY'!S43</f>
        <v>Scope Uncertainty</v>
      </c>
      <c r="R15" s="217">
        <v>1</v>
      </c>
      <c r="S15" s="218" t="e">
        <f t="shared" si="4"/>
        <v>#VALUE!</v>
      </c>
      <c r="T15" s="220" t="str">
        <f>'TECH DATA ENTRY'!T43</f>
        <v>STD 2 Cal Unc</v>
      </c>
      <c r="U15" s="217">
        <v>1</v>
      </c>
      <c r="V15" s="218" t="e">
        <f t="shared" si="5"/>
        <v>#VALUE!</v>
      </c>
      <c r="W15" s="220" t="str">
        <f>'TECH DATA ENTRY'!U43</f>
        <v>Others 1</v>
      </c>
      <c r="X15" s="217">
        <v>1</v>
      </c>
      <c r="Y15" s="218" t="e">
        <f t="shared" si="6"/>
        <v>#VALUE!</v>
      </c>
      <c r="Z15" s="220" t="str">
        <f>'TECH DATA ENTRY'!V43</f>
        <v>Others 2</v>
      </c>
      <c r="AA15" s="217">
        <v>1</v>
      </c>
      <c r="AB15" s="218" t="e">
        <f t="shared" si="7"/>
        <v>#VALUE!</v>
      </c>
      <c r="AC15" s="220" t="str">
        <f>'TECH DATA ENTRY'!W43</f>
        <v>Others 3</v>
      </c>
      <c r="AD15" s="217">
        <v>1</v>
      </c>
      <c r="AE15" s="218" t="e">
        <f t="shared" si="8"/>
        <v>#VALUE!</v>
      </c>
      <c r="AF15" s="220" t="str">
        <f>'TECH DATA ENTRY'!X43</f>
        <v>Others 4</v>
      </c>
      <c r="AG15" s="217">
        <v>1</v>
      </c>
      <c r="AH15" s="218" t="e">
        <f t="shared" si="9"/>
        <v>#VALUE!</v>
      </c>
      <c r="AI15" s="219" t="e">
        <f t="shared" si="10"/>
        <v>#VALUE!</v>
      </c>
      <c r="AJ15" s="221">
        <f>'TECH DATA ENTRY'!K43</f>
        <v>0</v>
      </c>
      <c r="AK15" s="222" t="e">
        <f t="shared" si="11"/>
        <v>#VALUE!</v>
      </c>
      <c r="AL15" s="222" t="e">
        <f>VLOOKUP(AK15,'AUX TABLES'!A$2:B$29,2)</f>
        <v>#VALUE!</v>
      </c>
      <c r="AM15" s="223" t="e">
        <f>IF(OR(ISTEXT(B15)=TRUE,ISTEXT('TECH DATA ENTRY'!L43)=TRUE), "NA",AL15*AI15)</f>
        <v>#VALUE!</v>
      </c>
      <c r="AN15" s="79"/>
    </row>
    <row r="16" spans="1:40" s="80" customFormat="1" ht="20.149999999999999" customHeight="1">
      <c r="A16" s="216"/>
      <c r="B16" s="249">
        <f>'TECH DATA ENTRY'!B44</f>
        <v>0</v>
      </c>
      <c r="C16" s="217" t="str">
        <f>'TECH DATA ENTRY'!O44</f>
        <v/>
      </c>
      <c r="D16" s="217">
        <v>1</v>
      </c>
      <c r="E16" s="218" t="e">
        <f t="shared" si="0"/>
        <v>#VALUE!</v>
      </c>
      <c r="F16" s="217">
        <f>'TECH DATA ENTRY'!P44</f>
        <v>0</v>
      </c>
      <c r="G16" s="217">
        <v>1</v>
      </c>
      <c r="H16" s="218" t="e">
        <f t="shared" si="1"/>
        <v>#VALUE!</v>
      </c>
      <c r="I16" s="219">
        <f>'TECH DATA ENTRY'!Q44</f>
        <v>9.9999999999999995E-7</v>
      </c>
      <c r="J16" s="219" t="str">
        <f>'TECH DATA ENTRY'!$G$26</f>
        <v>Digital</v>
      </c>
      <c r="K16" s="217">
        <v>1</v>
      </c>
      <c r="L16" s="218">
        <f t="shared" si="2"/>
        <v>2.8867513459481289E-7</v>
      </c>
      <c r="M16" s="219">
        <f>'TECH DATA ENTRY'!R44</f>
        <v>0</v>
      </c>
      <c r="N16" s="219" t="str">
        <f>'TECH DATA ENTRY'!$G$26</f>
        <v>Digital</v>
      </c>
      <c r="O16" s="217">
        <v>1</v>
      </c>
      <c r="P16" s="218">
        <f t="shared" si="3"/>
        <v>0</v>
      </c>
      <c r="Q16" s="220">
        <f>'TECH DATA ENTRY'!S44</f>
        <v>6.9999999999999997E-7</v>
      </c>
      <c r="R16" s="217">
        <v>1</v>
      </c>
      <c r="S16" s="218">
        <f t="shared" si="4"/>
        <v>3.4999999999999998E-7</v>
      </c>
      <c r="T16" s="220">
        <f>'TECH DATA ENTRY'!T44</f>
        <v>0</v>
      </c>
      <c r="U16" s="217">
        <v>1</v>
      </c>
      <c r="V16" s="218">
        <f t="shared" si="5"/>
        <v>0</v>
      </c>
      <c r="W16" s="220">
        <f>'TECH DATA ENTRY'!U44</f>
        <v>0</v>
      </c>
      <c r="X16" s="217">
        <v>1</v>
      </c>
      <c r="Y16" s="218">
        <f t="shared" si="6"/>
        <v>0</v>
      </c>
      <c r="Z16" s="220">
        <f>'TECH DATA ENTRY'!V44</f>
        <v>0</v>
      </c>
      <c r="AA16" s="217">
        <v>1</v>
      </c>
      <c r="AB16" s="218">
        <f t="shared" si="7"/>
        <v>0</v>
      </c>
      <c r="AC16" s="220">
        <f>'TECH DATA ENTRY'!W44</f>
        <v>0</v>
      </c>
      <c r="AD16" s="217">
        <v>1</v>
      </c>
      <c r="AE16" s="218">
        <f t="shared" si="8"/>
        <v>0</v>
      </c>
      <c r="AF16" s="220">
        <f>'TECH DATA ENTRY'!X44</f>
        <v>0</v>
      </c>
      <c r="AG16" s="217">
        <v>1</v>
      </c>
      <c r="AH16" s="218">
        <f t="shared" si="9"/>
        <v>0</v>
      </c>
      <c r="AI16" s="219" t="e">
        <f t="shared" si="10"/>
        <v>#VALUE!</v>
      </c>
      <c r="AJ16" s="221" t="str">
        <f>'TECH DATA ENTRY'!K44</f>
        <v/>
      </c>
      <c r="AK16" s="222" t="e">
        <f t="shared" si="11"/>
        <v>#VALUE!</v>
      </c>
      <c r="AL16" s="222" t="e">
        <f>VLOOKUP(AK16,'AUX TABLES'!A$2:B$29,2)</f>
        <v>#VALUE!</v>
      </c>
      <c r="AM16" s="223" t="str">
        <f>IF(OR(ISTEXT(B16)=TRUE,ISTEXT('TECH DATA ENTRY'!L44)=TRUE), "NA",AL16*AI16)</f>
        <v>NA</v>
      </c>
      <c r="AN16" s="79"/>
    </row>
    <row r="17" spans="1:40" s="80" customFormat="1" ht="20.149999999999999" customHeight="1">
      <c r="A17" s="216"/>
      <c r="B17" s="249">
        <f>'TECH DATA ENTRY'!B45</f>
        <v>1</v>
      </c>
      <c r="C17" s="217" t="str">
        <f>'TECH DATA ENTRY'!O45</f>
        <v/>
      </c>
      <c r="D17" s="217">
        <v>1</v>
      </c>
      <c r="E17" s="218" t="e">
        <f t="shared" si="0"/>
        <v>#VALUE!</v>
      </c>
      <c r="F17" s="217">
        <f>'TECH DATA ENTRY'!P45</f>
        <v>0</v>
      </c>
      <c r="G17" s="217">
        <v>1</v>
      </c>
      <c r="H17" s="218" t="e">
        <f t="shared" si="1"/>
        <v>#VALUE!</v>
      </c>
      <c r="I17" s="219">
        <f>'TECH DATA ENTRY'!Q45</f>
        <v>9.9999999999999995E-7</v>
      </c>
      <c r="J17" s="219" t="str">
        <f>'TECH DATA ENTRY'!$G$26</f>
        <v>Digital</v>
      </c>
      <c r="K17" s="217">
        <v>1</v>
      </c>
      <c r="L17" s="218">
        <f t="shared" si="2"/>
        <v>2.8867513459481289E-7</v>
      </c>
      <c r="M17" s="219">
        <f>'TECH DATA ENTRY'!R45</f>
        <v>0</v>
      </c>
      <c r="N17" s="219" t="str">
        <f>'TECH DATA ENTRY'!$G$26</f>
        <v>Digital</v>
      </c>
      <c r="O17" s="217">
        <v>1</v>
      </c>
      <c r="P17" s="218">
        <f t="shared" si="3"/>
        <v>0</v>
      </c>
      <c r="Q17" s="220">
        <f>'TECH DATA ENTRY'!S45</f>
        <v>5.7999999999999995E-6</v>
      </c>
      <c r="R17" s="217">
        <v>1</v>
      </c>
      <c r="S17" s="218">
        <f t="shared" si="4"/>
        <v>2.8999999999999998E-6</v>
      </c>
      <c r="T17" s="220">
        <f>'TECH DATA ENTRY'!T45</f>
        <v>0</v>
      </c>
      <c r="U17" s="217">
        <v>1</v>
      </c>
      <c r="V17" s="218">
        <f t="shared" si="5"/>
        <v>0</v>
      </c>
      <c r="W17" s="220">
        <f>'TECH DATA ENTRY'!U45</f>
        <v>0</v>
      </c>
      <c r="X17" s="217">
        <v>1</v>
      </c>
      <c r="Y17" s="218">
        <f t="shared" si="6"/>
        <v>0</v>
      </c>
      <c r="Z17" s="220">
        <f>'TECH DATA ENTRY'!V45</f>
        <v>0</v>
      </c>
      <c r="AA17" s="217">
        <v>1</v>
      </c>
      <c r="AB17" s="218">
        <f t="shared" si="7"/>
        <v>0</v>
      </c>
      <c r="AC17" s="220">
        <f>'TECH DATA ENTRY'!W45</f>
        <v>0</v>
      </c>
      <c r="AD17" s="217">
        <v>1</v>
      </c>
      <c r="AE17" s="218">
        <f t="shared" si="8"/>
        <v>0</v>
      </c>
      <c r="AF17" s="220">
        <f>'TECH DATA ENTRY'!X45</f>
        <v>0</v>
      </c>
      <c r="AG17" s="217">
        <v>1</v>
      </c>
      <c r="AH17" s="218">
        <f t="shared" si="9"/>
        <v>0</v>
      </c>
      <c r="AI17" s="219" t="e">
        <f t="shared" si="10"/>
        <v>#VALUE!</v>
      </c>
      <c r="AJ17" s="221" t="str">
        <f>'TECH DATA ENTRY'!K45</f>
        <v/>
      </c>
      <c r="AK17" s="222" t="e">
        <f t="shared" si="11"/>
        <v>#VALUE!</v>
      </c>
      <c r="AL17" s="222" t="e">
        <f>VLOOKUP(AK17,'AUX TABLES'!A$2:B$29,2)</f>
        <v>#VALUE!</v>
      </c>
      <c r="AM17" s="223" t="str">
        <f>IF(OR(ISTEXT(B17)=TRUE,ISTEXT('TECH DATA ENTRY'!L45)=TRUE), "NA",AL17*AI17)</f>
        <v>NA</v>
      </c>
      <c r="AN17" s="79"/>
    </row>
    <row r="18" spans="1:40" s="80" customFormat="1" ht="20.149999999999999" customHeight="1">
      <c r="A18" s="216"/>
      <c r="B18" s="249">
        <f>'TECH DATA ENTRY'!B46</f>
        <v>-1</v>
      </c>
      <c r="C18" s="217" t="str">
        <f>'TECH DATA ENTRY'!O46</f>
        <v/>
      </c>
      <c r="D18" s="217">
        <v>1</v>
      </c>
      <c r="E18" s="218" t="e">
        <f t="shared" si="0"/>
        <v>#VALUE!</v>
      </c>
      <c r="F18" s="217">
        <f>'TECH DATA ENTRY'!P46</f>
        <v>0</v>
      </c>
      <c r="G18" s="217">
        <v>1</v>
      </c>
      <c r="H18" s="218" t="e">
        <f t="shared" si="1"/>
        <v>#VALUE!</v>
      </c>
      <c r="I18" s="219">
        <f>'TECH DATA ENTRY'!Q46</f>
        <v>9.9999999999999995E-7</v>
      </c>
      <c r="J18" s="219" t="str">
        <f>'TECH DATA ENTRY'!$G$26</f>
        <v>Digital</v>
      </c>
      <c r="K18" s="217">
        <v>1</v>
      </c>
      <c r="L18" s="218">
        <f t="shared" si="2"/>
        <v>2.8867513459481289E-7</v>
      </c>
      <c r="M18" s="219">
        <f>'TECH DATA ENTRY'!R46</f>
        <v>0</v>
      </c>
      <c r="N18" s="219" t="str">
        <f>'TECH DATA ENTRY'!$G$26</f>
        <v>Digital</v>
      </c>
      <c r="O18" s="217">
        <v>1</v>
      </c>
      <c r="P18" s="218">
        <f t="shared" si="3"/>
        <v>0</v>
      </c>
      <c r="Q18" s="220">
        <f>'TECH DATA ENTRY'!S46</f>
        <v>5.7999999999999995E-6</v>
      </c>
      <c r="R18" s="217">
        <v>1</v>
      </c>
      <c r="S18" s="218">
        <f t="shared" si="4"/>
        <v>2.8999999999999998E-6</v>
      </c>
      <c r="T18" s="220">
        <f>'TECH DATA ENTRY'!T46</f>
        <v>0</v>
      </c>
      <c r="U18" s="217">
        <v>1</v>
      </c>
      <c r="V18" s="218">
        <f t="shared" si="5"/>
        <v>0</v>
      </c>
      <c r="W18" s="220">
        <f>'TECH DATA ENTRY'!U46</f>
        <v>0</v>
      </c>
      <c r="X18" s="217">
        <v>1</v>
      </c>
      <c r="Y18" s="218">
        <f t="shared" si="6"/>
        <v>0</v>
      </c>
      <c r="Z18" s="220">
        <f>'TECH DATA ENTRY'!V46</f>
        <v>0</v>
      </c>
      <c r="AA18" s="217">
        <v>1</v>
      </c>
      <c r="AB18" s="218">
        <f t="shared" si="7"/>
        <v>0</v>
      </c>
      <c r="AC18" s="220">
        <f>'TECH DATA ENTRY'!W46</f>
        <v>0</v>
      </c>
      <c r="AD18" s="217">
        <v>1</v>
      </c>
      <c r="AE18" s="218">
        <f t="shared" si="8"/>
        <v>0</v>
      </c>
      <c r="AF18" s="220">
        <f>'TECH DATA ENTRY'!X46</f>
        <v>0</v>
      </c>
      <c r="AG18" s="217">
        <v>1</v>
      </c>
      <c r="AH18" s="218">
        <f t="shared" si="9"/>
        <v>0</v>
      </c>
      <c r="AI18" s="219" t="e">
        <f t="shared" si="10"/>
        <v>#VALUE!</v>
      </c>
      <c r="AJ18" s="221" t="str">
        <f>'TECH DATA ENTRY'!K46</f>
        <v/>
      </c>
      <c r="AK18" s="222" t="e">
        <f t="shared" si="11"/>
        <v>#VALUE!</v>
      </c>
      <c r="AL18" s="222" t="e">
        <f>VLOOKUP(AK18,'AUX TABLES'!A$2:B$29,2)</f>
        <v>#VALUE!</v>
      </c>
      <c r="AM18" s="223" t="str">
        <f>IF(OR(ISTEXT(B18)=TRUE,ISTEXT('TECH DATA ENTRY'!L46)=TRUE), "NA",AL18*AI18)</f>
        <v>NA</v>
      </c>
      <c r="AN18" s="79"/>
    </row>
    <row r="19" spans="1:40" s="80" customFormat="1" ht="20.149999999999999" customHeight="1">
      <c r="A19" s="216"/>
      <c r="B19" s="249">
        <f>'TECH DATA ENTRY'!B47</f>
        <v>0</v>
      </c>
      <c r="C19" s="217">
        <f>'TECH DATA ENTRY'!O47</f>
        <v>0</v>
      </c>
      <c r="D19" s="217">
        <v>1</v>
      </c>
      <c r="E19" s="218" t="e">
        <f t="shared" si="0"/>
        <v>#DIV/0!</v>
      </c>
      <c r="F19" s="217">
        <f>'TECH DATA ENTRY'!P47</f>
        <v>0</v>
      </c>
      <c r="G19" s="217">
        <v>1</v>
      </c>
      <c r="H19" s="218" t="e">
        <f t="shared" si="1"/>
        <v>#DIV/0!</v>
      </c>
      <c r="I19" s="219">
        <f>'TECH DATA ENTRY'!Q47</f>
        <v>0</v>
      </c>
      <c r="J19" s="219" t="str">
        <f>'TECH DATA ENTRY'!$G$26</f>
        <v>Digital</v>
      </c>
      <c r="K19" s="217">
        <v>1</v>
      </c>
      <c r="L19" s="218">
        <f t="shared" si="2"/>
        <v>0</v>
      </c>
      <c r="M19" s="219">
        <f>'TECH DATA ENTRY'!R47</f>
        <v>0</v>
      </c>
      <c r="N19" s="219" t="str">
        <f>'TECH DATA ENTRY'!$G$26</f>
        <v>Digital</v>
      </c>
      <c r="O19" s="217">
        <v>1</v>
      </c>
      <c r="P19" s="218">
        <f t="shared" si="3"/>
        <v>0</v>
      </c>
      <c r="Q19" s="220">
        <f>'TECH DATA ENTRY'!S47</f>
        <v>0</v>
      </c>
      <c r="R19" s="217">
        <v>1</v>
      </c>
      <c r="S19" s="218">
        <f t="shared" si="4"/>
        <v>0</v>
      </c>
      <c r="T19" s="220">
        <f>'TECH DATA ENTRY'!T47</f>
        <v>0</v>
      </c>
      <c r="U19" s="217">
        <v>1</v>
      </c>
      <c r="V19" s="218">
        <f t="shared" si="5"/>
        <v>0</v>
      </c>
      <c r="W19" s="220">
        <f>'TECH DATA ENTRY'!U47</f>
        <v>0</v>
      </c>
      <c r="X19" s="217">
        <v>1</v>
      </c>
      <c r="Y19" s="218">
        <f t="shared" si="6"/>
        <v>0</v>
      </c>
      <c r="Z19" s="220">
        <f>'TECH DATA ENTRY'!V47</f>
        <v>0</v>
      </c>
      <c r="AA19" s="217">
        <v>1</v>
      </c>
      <c r="AB19" s="218">
        <f t="shared" si="7"/>
        <v>0</v>
      </c>
      <c r="AC19" s="220">
        <f>'TECH DATA ENTRY'!W47</f>
        <v>0</v>
      </c>
      <c r="AD19" s="217">
        <v>1</v>
      </c>
      <c r="AE19" s="218">
        <f t="shared" si="8"/>
        <v>0</v>
      </c>
      <c r="AF19" s="220">
        <f>'TECH DATA ENTRY'!X47</f>
        <v>0</v>
      </c>
      <c r="AG19" s="217">
        <v>1</v>
      </c>
      <c r="AH19" s="218">
        <f t="shared" si="9"/>
        <v>0</v>
      </c>
      <c r="AI19" s="219" t="e">
        <f t="shared" si="10"/>
        <v>#DIV/0!</v>
      </c>
      <c r="AJ19" s="221">
        <f>'TECH DATA ENTRY'!K47</f>
        <v>0</v>
      </c>
      <c r="AK19" s="222" t="e">
        <f t="shared" si="11"/>
        <v>#DIV/0!</v>
      </c>
      <c r="AL19" s="222" t="e">
        <f>VLOOKUP(AK19,'AUX TABLES'!A$2:B$29,2)</f>
        <v>#DIV/0!</v>
      </c>
      <c r="AM19" s="223" t="e">
        <f>IF(OR(ISTEXT(B19)=TRUE,ISTEXT('TECH DATA ENTRY'!L47)=TRUE), "NA",AL19*AI19)</f>
        <v>#DIV/0!</v>
      </c>
      <c r="AN19" s="79"/>
    </row>
    <row r="20" spans="1:40" s="80" customFormat="1" ht="20.149999999999999" customHeight="1">
      <c r="A20" s="216"/>
      <c r="B20" s="249">
        <f>'TECH DATA ENTRY'!B48</f>
        <v>0</v>
      </c>
      <c r="C20" s="217">
        <f>'TECH DATA ENTRY'!O48</f>
        <v>0</v>
      </c>
      <c r="D20" s="217">
        <v>1</v>
      </c>
      <c r="E20" s="218" t="e">
        <f t="shared" si="0"/>
        <v>#DIV/0!</v>
      </c>
      <c r="F20" s="217">
        <f>'TECH DATA ENTRY'!P48</f>
        <v>0</v>
      </c>
      <c r="G20" s="217">
        <v>1</v>
      </c>
      <c r="H20" s="218" t="e">
        <f t="shared" si="1"/>
        <v>#DIV/0!</v>
      </c>
      <c r="I20" s="219">
        <f>'TECH DATA ENTRY'!Q48</f>
        <v>0</v>
      </c>
      <c r="J20" s="219" t="str">
        <f>'TECH DATA ENTRY'!$G$26</f>
        <v>Digital</v>
      </c>
      <c r="K20" s="217">
        <v>1</v>
      </c>
      <c r="L20" s="218">
        <f t="shared" si="2"/>
        <v>0</v>
      </c>
      <c r="M20" s="219">
        <f>'TECH DATA ENTRY'!R48</f>
        <v>0</v>
      </c>
      <c r="N20" s="219" t="str">
        <f>'TECH DATA ENTRY'!$G$26</f>
        <v>Digital</v>
      </c>
      <c r="O20" s="217">
        <v>1</v>
      </c>
      <c r="P20" s="218">
        <f t="shared" si="3"/>
        <v>0</v>
      </c>
      <c r="Q20" s="220">
        <f>'TECH DATA ENTRY'!S48</f>
        <v>0</v>
      </c>
      <c r="R20" s="217">
        <v>1</v>
      </c>
      <c r="S20" s="218">
        <f t="shared" si="4"/>
        <v>0</v>
      </c>
      <c r="T20" s="220">
        <f>'TECH DATA ENTRY'!T48</f>
        <v>0</v>
      </c>
      <c r="U20" s="217">
        <v>1</v>
      </c>
      <c r="V20" s="218">
        <f t="shared" si="5"/>
        <v>0</v>
      </c>
      <c r="W20" s="220">
        <f>'TECH DATA ENTRY'!U48</f>
        <v>0</v>
      </c>
      <c r="X20" s="217">
        <v>1</v>
      </c>
      <c r="Y20" s="218">
        <f t="shared" si="6"/>
        <v>0</v>
      </c>
      <c r="Z20" s="220">
        <f>'TECH DATA ENTRY'!V48</f>
        <v>0</v>
      </c>
      <c r="AA20" s="217">
        <v>1</v>
      </c>
      <c r="AB20" s="218">
        <f t="shared" si="7"/>
        <v>0</v>
      </c>
      <c r="AC20" s="220">
        <f>'TECH DATA ENTRY'!W48</f>
        <v>0</v>
      </c>
      <c r="AD20" s="217">
        <v>1</v>
      </c>
      <c r="AE20" s="218">
        <f t="shared" si="8"/>
        <v>0</v>
      </c>
      <c r="AF20" s="220">
        <f>'TECH DATA ENTRY'!X48</f>
        <v>0</v>
      </c>
      <c r="AG20" s="217">
        <v>1</v>
      </c>
      <c r="AH20" s="218">
        <f t="shared" si="9"/>
        <v>0</v>
      </c>
      <c r="AI20" s="219" t="e">
        <f t="shared" si="10"/>
        <v>#DIV/0!</v>
      </c>
      <c r="AJ20" s="221">
        <f>'TECH DATA ENTRY'!K48</f>
        <v>0</v>
      </c>
      <c r="AK20" s="222" t="e">
        <f t="shared" si="11"/>
        <v>#DIV/0!</v>
      </c>
      <c r="AL20" s="222" t="e">
        <f>VLOOKUP(AK20,'AUX TABLES'!A$2:B$29,2)</f>
        <v>#DIV/0!</v>
      </c>
      <c r="AM20" s="223" t="e">
        <f>IF(OR(ISTEXT(B20)=TRUE,ISTEXT('TECH DATA ENTRY'!L48)=TRUE), "NA",AL20*AI20)</f>
        <v>#DIV/0!</v>
      </c>
      <c r="AN20" s="79"/>
    </row>
    <row r="21" spans="1:40" s="80" customFormat="1" ht="20.149999999999999" customHeight="1">
      <c r="A21" s="216"/>
      <c r="B21" s="249">
        <f>'TECH DATA ENTRY'!B49</f>
        <v>0</v>
      </c>
      <c r="C21" s="217">
        <f>'TECH DATA ENTRY'!O49</f>
        <v>0</v>
      </c>
      <c r="D21" s="217">
        <v>1</v>
      </c>
      <c r="E21" s="218" t="e">
        <f t="shared" si="0"/>
        <v>#DIV/0!</v>
      </c>
      <c r="F21" s="217">
        <f>'TECH DATA ENTRY'!P49</f>
        <v>0</v>
      </c>
      <c r="G21" s="217">
        <v>1</v>
      </c>
      <c r="H21" s="218" t="e">
        <f t="shared" si="1"/>
        <v>#DIV/0!</v>
      </c>
      <c r="I21" s="219">
        <f>'TECH DATA ENTRY'!Q49</f>
        <v>0</v>
      </c>
      <c r="J21" s="219" t="str">
        <f>'TECH DATA ENTRY'!$G$26</f>
        <v>Digital</v>
      </c>
      <c r="K21" s="217">
        <v>1</v>
      </c>
      <c r="L21" s="218">
        <f t="shared" si="2"/>
        <v>0</v>
      </c>
      <c r="M21" s="219">
        <f>'TECH DATA ENTRY'!R49</f>
        <v>0</v>
      </c>
      <c r="N21" s="219" t="str">
        <f>'TECH DATA ENTRY'!$G$26</f>
        <v>Digital</v>
      </c>
      <c r="O21" s="217">
        <v>1</v>
      </c>
      <c r="P21" s="218">
        <f t="shared" si="3"/>
        <v>0</v>
      </c>
      <c r="Q21" s="220">
        <f>'TECH DATA ENTRY'!S49</f>
        <v>0</v>
      </c>
      <c r="R21" s="217">
        <v>1</v>
      </c>
      <c r="S21" s="218">
        <f t="shared" si="4"/>
        <v>0</v>
      </c>
      <c r="T21" s="220">
        <f>'TECH DATA ENTRY'!T49</f>
        <v>0</v>
      </c>
      <c r="U21" s="217">
        <v>1</v>
      </c>
      <c r="V21" s="218">
        <f t="shared" si="5"/>
        <v>0</v>
      </c>
      <c r="W21" s="220">
        <f>'TECH DATA ENTRY'!U49</f>
        <v>0</v>
      </c>
      <c r="X21" s="217">
        <v>1</v>
      </c>
      <c r="Y21" s="218">
        <f t="shared" si="6"/>
        <v>0</v>
      </c>
      <c r="Z21" s="220">
        <f>'TECH DATA ENTRY'!V49</f>
        <v>0</v>
      </c>
      <c r="AA21" s="217">
        <v>1</v>
      </c>
      <c r="AB21" s="218">
        <f t="shared" si="7"/>
        <v>0</v>
      </c>
      <c r="AC21" s="220">
        <f>'TECH DATA ENTRY'!W49</f>
        <v>0</v>
      </c>
      <c r="AD21" s="217">
        <v>1</v>
      </c>
      <c r="AE21" s="218">
        <f t="shared" si="8"/>
        <v>0</v>
      </c>
      <c r="AF21" s="220">
        <f>'TECH DATA ENTRY'!X49</f>
        <v>0</v>
      </c>
      <c r="AG21" s="217">
        <v>1</v>
      </c>
      <c r="AH21" s="218">
        <f t="shared" si="9"/>
        <v>0</v>
      </c>
      <c r="AI21" s="219" t="e">
        <f t="shared" si="10"/>
        <v>#DIV/0!</v>
      </c>
      <c r="AJ21" s="221">
        <f>'TECH DATA ENTRY'!K49</f>
        <v>0</v>
      </c>
      <c r="AK21" s="222" t="e">
        <f t="shared" si="11"/>
        <v>#DIV/0!</v>
      </c>
      <c r="AL21" s="222" t="e">
        <f>VLOOKUP(AK21,'AUX TABLES'!A$2:B$29,2)</f>
        <v>#DIV/0!</v>
      </c>
      <c r="AM21" s="223" t="e">
        <f>IF(OR(ISTEXT(B21)=TRUE,ISTEXT('TECH DATA ENTRY'!L49)=TRUE), "NA",AL21*AI21)</f>
        <v>#DIV/0!</v>
      </c>
      <c r="AN21" s="79"/>
    </row>
    <row r="22" spans="1:40" s="80" customFormat="1" ht="20.149999999999999" customHeight="1">
      <c r="A22" s="216"/>
      <c r="B22" s="249" t="str">
        <f>'TECH DATA ENTRY'!B50</f>
        <v>Nominal</v>
      </c>
      <c r="C22" s="217" t="str">
        <f>'TECH DATA ENTRY'!O50</f>
        <v>Uncertainty Components</v>
      </c>
      <c r="D22" s="217">
        <v>1</v>
      </c>
      <c r="E22" s="218" t="e">
        <f t="shared" si="0"/>
        <v>#VALUE!</v>
      </c>
      <c r="F22" s="217">
        <f>'TECH DATA ENTRY'!P50</f>
        <v>0</v>
      </c>
      <c r="G22" s="217">
        <v>1</v>
      </c>
      <c r="H22" s="218" t="e">
        <f t="shared" si="1"/>
        <v>#VALUE!</v>
      </c>
      <c r="I22" s="219">
        <f>'TECH DATA ENTRY'!Q50</f>
        <v>0</v>
      </c>
      <c r="J22" s="219" t="str">
        <f>'TECH DATA ENTRY'!$G$26</f>
        <v>Digital</v>
      </c>
      <c r="K22" s="217">
        <v>1</v>
      </c>
      <c r="L22" s="218">
        <f t="shared" si="2"/>
        <v>0</v>
      </c>
      <c r="M22" s="219">
        <f>'TECH DATA ENTRY'!R50</f>
        <v>0</v>
      </c>
      <c r="N22" s="219" t="str">
        <f>'TECH DATA ENTRY'!$G$26</f>
        <v>Digital</v>
      </c>
      <c r="O22" s="217">
        <v>1</v>
      </c>
      <c r="P22" s="218">
        <f t="shared" si="3"/>
        <v>0</v>
      </c>
      <c r="Q22" s="220">
        <f>'TECH DATA ENTRY'!S50</f>
        <v>0</v>
      </c>
      <c r="R22" s="217">
        <v>1</v>
      </c>
      <c r="S22" s="218">
        <f t="shared" si="4"/>
        <v>0</v>
      </c>
      <c r="T22" s="220">
        <f>'TECH DATA ENTRY'!T50</f>
        <v>0</v>
      </c>
      <c r="U22" s="217">
        <v>1</v>
      </c>
      <c r="V22" s="218">
        <f t="shared" si="5"/>
        <v>0</v>
      </c>
      <c r="W22" s="220">
        <f>'TECH DATA ENTRY'!U50</f>
        <v>0</v>
      </c>
      <c r="X22" s="217">
        <v>1</v>
      </c>
      <c r="Y22" s="218">
        <f t="shared" si="6"/>
        <v>0</v>
      </c>
      <c r="Z22" s="220">
        <f>'TECH DATA ENTRY'!V50</f>
        <v>0</v>
      </c>
      <c r="AA22" s="217">
        <v>1</v>
      </c>
      <c r="AB22" s="218">
        <f t="shared" si="7"/>
        <v>0</v>
      </c>
      <c r="AC22" s="220">
        <f>'TECH DATA ENTRY'!W50</f>
        <v>0</v>
      </c>
      <c r="AD22" s="217">
        <v>1</v>
      </c>
      <c r="AE22" s="218">
        <f t="shared" si="8"/>
        <v>0</v>
      </c>
      <c r="AF22" s="220">
        <f>'TECH DATA ENTRY'!X50</f>
        <v>0</v>
      </c>
      <c r="AG22" s="217">
        <v>1</v>
      </c>
      <c r="AH22" s="218">
        <f t="shared" si="9"/>
        <v>0</v>
      </c>
      <c r="AI22" s="219" t="e">
        <f t="shared" si="10"/>
        <v>#VALUE!</v>
      </c>
      <c r="AJ22" s="221" t="str">
        <f>'TECH DATA ENTRY'!K50</f>
        <v>n</v>
      </c>
      <c r="AK22" s="222" t="e">
        <f t="shared" si="11"/>
        <v>#VALUE!</v>
      </c>
      <c r="AL22" s="222" t="e">
        <f>VLOOKUP(AK22,'AUX TABLES'!A$2:B$29,2)</f>
        <v>#VALUE!</v>
      </c>
      <c r="AM22" s="223" t="str">
        <f>IF(OR(ISTEXT(B22)=TRUE,ISTEXT('TECH DATA ENTRY'!L50)=TRUE), "NA",AL22*AI22)</f>
        <v>NA</v>
      </c>
      <c r="AN22" s="79"/>
    </row>
    <row r="23" spans="1:40" s="80" customFormat="1" ht="20.149999999999999" customHeight="1">
      <c r="A23" s="216"/>
      <c r="B23" s="249">
        <f>'TECH DATA ENTRY'!B51</f>
        <v>0</v>
      </c>
      <c r="C23" s="217" t="str">
        <f>'TECH DATA ENTRY'!O51</f>
        <v>Stdev 1</v>
      </c>
      <c r="D23" s="217">
        <v>1</v>
      </c>
      <c r="E23" s="218" t="e">
        <f t="shared" si="0"/>
        <v>#VALUE!</v>
      </c>
      <c r="F23" s="217" t="str">
        <f>'TECH DATA ENTRY'!P51</f>
        <v>Stdev 2</v>
      </c>
      <c r="G23" s="217">
        <v>1</v>
      </c>
      <c r="H23" s="218" t="e">
        <f t="shared" si="1"/>
        <v>#VALUE!</v>
      </c>
      <c r="I23" s="219" t="str">
        <f>'TECH DATA ENTRY'!Q51</f>
        <v>Resolution 1</v>
      </c>
      <c r="J23" s="219" t="str">
        <f>'TECH DATA ENTRY'!$G$26</f>
        <v>Digital</v>
      </c>
      <c r="K23" s="217">
        <v>1</v>
      </c>
      <c r="L23" s="218" t="e">
        <f t="shared" si="2"/>
        <v>#VALUE!</v>
      </c>
      <c r="M23" s="219" t="str">
        <f>'TECH DATA ENTRY'!R51</f>
        <v>Resolution 2</v>
      </c>
      <c r="N23" s="219" t="str">
        <f>'TECH DATA ENTRY'!$G$26</f>
        <v>Digital</v>
      </c>
      <c r="O23" s="217">
        <v>1</v>
      </c>
      <c r="P23" s="218" t="e">
        <f t="shared" si="3"/>
        <v>#VALUE!</v>
      </c>
      <c r="Q23" s="220" t="str">
        <f>'TECH DATA ENTRY'!S51</f>
        <v>Scope Uncertainty</v>
      </c>
      <c r="R23" s="217">
        <v>1</v>
      </c>
      <c r="S23" s="218" t="e">
        <f t="shared" si="4"/>
        <v>#VALUE!</v>
      </c>
      <c r="T23" s="220" t="str">
        <f>'TECH DATA ENTRY'!T51</f>
        <v>STD 2 Cal Unc</v>
      </c>
      <c r="U23" s="217">
        <v>1</v>
      </c>
      <c r="V23" s="218" t="e">
        <f t="shared" si="5"/>
        <v>#VALUE!</v>
      </c>
      <c r="W23" s="220" t="str">
        <f>'TECH DATA ENTRY'!U51</f>
        <v>Others 1</v>
      </c>
      <c r="X23" s="217">
        <v>1</v>
      </c>
      <c r="Y23" s="218" t="e">
        <f t="shared" si="6"/>
        <v>#VALUE!</v>
      </c>
      <c r="Z23" s="220" t="str">
        <f>'TECH DATA ENTRY'!V51</f>
        <v>Others 2</v>
      </c>
      <c r="AA23" s="217">
        <v>1</v>
      </c>
      <c r="AB23" s="218" t="e">
        <f t="shared" si="7"/>
        <v>#VALUE!</v>
      </c>
      <c r="AC23" s="220" t="str">
        <f>'TECH DATA ENTRY'!W51</f>
        <v>Others 3</v>
      </c>
      <c r="AD23" s="217">
        <v>1</v>
      </c>
      <c r="AE23" s="218" t="e">
        <f t="shared" si="8"/>
        <v>#VALUE!</v>
      </c>
      <c r="AF23" s="220" t="str">
        <f>'TECH DATA ENTRY'!X51</f>
        <v>Others 4</v>
      </c>
      <c r="AG23" s="217">
        <v>1</v>
      </c>
      <c r="AH23" s="218" t="e">
        <f t="shared" si="9"/>
        <v>#VALUE!</v>
      </c>
      <c r="AI23" s="219" t="e">
        <f t="shared" si="10"/>
        <v>#VALUE!</v>
      </c>
      <c r="AJ23" s="221">
        <f>'TECH DATA ENTRY'!K51</f>
        <v>0</v>
      </c>
      <c r="AK23" s="222" t="e">
        <f t="shared" si="11"/>
        <v>#VALUE!</v>
      </c>
      <c r="AL23" s="222" t="e">
        <f>VLOOKUP(AK23,'AUX TABLES'!A$2:B$29,2)</f>
        <v>#VALUE!</v>
      </c>
      <c r="AM23" s="223" t="e">
        <f>IF(OR(ISTEXT(B23)=TRUE,ISTEXT('TECH DATA ENTRY'!L51)=TRUE), "NA",AL23*AI23)</f>
        <v>#VALUE!</v>
      </c>
      <c r="AN23" s="79"/>
    </row>
    <row r="24" spans="1:40" s="80" customFormat="1" ht="20.149999999999999" customHeight="1">
      <c r="A24" s="216"/>
      <c r="B24" s="249">
        <f>'TECH DATA ENTRY'!B52</f>
        <v>0</v>
      </c>
      <c r="C24" s="217" t="str">
        <f>'TECH DATA ENTRY'!O52</f>
        <v/>
      </c>
      <c r="D24" s="217">
        <v>1</v>
      </c>
      <c r="E24" s="218" t="e">
        <f t="shared" si="0"/>
        <v>#VALUE!</v>
      </c>
      <c r="F24" s="217">
        <f>'TECH DATA ENTRY'!P52</f>
        <v>0</v>
      </c>
      <c r="G24" s="217">
        <v>1</v>
      </c>
      <c r="H24" s="218" t="e">
        <f t="shared" si="1"/>
        <v>#VALUE!</v>
      </c>
      <c r="I24" s="219">
        <f>'TECH DATA ENTRY'!Q52</f>
        <v>1.0000000000000001E-5</v>
      </c>
      <c r="J24" s="219" t="str">
        <f>'TECH DATA ENTRY'!$G$26</f>
        <v>Digital</v>
      </c>
      <c r="K24" s="217">
        <v>1</v>
      </c>
      <c r="L24" s="218">
        <f t="shared" si="2"/>
        <v>2.8867513459481293E-6</v>
      </c>
      <c r="M24" s="219">
        <f>'TECH DATA ENTRY'!R52</f>
        <v>0</v>
      </c>
      <c r="N24" s="219" t="str">
        <f>'TECH DATA ENTRY'!$G$26</f>
        <v>Digital</v>
      </c>
      <c r="O24" s="217">
        <v>1</v>
      </c>
      <c r="P24" s="218">
        <f t="shared" si="3"/>
        <v>0</v>
      </c>
      <c r="Q24" s="220">
        <f>'TECH DATA ENTRY'!S52</f>
        <v>2.5000000000000002E-6</v>
      </c>
      <c r="R24" s="217">
        <v>1</v>
      </c>
      <c r="S24" s="218">
        <f t="shared" si="4"/>
        <v>1.2500000000000001E-6</v>
      </c>
      <c r="T24" s="220">
        <f>'TECH DATA ENTRY'!T52</f>
        <v>0</v>
      </c>
      <c r="U24" s="217">
        <v>1</v>
      </c>
      <c r="V24" s="218">
        <f t="shared" si="5"/>
        <v>0</v>
      </c>
      <c r="W24" s="220">
        <f>'TECH DATA ENTRY'!U52</f>
        <v>0</v>
      </c>
      <c r="X24" s="217">
        <v>1</v>
      </c>
      <c r="Y24" s="218">
        <f t="shared" si="6"/>
        <v>0</v>
      </c>
      <c r="Z24" s="220">
        <f>'TECH DATA ENTRY'!V52</f>
        <v>0</v>
      </c>
      <c r="AA24" s="217">
        <v>1</v>
      </c>
      <c r="AB24" s="218">
        <f t="shared" si="7"/>
        <v>0</v>
      </c>
      <c r="AC24" s="220">
        <f>'TECH DATA ENTRY'!W52</f>
        <v>0</v>
      </c>
      <c r="AD24" s="217">
        <v>1</v>
      </c>
      <c r="AE24" s="218">
        <f t="shared" si="8"/>
        <v>0</v>
      </c>
      <c r="AF24" s="220">
        <f>'TECH DATA ENTRY'!X52</f>
        <v>0</v>
      </c>
      <c r="AG24" s="217">
        <v>1</v>
      </c>
      <c r="AH24" s="218">
        <f t="shared" si="9"/>
        <v>0</v>
      </c>
      <c r="AI24" s="219" t="e">
        <f t="shared" si="10"/>
        <v>#VALUE!</v>
      </c>
      <c r="AJ24" s="221" t="str">
        <f>'TECH DATA ENTRY'!K52</f>
        <v/>
      </c>
      <c r="AK24" s="222" t="e">
        <f t="shared" si="11"/>
        <v>#VALUE!</v>
      </c>
      <c r="AL24" s="222" t="e">
        <f>VLOOKUP(AK24,'AUX TABLES'!A$2:B$29,2)</f>
        <v>#VALUE!</v>
      </c>
      <c r="AM24" s="223" t="str">
        <f>IF(OR(ISTEXT(B24)=TRUE,ISTEXT('TECH DATA ENTRY'!L52)=TRUE), "NA",AL24*AI24)</f>
        <v>NA</v>
      </c>
      <c r="AN24" s="79"/>
    </row>
    <row r="25" spans="1:40" s="80" customFormat="1" ht="20.149999999999999" customHeight="1">
      <c r="A25" s="216"/>
      <c r="B25" s="249">
        <f>'TECH DATA ENTRY'!B53</f>
        <v>5</v>
      </c>
      <c r="C25" s="217" t="str">
        <f>'TECH DATA ENTRY'!O53</f>
        <v/>
      </c>
      <c r="D25" s="217">
        <v>1</v>
      </c>
      <c r="E25" s="218" t="e">
        <f t="shared" si="0"/>
        <v>#VALUE!</v>
      </c>
      <c r="F25" s="217">
        <f>'TECH DATA ENTRY'!P53</f>
        <v>0</v>
      </c>
      <c r="G25" s="217">
        <v>1</v>
      </c>
      <c r="H25" s="218" t="e">
        <f t="shared" si="1"/>
        <v>#VALUE!</v>
      </c>
      <c r="I25" s="219">
        <f>'TECH DATA ENTRY'!Q53</f>
        <v>1.0000000000000001E-5</v>
      </c>
      <c r="J25" s="219" t="str">
        <f>'TECH DATA ENTRY'!$G$26</f>
        <v>Digital</v>
      </c>
      <c r="K25" s="217">
        <v>1</v>
      </c>
      <c r="L25" s="218">
        <f t="shared" si="2"/>
        <v>2.8867513459481293E-6</v>
      </c>
      <c r="M25" s="219">
        <f>'TECH DATA ENTRY'!R53</f>
        <v>0</v>
      </c>
      <c r="N25" s="219" t="str">
        <f>'TECH DATA ENTRY'!$G$26</f>
        <v>Digital</v>
      </c>
      <c r="O25" s="217">
        <v>1</v>
      </c>
      <c r="P25" s="218">
        <f t="shared" si="3"/>
        <v>0</v>
      </c>
      <c r="Q25" s="220">
        <f>'TECH DATA ENTRY'!S53</f>
        <v>1.7500000000000002E-5</v>
      </c>
      <c r="R25" s="217">
        <v>1</v>
      </c>
      <c r="S25" s="218">
        <f t="shared" si="4"/>
        <v>8.7500000000000009E-6</v>
      </c>
      <c r="T25" s="220">
        <f>'TECH DATA ENTRY'!T53</f>
        <v>0</v>
      </c>
      <c r="U25" s="217">
        <v>1</v>
      </c>
      <c r="V25" s="218">
        <f t="shared" si="5"/>
        <v>0</v>
      </c>
      <c r="W25" s="220">
        <f>'TECH DATA ENTRY'!U53</f>
        <v>0</v>
      </c>
      <c r="X25" s="217">
        <v>1</v>
      </c>
      <c r="Y25" s="218">
        <f t="shared" si="6"/>
        <v>0</v>
      </c>
      <c r="Z25" s="220">
        <f>'TECH DATA ENTRY'!V53</f>
        <v>0</v>
      </c>
      <c r="AA25" s="217">
        <v>1</v>
      </c>
      <c r="AB25" s="218">
        <f t="shared" si="7"/>
        <v>0</v>
      </c>
      <c r="AC25" s="220">
        <f>'TECH DATA ENTRY'!W53</f>
        <v>0</v>
      </c>
      <c r="AD25" s="217">
        <v>1</v>
      </c>
      <c r="AE25" s="218">
        <f t="shared" si="8"/>
        <v>0</v>
      </c>
      <c r="AF25" s="220">
        <f>'TECH DATA ENTRY'!X53</f>
        <v>0</v>
      </c>
      <c r="AG25" s="217">
        <v>1</v>
      </c>
      <c r="AH25" s="218">
        <f t="shared" si="9"/>
        <v>0</v>
      </c>
      <c r="AI25" s="219" t="e">
        <f t="shared" si="10"/>
        <v>#VALUE!</v>
      </c>
      <c r="AJ25" s="221" t="str">
        <f>'TECH DATA ENTRY'!K53</f>
        <v/>
      </c>
      <c r="AK25" s="222" t="e">
        <f t="shared" si="11"/>
        <v>#VALUE!</v>
      </c>
      <c r="AL25" s="222" t="e">
        <f>VLOOKUP(AK25,'AUX TABLES'!A$2:B$29,2)</f>
        <v>#VALUE!</v>
      </c>
      <c r="AM25" s="223" t="str">
        <f>IF(OR(ISTEXT(B25)=TRUE,ISTEXT('TECH DATA ENTRY'!L53)=TRUE), "NA",AL25*AI25)</f>
        <v>NA</v>
      </c>
      <c r="AN25" s="79"/>
    </row>
    <row r="26" spans="1:40" s="80" customFormat="1" ht="20.149999999999999" customHeight="1">
      <c r="A26" s="216"/>
      <c r="B26" s="249">
        <f>'TECH DATA ENTRY'!B54</f>
        <v>-5</v>
      </c>
      <c r="C26" s="217" t="str">
        <f>'TECH DATA ENTRY'!O54</f>
        <v/>
      </c>
      <c r="D26" s="217">
        <v>1</v>
      </c>
      <c r="E26" s="218" t="e">
        <f t="shared" si="0"/>
        <v>#VALUE!</v>
      </c>
      <c r="F26" s="217">
        <f>'TECH DATA ENTRY'!P54</f>
        <v>0</v>
      </c>
      <c r="G26" s="217">
        <v>1</v>
      </c>
      <c r="H26" s="218" t="e">
        <f t="shared" si="1"/>
        <v>#VALUE!</v>
      </c>
      <c r="I26" s="219">
        <f>'TECH DATA ENTRY'!Q54</f>
        <v>1.0000000000000001E-5</v>
      </c>
      <c r="J26" s="219" t="str">
        <f>'TECH DATA ENTRY'!$G$26</f>
        <v>Digital</v>
      </c>
      <c r="K26" s="217">
        <v>1</v>
      </c>
      <c r="L26" s="218">
        <f t="shared" si="2"/>
        <v>2.8867513459481293E-6</v>
      </c>
      <c r="M26" s="219">
        <f>'TECH DATA ENTRY'!R54</f>
        <v>0</v>
      </c>
      <c r="N26" s="219" t="str">
        <f>'TECH DATA ENTRY'!$G$26</f>
        <v>Digital</v>
      </c>
      <c r="O26" s="217">
        <v>1</v>
      </c>
      <c r="P26" s="218">
        <f t="shared" si="3"/>
        <v>0</v>
      </c>
      <c r="Q26" s="220">
        <f>'TECH DATA ENTRY'!S54</f>
        <v>1.7500000000000002E-5</v>
      </c>
      <c r="R26" s="217">
        <v>1</v>
      </c>
      <c r="S26" s="218">
        <f t="shared" si="4"/>
        <v>8.7500000000000009E-6</v>
      </c>
      <c r="T26" s="220">
        <f>'TECH DATA ENTRY'!T54</f>
        <v>0</v>
      </c>
      <c r="U26" s="217">
        <v>1</v>
      </c>
      <c r="V26" s="218">
        <f t="shared" si="5"/>
        <v>0</v>
      </c>
      <c r="W26" s="220">
        <f>'TECH DATA ENTRY'!U54</f>
        <v>0</v>
      </c>
      <c r="X26" s="217">
        <v>1</v>
      </c>
      <c r="Y26" s="218">
        <f t="shared" si="6"/>
        <v>0</v>
      </c>
      <c r="Z26" s="220">
        <f>'TECH DATA ENTRY'!V54</f>
        <v>0</v>
      </c>
      <c r="AA26" s="217">
        <v>1</v>
      </c>
      <c r="AB26" s="218">
        <f t="shared" si="7"/>
        <v>0</v>
      </c>
      <c r="AC26" s="220">
        <f>'TECH DATA ENTRY'!W54</f>
        <v>0</v>
      </c>
      <c r="AD26" s="217">
        <v>1</v>
      </c>
      <c r="AE26" s="218">
        <f t="shared" si="8"/>
        <v>0</v>
      </c>
      <c r="AF26" s="220">
        <f>'TECH DATA ENTRY'!X54</f>
        <v>0</v>
      </c>
      <c r="AG26" s="217">
        <v>1</v>
      </c>
      <c r="AH26" s="218">
        <f t="shared" si="9"/>
        <v>0</v>
      </c>
      <c r="AI26" s="219" t="e">
        <f t="shared" si="10"/>
        <v>#VALUE!</v>
      </c>
      <c r="AJ26" s="221" t="str">
        <f>'TECH DATA ENTRY'!K54</f>
        <v/>
      </c>
      <c r="AK26" s="222" t="e">
        <f t="shared" si="11"/>
        <v>#VALUE!</v>
      </c>
      <c r="AL26" s="222" t="e">
        <f>VLOOKUP(AK26,'AUX TABLES'!A$2:B$29,2)</f>
        <v>#VALUE!</v>
      </c>
      <c r="AM26" s="223" t="str">
        <f>IF(OR(ISTEXT(B26)=TRUE,ISTEXT('TECH DATA ENTRY'!L54)=TRUE), "NA",AL26*AI26)</f>
        <v>NA</v>
      </c>
      <c r="AN26" s="79"/>
    </row>
    <row r="27" spans="1:40" s="80" customFormat="1" ht="20.149999999999999" customHeight="1">
      <c r="A27" s="216"/>
      <c r="B27" s="249">
        <f>'TECH DATA ENTRY'!B55</f>
        <v>10</v>
      </c>
      <c r="C27" s="217" t="str">
        <f>'TECH DATA ENTRY'!O55</f>
        <v/>
      </c>
      <c r="D27" s="217">
        <v>1</v>
      </c>
      <c r="E27" s="218" t="e">
        <f t="shared" si="0"/>
        <v>#VALUE!</v>
      </c>
      <c r="F27" s="217">
        <f>'TECH DATA ENTRY'!P55</f>
        <v>0</v>
      </c>
      <c r="G27" s="217">
        <v>1</v>
      </c>
      <c r="H27" s="218" t="e">
        <f t="shared" si="1"/>
        <v>#VALUE!</v>
      </c>
      <c r="I27" s="219">
        <f>'TECH DATA ENTRY'!Q55</f>
        <v>1.0000000000000001E-5</v>
      </c>
      <c r="J27" s="219" t="str">
        <f>'TECH DATA ENTRY'!$G$26</f>
        <v>Digital</v>
      </c>
      <c r="K27" s="217">
        <v>1</v>
      </c>
      <c r="L27" s="218">
        <f t="shared" si="2"/>
        <v>2.8867513459481293E-6</v>
      </c>
      <c r="M27" s="219">
        <f>'TECH DATA ENTRY'!R55</f>
        <v>0</v>
      </c>
      <c r="N27" s="219" t="str">
        <f>'TECH DATA ENTRY'!$G$26</f>
        <v>Digital</v>
      </c>
      <c r="O27" s="217">
        <v>1</v>
      </c>
      <c r="P27" s="218">
        <f t="shared" si="3"/>
        <v>0</v>
      </c>
      <c r="Q27" s="220">
        <f>'TECH DATA ENTRY'!S55</f>
        <v>3.2500000000000004E-5</v>
      </c>
      <c r="R27" s="217">
        <v>1</v>
      </c>
      <c r="S27" s="218">
        <f t="shared" si="4"/>
        <v>1.6250000000000002E-5</v>
      </c>
      <c r="T27" s="220">
        <f>'TECH DATA ENTRY'!T55</f>
        <v>0</v>
      </c>
      <c r="U27" s="217">
        <v>1</v>
      </c>
      <c r="V27" s="218">
        <f t="shared" si="5"/>
        <v>0</v>
      </c>
      <c r="W27" s="220">
        <f>'TECH DATA ENTRY'!U55</f>
        <v>0</v>
      </c>
      <c r="X27" s="217">
        <v>1</v>
      </c>
      <c r="Y27" s="218">
        <f t="shared" si="6"/>
        <v>0</v>
      </c>
      <c r="Z27" s="220">
        <f>'TECH DATA ENTRY'!V55</f>
        <v>0</v>
      </c>
      <c r="AA27" s="217">
        <v>1</v>
      </c>
      <c r="AB27" s="218">
        <f t="shared" si="7"/>
        <v>0</v>
      </c>
      <c r="AC27" s="220">
        <f>'TECH DATA ENTRY'!W55</f>
        <v>0</v>
      </c>
      <c r="AD27" s="217">
        <v>1</v>
      </c>
      <c r="AE27" s="218">
        <f t="shared" si="8"/>
        <v>0</v>
      </c>
      <c r="AF27" s="220">
        <f>'TECH DATA ENTRY'!X55</f>
        <v>0</v>
      </c>
      <c r="AG27" s="217">
        <v>1</v>
      </c>
      <c r="AH27" s="218">
        <f t="shared" si="9"/>
        <v>0</v>
      </c>
      <c r="AI27" s="219" t="e">
        <f t="shared" si="10"/>
        <v>#VALUE!</v>
      </c>
      <c r="AJ27" s="221" t="str">
        <f>'TECH DATA ENTRY'!K55</f>
        <v/>
      </c>
      <c r="AK27" s="222" t="e">
        <f t="shared" si="11"/>
        <v>#VALUE!</v>
      </c>
      <c r="AL27" s="222" t="e">
        <f>VLOOKUP(AK27,'AUX TABLES'!A$2:B$29,2)</f>
        <v>#VALUE!</v>
      </c>
      <c r="AM27" s="223" t="str">
        <f>IF(OR(ISTEXT(B27)=TRUE,ISTEXT('TECH DATA ENTRY'!L55)=TRUE), "NA",AL27*AI27)</f>
        <v>NA</v>
      </c>
      <c r="AN27" s="79"/>
    </row>
    <row r="28" spans="1:40" s="80" customFormat="1" ht="20.149999999999999" customHeight="1">
      <c r="A28" s="216"/>
      <c r="B28" s="249">
        <f>'TECH DATA ENTRY'!B56</f>
        <v>-10</v>
      </c>
      <c r="C28" s="217" t="str">
        <f>'TECH DATA ENTRY'!O56</f>
        <v/>
      </c>
      <c r="D28" s="217">
        <v>1</v>
      </c>
      <c r="E28" s="218" t="e">
        <f t="shared" si="0"/>
        <v>#VALUE!</v>
      </c>
      <c r="F28" s="217">
        <f>'TECH DATA ENTRY'!P56</f>
        <v>0</v>
      </c>
      <c r="G28" s="217">
        <v>1</v>
      </c>
      <c r="H28" s="218" t="e">
        <f t="shared" si="1"/>
        <v>#VALUE!</v>
      </c>
      <c r="I28" s="219">
        <f>'TECH DATA ENTRY'!Q56</f>
        <v>1.0000000000000001E-5</v>
      </c>
      <c r="J28" s="219" t="str">
        <f>'TECH DATA ENTRY'!$G$26</f>
        <v>Digital</v>
      </c>
      <c r="K28" s="217">
        <v>1</v>
      </c>
      <c r="L28" s="218">
        <f t="shared" si="2"/>
        <v>2.8867513459481293E-6</v>
      </c>
      <c r="M28" s="219">
        <f>'TECH DATA ENTRY'!R56</f>
        <v>0</v>
      </c>
      <c r="N28" s="219" t="str">
        <f>'TECH DATA ENTRY'!$G$26</f>
        <v>Digital</v>
      </c>
      <c r="O28" s="217">
        <v>1</v>
      </c>
      <c r="P28" s="218">
        <f t="shared" si="3"/>
        <v>0</v>
      </c>
      <c r="Q28" s="220">
        <f>'TECH DATA ENTRY'!S56</f>
        <v>3.2500000000000004E-5</v>
      </c>
      <c r="R28" s="217">
        <v>1</v>
      </c>
      <c r="S28" s="218">
        <f t="shared" si="4"/>
        <v>1.6250000000000002E-5</v>
      </c>
      <c r="T28" s="220">
        <f>'TECH DATA ENTRY'!T56</f>
        <v>0</v>
      </c>
      <c r="U28" s="217">
        <v>1</v>
      </c>
      <c r="V28" s="218">
        <f t="shared" si="5"/>
        <v>0</v>
      </c>
      <c r="W28" s="220">
        <f>'TECH DATA ENTRY'!U56</f>
        <v>0</v>
      </c>
      <c r="X28" s="217">
        <v>1</v>
      </c>
      <c r="Y28" s="218">
        <f t="shared" si="6"/>
        <v>0</v>
      </c>
      <c r="Z28" s="220">
        <f>'TECH DATA ENTRY'!V56</f>
        <v>0</v>
      </c>
      <c r="AA28" s="217">
        <v>1</v>
      </c>
      <c r="AB28" s="218">
        <f t="shared" si="7"/>
        <v>0</v>
      </c>
      <c r="AC28" s="220">
        <f>'TECH DATA ENTRY'!W56</f>
        <v>0</v>
      </c>
      <c r="AD28" s="217">
        <v>1</v>
      </c>
      <c r="AE28" s="218">
        <f t="shared" si="8"/>
        <v>0</v>
      </c>
      <c r="AF28" s="220">
        <f>'TECH DATA ENTRY'!X56</f>
        <v>0</v>
      </c>
      <c r="AG28" s="217">
        <v>1</v>
      </c>
      <c r="AH28" s="218">
        <f t="shared" si="9"/>
        <v>0</v>
      </c>
      <c r="AI28" s="219" t="e">
        <f t="shared" si="10"/>
        <v>#VALUE!</v>
      </c>
      <c r="AJ28" s="221" t="str">
        <f>'TECH DATA ENTRY'!K56</f>
        <v/>
      </c>
      <c r="AK28" s="222" t="e">
        <f t="shared" si="11"/>
        <v>#VALUE!</v>
      </c>
      <c r="AL28" s="222" t="e">
        <f>VLOOKUP(AK28,'AUX TABLES'!A$2:B$29,2)</f>
        <v>#VALUE!</v>
      </c>
      <c r="AM28" s="223" t="str">
        <f>IF(OR(ISTEXT(B28)=TRUE,ISTEXT('TECH DATA ENTRY'!L56)=TRUE), "NA",AL28*AI28)</f>
        <v>NA</v>
      </c>
      <c r="AN28" s="79"/>
    </row>
    <row r="29" spans="1:40" s="80" customFormat="1" ht="20.149999999999999" customHeight="1">
      <c r="A29" s="216"/>
      <c r="B29" s="249">
        <f>'TECH DATA ENTRY'!B57</f>
        <v>0</v>
      </c>
      <c r="C29" s="217">
        <f>'TECH DATA ENTRY'!O57</f>
        <v>0</v>
      </c>
      <c r="D29" s="217">
        <v>1</v>
      </c>
      <c r="E29" s="218" t="e">
        <f t="shared" si="0"/>
        <v>#DIV/0!</v>
      </c>
      <c r="F29" s="217">
        <f>'TECH DATA ENTRY'!P57</f>
        <v>0</v>
      </c>
      <c r="G29" s="217">
        <v>1</v>
      </c>
      <c r="H29" s="218" t="e">
        <f t="shared" si="1"/>
        <v>#DIV/0!</v>
      </c>
      <c r="I29" s="219">
        <f>'TECH DATA ENTRY'!Q57</f>
        <v>0</v>
      </c>
      <c r="J29" s="219" t="str">
        <f>'TECH DATA ENTRY'!$G$26</f>
        <v>Digital</v>
      </c>
      <c r="K29" s="217">
        <v>1</v>
      </c>
      <c r="L29" s="218">
        <f t="shared" si="2"/>
        <v>0</v>
      </c>
      <c r="M29" s="219">
        <f>'TECH DATA ENTRY'!R57</f>
        <v>0</v>
      </c>
      <c r="N29" s="219" t="str">
        <f>'TECH DATA ENTRY'!$G$26</f>
        <v>Digital</v>
      </c>
      <c r="O29" s="217">
        <v>1</v>
      </c>
      <c r="P29" s="218">
        <f t="shared" si="3"/>
        <v>0</v>
      </c>
      <c r="Q29" s="220">
        <f>'TECH DATA ENTRY'!S57</f>
        <v>0</v>
      </c>
      <c r="R29" s="217">
        <v>1</v>
      </c>
      <c r="S29" s="218">
        <f t="shared" si="4"/>
        <v>0</v>
      </c>
      <c r="T29" s="220">
        <f>'TECH DATA ENTRY'!T57</f>
        <v>0</v>
      </c>
      <c r="U29" s="217">
        <v>1</v>
      </c>
      <c r="V29" s="218">
        <f t="shared" si="5"/>
        <v>0</v>
      </c>
      <c r="W29" s="220">
        <f>'TECH DATA ENTRY'!U57</f>
        <v>0</v>
      </c>
      <c r="X29" s="217">
        <v>1</v>
      </c>
      <c r="Y29" s="218">
        <f t="shared" si="6"/>
        <v>0</v>
      </c>
      <c r="Z29" s="220">
        <f>'TECH DATA ENTRY'!V57</f>
        <v>0</v>
      </c>
      <c r="AA29" s="217">
        <v>1</v>
      </c>
      <c r="AB29" s="218">
        <f t="shared" si="7"/>
        <v>0</v>
      </c>
      <c r="AC29" s="220">
        <f>'TECH DATA ENTRY'!W57</f>
        <v>0</v>
      </c>
      <c r="AD29" s="217">
        <v>1</v>
      </c>
      <c r="AE29" s="218">
        <f t="shared" si="8"/>
        <v>0</v>
      </c>
      <c r="AF29" s="220">
        <f>'TECH DATA ENTRY'!X57</f>
        <v>0</v>
      </c>
      <c r="AG29" s="217">
        <v>1</v>
      </c>
      <c r="AH29" s="218">
        <f t="shared" si="9"/>
        <v>0</v>
      </c>
      <c r="AI29" s="219" t="e">
        <f t="shared" si="10"/>
        <v>#DIV/0!</v>
      </c>
      <c r="AJ29" s="221">
        <f>'TECH DATA ENTRY'!K57</f>
        <v>0</v>
      </c>
      <c r="AK29" s="222" t="e">
        <f t="shared" si="11"/>
        <v>#DIV/0!</v>
      </c>
      <c r="AL29" s="222" t="e">
        <f>VLOOKUP(AK29,'AUX TABLES'!A$2:B$29,2)</f>
        <v>#DIV/0!</v>
      </c>
      <c r="AM29" s="223" t="e">
        <f>IF(OR(ISTEXT(B29)=TRUE,ISTEXT('TECH DATA ENTRY'!L57)=TRUE), "NA",AL29*AI29)</f>
        <v>#DIV/0!</v>
      </c>
      <c r="AN29" s="79"/>
    </row>
    <row r="30" spans="1:40" s="80" customFormat="1" ht="20.149999999999999" customHeight="1">
      <c r="A30" s="216"/>
      <c r="B30" s="249">
        <f>'TECH DATA ENTRY'!B58</f>
        <v>0</v>
      </c>
      <c r="C30" s="217">
        <f>'TECH DATA ENTRY'!O58</f>
        <v>0</v>
      </c>
      <c r="D30" s="217">
        <v>1</v>
      </c>
      <c r="E30" s="218" t="e">
        <f t="shared" si="0"/>
        <v>#DIV/0!</v>
      </c>
      <c r="F30" s="217">
        <f>'TECH DATA ENTRY'!P58</f>
        <v>0</v>
      </c>
      <c r="G30" s="217">
        <v>1</v>
      </c>
      <c r="H30" s="218" t="e">
        <f t="shared" si="1"/>
        <v>#DIV/0!</v>
      </c>
      <c r="I30" s="219">
        <f>'TECH DATA ENTRY'!Q58</f>
        <v>0</v>
      </c>
      <c r="J30" s="219" t="str">
        <f>'TECH DATA ENTRY'!$G$26</f>
        <v>Digital</v>
      </c>
      <c r="K30" s="217">
        <v>1</v>
      </c>
      <c r="L30" s="218">
        <f t="shared" si="2"/>
        <v>0</v>
      </c>
      <c r="M30" s="219">
        <f>'TECH DATA ENTRY'!R58</f>
        <v>0</v>
      </c>
      <c r="N30" s="219" t="str">
        <f>'TECH DATA ENTRY'!$G$26</f>
        <v>Digital</v>
      </c>
      <c r="O30" s="217">
        <v>1</v>
      </c>
      <c r="P30" s="218">
        <f t="shared" si="3"/>
        <v>0</v>
      </c>
      <c r="Q30" s="220">
        <f>'TECH DATA ENTRY'!S58</f>
        <v>0</v>
      </c>
      <c r="R30" s="217">
        <v>1</v>
      </c>
      <c r="S30" s="218">
        <f t="shared" si="4"/>
        <v>0</v>
      </c>
      <c r="T30" s="220">
        <f>'TECH DATA ENTRY'!T58</f>
        <v>0</v>
      </c>
      <c r="U30" s="217">
        <v>1</v>
      </c>
      <c r="V30" s="218">
        <f t="shared" si="5"/>
        <v>0</v>
      </c>
      <c r="W30" s="220">
        <f>'TECH DATA ENTRY'!U58</f>
        <v>0</v>
      </c>
      <c r="X30" s="217">
        <v>1</v>
      </c>
      <c r="Y30" s="218">
        <f t="shared" si="6"/>
        <v>0</v>
      </c>
      <c r="Z30" s="220">
        <f>'TECH DATA ENTRY'!V58</f>
        <v>0</v>
      </c>
      <c r="AA30" s="217">
        <v>1</v>
      </c>
      <c r="AB30" s="218">
        <f t="shared" si="7"/>
        <v>0</v>
      </c>
      <c r="AC30" s="220">
        <f>'TECH DATA ENTRY'!W58</f>
        <v>0</v>
      </c>
      <c r="AD30" s="217">
        <v>1</v>
      </c>
      <c r="AE30" s="218">
        <f t="shared" si="8"/>
        <v>0</v>
      </c>
      <c r="AF30" s="220">
        <f>'TECH DATA ENTRY'!X58</f>
        <v>0</v>
      </c>
      <c r="AG30" s="217">
        <v>1</v>
      </c>
      <c r="AH30" s="218">
        <f t="shared" si="9"/>
        <v>0</v>
      </c>
      <c r="AI30" s="219" t="e">
        <f t="shared" si="10"/>
        <v>#DIV/0!</v>
      </c>
      <c r="AJ30" s="221">
        <f>'TECH DATA ENTRY'!K58</f>
        <v>0</v>
      </c>
      <c r="AK30" s="222" t="e">
        <f t="shared" si="11"/>
        <v>#DIV/0!</v>
      </c>
      <c r="AL30" s="222" t="e">
        <f>VLOOKUP(AK30,'AUX TABLES'!A$2:B$29,2)</f>
        <v>#DIV/0!</v>
      </c>
      <c r="AM30" s="223" t="e">
        <f>IF(OR(ISTEXT(B30)=TRUE,ISTEXT('TECH DATA ENTRY'!L58)=TRUE), "NA",AL30*AI30)</f>
        <v>#DIV/0!</v>
      </c>
      <c r="AN30" s="79"/>
    </row>
    <row r="31" spans="1:40" s="80" customFormat="1" ht="20.149999999999999" customHeight="1">
      <c r="A31" s="216"/>
      <c r="B31" s="249">
        <f>'TECH DATA ENTRY'!B59</f>
        <v>0</v>
      </c>
      <c r="C31" s="217">
        <f>'TECH DATA ENTRY'!O59</f>
        <v>0</v>
      </c>
      <c r="D31" s="217">
        <v>1</v>
      </c>
      <c r="E31" s="218" t="e">
        <f t="shared" si="0"/>
        <v>#DIV/0!</v>
      </c>
      <c r="F31" s="217">
        <f>'TECH DATA ENTRY'!P59</f>
        <v>0</v>
      </c>
      <c r="G31" s="217">
        <v>1</v>
      </c>
      <c r="H31" s="218" t="e">
        <f t="shared" si="1"/>
        <v>#DIV/0!</v>
      </c>
      <c r="I31" s="219">
        <f>'TECH DATA ENTRY'!Q59</f>
        <v>0</v>
      </c>
      <c r="J31" s="219" t="str">
        <f>'TECH DATA ENTRY'!$G$26</f>
        <v>Digital</v>
      </c>
      <c r="K31" s="217">
        <v>1</v>
      </c>
      <c r="L31" s="218">
        <f t="shared" si="2"/>
        <v>0</v>
      </c>
      <c r="M31" s="219">
        <f>'TECH DATA ENTRY'!R59</f>
        <v>0</v>
      </c>
      <c r="N31" s="219" t="str">
        <f>'TECH DATA ENTRY'!$G$26</f>
        <v>Digital</v>
      </c>
      <c r="O31" s="217">
        <v>1</v>
      </c>
      <c r="P31" s="218">
        <f t="shared" si="3"/>
        <v>0</v>
      </c>
      <c r="Q31" s="220">
        <f>'TECH DATA ENTRY'!S59</f>
        <v>0</v>
      </c>
      <c r="R31" s="217">
        <v>1</v>
      </c>
      <c r="S31" s="218">
        <f t="shared" si="4"/>
        <v>0</v>
      </c>
      <c r="T31" s="220">
        <f>'TECH DATA ENTRY'!T59</f>
        <v>0</v>
      </c>
      <c r="U31" s="217">
        <v>1</v>
      </c>
      <c r="V31" s="218">
        <f t="shared" si="5"/>
        <v>0</v>
      </c>
      <c r="W31" s="220">
        <f>'TECH DATA ENTRY'!U59</f>
        <v>0</v>
      </c>
      <c r="X31" s="217">
        <v>1</v>
      </c>
      <c r="Y31" s="218">
        <f t="shared" si="6"/>
        <v>0</v>
      </c>
      <c r="Z31" s="220">
        <f>'TECH DATA ENTRY'!V59</f>
        <v>0</v>
      </c>
      <c r="AA31" s="217">
        <v>1</v>
      </c>
      <c r="AB31" s="218">
        <f t="shared" si="7"/>
        <v>0</v>
      </c>
      <c r="AC31" s="220">
        <f>'TECH DATA ENTRY'!W59</f>
        <v>0</v>
      </c>
      <c r="AD31" s="217">
        <v>1</v>
      </c>
      <c r="AE31" s="218">
        <f t="shared" si="8"/>
        <v>0</v>
      </c>
      <c r="AF31" s="220">
        <f>'TECH DATA ENTRY'!X59</f>
        <v>0</v>
      </c>
      <c r="AG31" s="217">
        <v>1</v>
      </c>
      <c r="AH31" s="218">
        <f t="shared" si="9"/>
        <v>0</v>
      </c>
      <c r="AI31" s="219" t="e">
        <f t="shared" si="10"/>
        <v>#DIV/0!</v>
      </c>
      <c r="AJ31" s="221">
        <f>'TECH DATA ENTRY'!K59</f>
        <v>0</v>
      </c>
      <c r="AK31" s="222" t="e">
        <f t="shared" si="11"/>
        <v>#DIV/0!</v>
      </c>
      <c r="AL31" s="222" t="e">
        <f>VLOOKUP(AK31,'AUX TABLES'!A$2:B$29,2)</f>
        <v>#DIV/0!</v>
      </c>
      <c r="AM31" s="223" t="e">
        <f>IF(OR(ISTEXT(B31)=TRUE,ISTEXT('TECH DATA ENTRY'!L59)=TRUE), "NA",AL31*AI31)</f>
        <v>#DIV/0!</v>
      </c>
      <c r="AN31" s="79"/>
    </row>
    <row r="32" spans="1:40" s="80" customFormat="1" ht="20.149999999999999" customHeight="1">
      <c r="A32" s="216"/>
      <c r="B32" s="249" t="str">
        <f>'TECH DATA ENTRY'!B60</f>
        <v>Nominal</v>
      </c>
      <c r="C32" s="217" t="str">
        <f>'TECH DATA ENTRY'!O60</f>
        <v>Uncertainty Components</v>
      </c>
      <c r="D32" s="217">
        <v>1</v>
      </c>
      <c r="E32" s="218" t="e">
        <f t="shared" si="0"/>
        <v>#VALUE!</v>
      </c>
      <c r="F32" s="217">
        <f>'TECH DATA ENTRY'!P60</f>
        <v>0</v>
      </c>
      <c r="G32" s="217">
        <v>1</v>
      </c>
      <c r="H32" s="218" t="e">
        <f t="shared" si="1"/>
        <v>#VALUE!</v>
      </c>
      <c r="I32" s="219">
        <f>'TECH DATA ENTRY'!Q60</f>
        <v>0</v>
      </c>
      <c r="J32" s="219" t="str">
        <f>'TECH DATA ENTRY'!$G$26</f>
        <v>Digital</v>
      </c>
      <c r="K32" s="217">
        <v>1</v>
      </c>
      <c r="L32" s="218">
        <f t="shared" si="2"/>
        <v>0</v>
      </c>
      <c r="M32" s="219">
        <f>'TECH DATA ENTRY'!R60</f>
        <v>0</v>
      </c>
      <c r="N32" s="219" t="str">
        <f>'TECH DATA ENTRY'!$G$26</f>
        <v>Digital</v>
      </c>
      <c r="O32" s="217">
        <v>1</v>
      </c>
      <c r="P32" s="218">
        <f t="shared" si="3"/>
        <v>0</v>
      </c>
      <c r="Q32" s="220">
        <f>'TECH DATA ENTRY'!S60</f>
        <v>0</v>
      </c>
      <c r="R32" s="217">
        <v>1</v>
      </c>
      <c r="S32" s="218">
        <f t="shared" si="4"/>
        <v>0</v>
      </c>
      <c r="T32" s="220">
        <f>'TECH DATA ENTRY'!T60</f>
        <v>0</v>
      </c>
      <c r="U32" s="217">
        <v>1</v>
      </c>
      <c r="V32" s="218">
        <f t="shared" si="5"/>
        <v>0</v>
      </c>
      <c r="W32" s="220">
        <f>'TECH DATA ENTRY'!U60</f>
        <v>0</v>
      </c>
      <c r="X32" s="217">
        <v>1</v>
      </c>
      <c r="Y32" s="218">
        <f t="shared" si="6"/>
        <v>0</v>
      </c>
      <c r="Z32" s="220">
        <f>'TECH DATA ENTRY'!V60</f>
        <v>0</v>
      </c>
      <c r="AA32" s="217">
        <v>1</v>
      </c>
      <c r="AB32" s="218">
        <f t="shared" si="7"/>
        <v>0</v>
      </c>
      <c r="AC32" s="220">
        <f>'TECH DATA ENTRY'!W60</f>
        <v>0</v>
      </c>
      <c r="AD32" s="217">
        <v>1</v>
      </c>
      <c r="AE32" s="218">
        <f t="shared" si="8"/>
        <v>0</v>
      </c>
      <c r="AF32" s="220">
        <f>'TECH DATA ENTRY'!X60</f>
        <v>0</v>
      </c>
      <c r="AG32" s="217">
        <v>1</v>
      </c>
      <c r="AH32" s="218">
        <f t="shared" si="9"/>
        <v>0</v>
      </c>
      <c r="AI32" s="219" t="e">
        <f t="shared" si="10"/>
        <v>#VALUE!</v>
      </c>
      <c r="AJ32" s="221" t="str">
        <f>'TECH DATA ENTRY'!K60</f>
        <v>n</v>
      </c>
      <c r="AK32" s="222" t="e">
        <f t="shared" si="11"/>
        <v>#VALUE!</v>
      </c>
      <c r="AL32" s="222" t="e">
        <f>VLOOKUP(AK32,'AUX TABLES'!A$2:B$29,2)</f>
        <v>#VALUE!</v>
      </c>
      <c r="AM32" s="223" t="str">
        <f>IF(OR(ISTEXT(B32)=TRUE,ISTEXT('TECH DATA ENTRY'!L60)=TRUE), "NA",AL32*AI32)</f>
        <v>NA</v>
      </c>
      <c r="AN32" s="79"/>
    </row>
    <row r="33" spans="1:40" s="80" customFormat="1" ht="20.149999999999999" customHeight="1">
      <c r="A33" s="216"/>
      <c r="B33" s="249">
        <f>'TECH DATA ENTRY'!B61</f>
        <v>0</v>
      </c>
      <c r="C33" s="217" t="str">
        <f>'TECH DATA ENTRY'!O61</f>
        <v>Stdev 1</v>
      </c>
      <c r="D33" s="217">
        <v>1</v>
      </c>
      <c r="E33" s="218" t="e">
        <f t="shared" si="0"/>
        <v>#VALUE!</v>
      </c>
      <c r="F33" s="217" t="str">
        <f>'TECH DATA ENTRY'!P61</f>
        <v>Stdev 2</v>
      </c>
      <c r="G33" s="217">
        <v>1</v>
      </c>
      <c r="H33" s="218" t="e">
        <f t="shared" si="1"/>
        <v>#VALUE!</v>
      </c>
      <c r="I33" s="219" t="str">
        <f>'TECH DATA ENTRY'!Q61</f>
        <v>Resolution 1</v>
      </c>
      <c r="J33" s="219" t="str">
        <f>'TECH DATA ENTRY'!$G$26</f>
        <v>Digital</v>
      </c>
      <c r="K33" s="217">
        <v>1</v>
      </c>
      <c r="L33" s="218" t="e">
        <f t="shared" si="2"/>
        <v>#VALUE!</v>
      </c>
      <c r="M33" s="219" t="str">
        <f>'TECH DATA ENTRY'!R61</f>
        <v>Resolution 2</v>
      </c>
      <c r="N33" s="219" t="str">
        <f>'TECH DATA ENTRY'!$G$26</f>
        <v>Digital</v>
      </c>
      <c r="O33" s="217">
        <v>1</v>
      </c>
      <c r="P33" s="218" t="e">
        <f t="shared" si="3"/>
        <v>#VALUE!</v>
      </c>
      <c r="Q33" s="220" t="str">
        <f>'TECH DATA ENTRY'!S61</f>
        <v>Scope Uncertainty</v>
      </c>
      <c r="R33" s="217">
        <v>1</v>
      </c>
      <c r="S33" s="218" t="e">
        <f t="shared" si="4"/>
        <v>#VALUE!</v>
      </c>
      <c r="T33" s="220" t="str">
        <f>'TECH DATA ENTRY'!T61</f>
        <v>STD 2 Cal Unc</v>
      </c>
      <c r="U33" s="217">
        <v>1</v>
      </c>
      <c r="V33" s="218" t="e">
        <f t="shared" si="5"/>
        <v>#VALUE!</v>
      </c>
      <c r="W33" s="220" t="str">
        <f>'TECH DATA ENTRY'!U61</f>
        <v>Others 1</v>
      </c>
      <c r="X33" s="217">
        <v>1</v>
      </c>
      <c r="Y33" s="218" t="e">
        <f t="shared" si="6"/>
        <v>#VALUE!</v>
      </c>
      <c r="Z33" s="220" t="str">
        <f>'TECH DATA ENTRY'!V61</f>
        <v>Others 2</v>
      </c>
      <c r="AA33" s="217">
        <v>1</v>
      </c>
      <c r="AB33" s="218" t="e">
        <f t="shared" si="7"/>
        <v>#VALUE!</v>
      </c>
      <c r="AC33" s="220" t="str">
        <f>'TECH DATA ENTRY'!W61</f>
        <v>Others 3</v>
      </c>
      <c r="AD33" s="217">
        <v>1</v>
      </c>
      <c r="AE33" s="218" t="e">
        <f t="shared" si="8"/>
        <v>#VALUE!</v>
      </c>
      <c r="AF33" s="220" t="str">
        <f>'TECH DATA ENTRY'!X61</f>
        <v>Others 4</v>
      </c>
      <c r="AG33" s="217">
        <v>1</v>
      </c>
      <c r="AH33" s="218" t="e">
        <f t="shared" si="9"/>
        <v>#VALUE!</v>
      </c>
      <c r="AI33" s="219" t="e">
        <f t="shared" si="10"/>
        <v>#VALUE!</v>
      </c>
      <c r="AJ33" s="221">
        <f>'TECH DATA ENTRY'!K61</f>
        <v>0</v>
      </c>
      <c r="AK33" s="222" t="e">
        <f t="shared" si="11"/>
        <v>#VALUE!</v>
      </c>
      <c r="AL33" s="222" t="e">
        <f>VLOOKUP(AK33,'AUX TABLES'!A$2:B$29,2)</f>
        <v>#VALUE!</v>
      </c>
      <c r="AM33" s="223" t="e">
        <f>IF(OR(ISTEXT(B33)=TRUE,ISTEXT('TECH DATA ENTRY'!L61)=TRUE), "NA",AL33*AI33)</f>
        <v>#VALUE!</v>
      </c>
      <c r="AN33" s="79"/>
    </row>
    <row r="34" spans="1:40" s="80" customFormat="1" ht="20.149999999999999" customHeight="1">
      <c r="A34" s="216"/>
      <c r="B34" s="249">
        <f>'TECH DATA ENTRY'!B62</f>
        <v>0</v>
      </c>
      <c r="C34" s="217" t="str">
        <f>'TECH DATA ENTRY'!O62</f>
        <v/>
      </c>
      <c r="D34" s="217">
        <v>1</v>
      </c>
      <c r="E34" s="218" t="e">
        <f t="shared" si="0"/>
        <v>#VALUE!</v>
      </c>
      <c r="F34" s="217">
        <f>'TECH DATA ENTRY'!P62</f>
        <v>0</v>
      </c>
      <c r="G34" s="217">
        <v>1</v>
      </c>
      <c r="H34" s="218" t="e">
        <f t="shared" si="1"/>
        <v>#VALUE!</v>
      </c>
      <c r="I34" s="219">
        <f>'TECH DATA ENTRY'!Q62</f>
        <v>1E-4</v>
      </c>
      <c r="J34" s="219" t="str">
        <f>'TECH DATA ENTRY'!$G$26</f>
        <v>Digital</v>
      </c>
      <c r="K34" s="217">
        <v>1</v>
      </c>
      <c r="L34" s="218">
        <f t="shared" si="2"/>
        <v>2.8867513459481293E-5</v>
      </c>
      <c r="M34" s="219">
        <f>'TECH DATA ENTRY'!R62</f>
        <v>0</v>
      </c>
      <c r="N34" s="219" t="str">
        <f>'TECH DATA ENTRY'!$G$26</f>
        <v>Digital</v>
      </c>
      <c r="O34" s="217">
        <v>1</v>
      </c>
      <c r="P34" s="218">
        <f t="shared" si="3"/>
        <v>0</v>
      </c>
      <c r="Q34" s="220">
        <f>'TECH DATA ENTRY'!S62</f>
        <v>4.0000000000000003E-5</v>
      </c>
      <c r="R34" s="217">
        <v>1</v>
      </c>
      <c r="S34" s="218">
        <f t="shared" si="4"/>
        <v>2.0000000000000002E-5</v>
      </c>
      <c r="T34" s="220">
        <f>'TECH DATA ENTRY'!T62</f>
        <v>0</v>
      </c>
      <c r="U34" s="217">
        <v>1</v>
      </c>
      <c r="V34" s="218">
        <f t="shared" si="5"/>
        <v>0</v>
      </c>
      <c r="W34" s="220">
        <f>'TECH DATA ENTRY'!U62</f>
        <v>0</v>
      </c>
      <c r="X34" s="217">
        <v>1</v>
      </c>
      <c r="Y34" s="218">
        <f t="shared" si="6"/>
        <v>0</v>
      </c>
      <c r="Z34" s="220">
        <f>'TECH DATA ENTRY'!V62</f>
        <v>0</v>
      </c>
      <c r="AA34" s="217">
        <v>1</v>
      </c>
      <c r="AB34" s="218">
        <f t="shared" si="7"/>
        <v>0</v>
      </c>
      <c r="AC34" s="220">
        <f>'TECH DATA ENTRY'!W62</f>
        <v>0</v>
      </c>
      <c r="AD34" s="217">
        <v>1</v>
      </c>
      <c r="AE34" s="218">
        <f t="shared" si="8"/>
        <v>0</v>
      </c>
      <c r="AF34" s="220">
        <f>'TECH DATA ENTRY'!X62</f>
        <v>0</v>
      </c>
      <c r="AG34" s="217">
        <v>1</v>
      </c>
      <c r="AH34" s="218">
        <f t="shared" si="9"/>
        <v>0</v>
      </c>
      <c r="AI34" s="219" t="e">
        <f t="shared" si="10"/>
        <v>#VALUE!</v>
      </c>
      <c r="AJ34" s="221" t="str">
        <f>'TECH DATA ENTRY'!K62</f>
        <v/>
      </c>
      <c r="AK34" s="222" t="e">
        <f t="shared" si="11"/>
        <v>#VALUE!</v>
      </c>
      <c r="AL34" s="222" t="e">
        <f>VLOOKUP(AK34,'AUX TABLES'!A$2:B$29,2)</f>
        <v>#VALUE!</v>
      </c>
      <c r="AM34" s="223" t="str">
        <f>IF(OR(ISTEXT(B34)=TRUE,ISTEXT('TECH DATA ENTRY'!L62)=TRUE), "NA",AL34*AI34)</f>
        <v>NA</v>
      </c>
      <c r="AN34" s="79"/>
    </row>
    <row r="35" spans="1:40" s="80" customFormat="1" ht="20.149999999999999" customHeight="1">
      <c r="A35" s="216"/>
      <c r="B35" s="249">
        <f>'TECH DATA ENTRY'!B63</f>
        <v>100</v>
      </c>
      <c r="C35" s="217" t="str">
        <f>'TECH DATA ENTRY'!O63</f>
        <v/>
      </c>
      <c r="D35" s="217">
        <v>1</v>
      </c>
      <c r="E35" s="218" t="e">
        <f t="shared" si="0"/>
        <v>#VALUE!</v>
      </c>
      <c r="F35" s="217">
        <f>'TECH DATA ENTRY'!P63</f>
        <v>0</v>
      </c>
      <c r="G35" s="217">
        <v>1</v>
      </c>
      <c r="H35" s="218" t="e">
        <f t="shared" si="1"/>
        <v>#VALUE!</v>
      </c>
      <c r="I35" s="219">
        <f>'TECH DATA ENTRY'!Q63</f>
        <v>1E-4</v>
      </c>
      <c r="J35" s="219" t="str">
        <f>'TECH DATA ENTRY'!$G$26</f>
        <v>Digital</v>
      </c>
      <c r="K35" s="217">
        <v>1</v>
      </c>
      <c r="L35" s="218">
        <f t="shared" si="2"/>
        <v>2.8867513459481293E-5</v>
      </c>
      <c r="M35" s="219">
        <f>'TECH DATA ENTRY'!R63</f>
        <v>0</v>
      </c>
      <c r="N35" s="219" t="str">
        <f>'TECH DATA ENTRY'!$G$26</f>
        <v>Digital</v>
      </c>
      <c r="O35" s="217">
        <v>1</v>
      </c>
      <c r="P35" s="218">
        <f t="shared" si="3"/>
        <v>0</v>
      </c>
      <c r="Q35" s="220">
        <f>'TECH DATA ENTRY'!S63</f>
        <v>9.4999999999999989E-4</v>
      </c>
      <c r="R35" s="217">
        <v>1</v>
      </c>
      <c r="S35" s="218">
        <f t="shared" si="4"/>
        <v>4.7499999999999994E-4</v>
      </c>
      <c r="T35" s="220">
        <f>'TECH DATA ENTRY'!T63</f>
        <v>0</v>
      </c>
      <c r="U35" s="217">
        <v>1</v>
      </c>
      <c r="V35" s="218">
        <f t="shared" si="5"/>
        <v>0</v>
      </c>
      <c r="W35" s="220">
        <f>'TECH DATA ENTRY'!U63</f>
        <v>0</v>
      </c>
      <c r="X35" s="217">
        <v>1</v>
      </c>
      <c r="Y35" s="218">
        <f t="shared" si="6"/>
        <v>0</v>
      </c>
      <c r="Z35" s="220">
        <f>'TECH DATA ENTRY'!V63</f>
        <v>0</v>
      </c>
      <c r="AA35" s="217">
        <v>1</v>
      </c>
      <c r="AB35" s="218">
        <f t="shared" si="7"/>
        <v>0</v>
      </c>
      <c r="AC35" s="220">
        <f>'TECH DATA ENTRY'!W63</f>
        <v>0</v>
      </c>
      <c r="AD35" s="217">
        <v>1</v>
      </c>
      <c r="AE35" s="218">
        <f t="shared" si="8"/>
        <v>0</v>
      </c>
      <c r="AF35" s="220">
        <f>'TECH DATA ENTRY'!X63</f>
        <v>0</v>
      </c>
      <c r="AG35" s="217">
        <v>1</v>
      </c>
      <c r="AH35" s="218">
        <f t="shared" si="9"/>
        <v>0</v>
      </c>
      <c r="AI35" s="219" t="e">
        <f t="shared" si="10"/>
        <v>#VALUE!</v>
      </c>
      <c r="AJ35" s="221" t="str">
        <f>'TECH DATA ENTRY'!K63</f>
        <v/>
      </c>
      <c r="AK35" s="222" t="e">
        <f t="shared" si="11"/>
        <v>#VALUE!</v>
      </c>
      <c r="AL35" s="222" t="e">
        <f>VLOOKUP(AK35,'AUX TABLES'!A$2:B$29,2)</f>
        <v>#VALUE!</v>
      </c>
      <c r="AM35" s="223" t="str">
        <f>IF(OR(ISTEXT(B35)=TRUE,ISTEXT('TECH DATA ENTRY'!L63)=TRUE), "NA",AL35*AI35)</f>
        <v>NA</v>
      </c>
      <c r="AN35" s="79"/>
    </row>
    <row r="36" spans="1:40" s="80" customFormat="1" ht="20.149999999999999" customHeight="1">
      <c r="A36" s="216"/>
      <c r="B36" s="249">
        <f>'TECH DATA ENTRY'!B64</f>
        <v>-100</v>
      </c>
      <c r="C36" s="217" t="str">
        <f>'TECH DATA ENTRY'!O64</f>
        <v/>
      </c>
      <c r="D36" s="217">
        <v>1</v>
      </c>
      <c r="E36" s="218" t="e">
        <f t="shared" si="0"/>
        <v>#VALUE!</v>
      </c>
      <c r="F36" s="217">
        <f>'TECH DATA ENTRY'!P64</f>
        <v>0</v>
      </c>
      <c r="G36" s="217">
        <v>1</v>
      </c>
      <c r="H36" s="218" t="e">
        <f t="shared" si="1"/>
        <v>#VALUE!</v>
      </c>
      <c r="I36" s="219">
        <f>'TECH DATA ENTRY'!Q64</f>
        <v>1E-4</v>
      </c>
      <c r="J36" s="219" t="str">
        <f>'TECH DATA ENTRY'!$G$26</f>
        <v>Digital</v>
      </c>
      <c r="K36" s="217">
        <v>1</v>
      </c>
      <c r="L36" s="218">
        <f t="shared" si="2"/>
        <v>2.8867513459481293E-5</v>
      </c>
      <c r="M36" s="219">
        <f>'TECH DATA ENTRY'!R64</f>
        <v>0</v>
      </c>
      <c r="N36" s="219" t="str">
        <f>'TECH DATA ENTRY'!$G$26</f>
        <v>Digital</v>
      </c>
      <c r="O36" s="217">
        <v>1</v>
      </c>
      <c r="P36" s="218">
        <f t="shared" si="3"/>
        <v>0</v>
      </c>
      <c r="Q36" s="220">
        <f>'TECH DATA ENTRY'!S64</f>
        <v>9.4999999999999989E-4</v>
      </c>
      <c r="R36" s="217">
        <v>1</v>
      </c>
      <c r="S36" s="218">
        <f t="shared" si="4"/>
        <v>4.7499999999999994E-4</v>
      </c>
      <c r="T36" s="220">
        <f>'TECH DATA ENTRY'!T64</f>
        <v>0</v>
      </c>
      <c r="U36" s="217">
        <v>1</v>
      </c>
      <c r="V36" s="218">
        <f t="shared" si="5"/>
        <v>0</v>
      </c>
      <c r="W36" s="220">
        <f>'TECH DATA ENTRY'!U64</f>
        <v>0</v>
      </c>
      <c r="X36" s="217">
        <v>1</v>
      </c>
      <c r="Y36" s="218">
        <f t="shared" si="6"/>
        <v>0</v>
      </c>
      <c r="Z36" s="220">
        <f>'TECH DATA ENTRY'!V64</f>
        <v>0</v>
      </c>
      <c r="AA36" s="217">
        <v>1</v>
      </c>
      <c r="AB36" s="218">
        <f t="shared" si="7"/>
        <v>0</v>
      </c>
      <c r="AC36" s="220">
        <f>'TECH DATA ENTRY'!W64</f>
        <v>0</v>
      </c>
      <c r="AD36" s="217">
        <v>1</v>
      </c>
      <c r="AE36" s="218">
        <f t="shared" si="8"/>
        <v>0</v>
      </c>
      <c r="AF36" s="220">
        <f>'TECH DATA ENTRY'!X64</f>
        <v>0</v>
      </c>
      <c r="AG36" s="217">
        <v>1</v>
      </c>
      <c r="AH36" s="218">
        <f t="shared" si="9"/>
        <v>0</v>
      </c>
      <c r="AI36" s="219" t="e">
        <f t="shared" si="10"/>
        <v>#VALUE!</v>
      </c>
      <c r="AJ36" s="221" t="str">
        <f>'TECH DATA ENTRY'!K64</f>
        <v/>
      </c>
      <c r="AK36" s="222" t="e">
        <f t="shared" si="11"/>
        <v>#VALUE!</v>
      </c>
      <c r="AL36" s="222" t="e">
        <f>VLOOKUP(AK36,'AUX TABLES'!A$2:B$29,2)</f>
        <v>#VALUE!</v>
      </c>
      <c r="AM36" s="223" t="str">
        <f>IF(OR(ISTEXT(B36)=TRUE,ISTEXT('TECH DATA ENTRY'!L64)=TRUE), "NA",AL36*AI36)</f>
        <v>NA</v>
      </c>
      <c r="AN36" s="79"/>
    </row>
    <row r="37" spans="1:40" s="80" customFormat="1" ht="20.149999999999999" customHeight="1">
      <c r="A37" s="216"/>
      <c r="B37" s="249">
        <f>'TECH DATA ENTRY'!B65</f>
        <v>0</v>
      </c>
      <c r="C37" s="217">
        <f>'TECH DATA ENTRY'!O65</f>
        <v>0</v>
      </c>
      <c r="D37" s="217">
        <v>1</v>
      </c>
      <c r="E37" s="218" t="e">
        <f t="shared" si="0"/>
        <v>#DIV/0!</v>
      </c>
      <c r="F37" s="217">
        <f>'TECH DATA ENTRY'!P65</f>
        <v>0</v>
      </c>
      <c r="G37" s="217">
        <v>1</v>
      </c>
      <c r="H37" s="218" t="e">
        <f t="shared" si="1"/>
        <v>#DIV/0!</v>
      </c>
      <c r="I37" s="219">
        <f>'TECH DATA ENTRY'!Q65</f>
        <v>0</v>
      </c>
      <c r="J37" s="219" t="str">
        <f>'TECH DATA ENTRY'!$G$26</f>
        <v>Digital</v>
      </c>
      <c r="K37" s="217">
        <v>1</v>
      </c>
      <c r="L37" s="218">
        <f t="shared" si="2"/>
        <v>0</v>
      </c>
      <c r="M37" s="219">
        <f>'TECH DATA ENTRY'!R65</f>
        <v>0</v>
      </c>
      <c r="N37" s="219" t="str">
        <f>'TECH DATA ENTRY'!$G$26</f>
        <v>Digital</v>
      </c>
      <c r="O37" s="217">
        <v>1</v>
      </c>
      <c r="P37" s="218">
        <f t="shared" si="3"/>
        <v>0</v>
      </c>
      <c r="Q37" s="220">
        <f>'TECH DATA ENTRY'!S65</f>
        <v>0</v>
      </c>
      <c r="R37" s="217">
        <v>1</v>
      </c>
      <c r="S37" s="218">
        <f t="shared" si="4"/>
        <v>0</v>
      </c>
      <c r="T37" s="220">
        <f>'TECH DATA ENTRY'!T65</f>
        <v>0</v>
      </c>
      <c r="U37" s="217">
        <v>1</v>
      </c>
      <c r="V37" s="218">
        <f t="shared" si="5"/>
        <v>0</v>
      </c>
      <c r="W37" s="220">
        <f>'TECH DATA ENTRY'!U65</f>
        <v>0</v>
      </c>
      <c r="X37" s="217">
        <v>1</v>
      </c>
      <c r="Y37" s="218">
        <f t="shared" si="6"/>
        <v>0</v>
      </c>
      <c r="Z37" s="220">
        <f>'TECH DATA ENTRY'!V65</f>
        <v>0</v>
      </c>
      <c r="AA37" s="217">
        <v>1</v>
      </c>
      <c r="AB37" s="218">
        <f t="shared" si="7"/>
        <v>0</v>
      </c>
      <c r="AC37" s="220">
        <f>'TECH DATA ENTRY'!W65</f>
        <v>0</v>
      </c>
      <c r="AD37" s="217">
        <v>1</v>
      </c>
      <c r="AE37" s="218">
        <f t="shared" si="8"/>
        <v>0</v>
      </c>
      <c r="AF37" s="220">
        <f>'TECH DATA ENTRY'!X65</f>
        <v>0</v>
      </c>
      <c r="AG37" s="217">
        <v>1</v>
      </c>
      <c r="AH37" s="218">
        <f t="shared" si="9"/>
        <v>0</v>
      </c>
      <c r="AI37" s="219" t="e">
        <f t="shared" si="10"/>
        <v>#DIV/0!</v>
      </c>
      <c r="AJ37" s="221">
        <f>'TECH DATA ENTRY'!K65</f>
        <v>0</v>
      </c>
      <c r="AK37" s="222" t="e">
        <f t="shared" si="11"/>
        <v>#DIV/0!</v>
      </c>
      <c r="AL37" s="222" t="e">
        <f>VLOOKUP(AK37,'AUX TABLES'!A$2:B$29,2)</f>
        <v>#DIV/0!</v>
      </c>
      <c r="AM37" s="223" t="e">
        <f>IF(OR(ISTEXT(B37)=TRUE,ISTEXT('TECH DATA ENTRY'!L65)=TRUE), "NA",AL37*AI37)</f>
        <v>#DIV/0!</v>
      </c>
      <c r="AN37" s="79"/>
    </row>
    <row r="38" spans="1:40" s="80" customFormat="1" ht="20.149999999999999" customHeight="1">
      <c r="A38" s="216"/>
      <c r="B38" s="249">
        <f>'TECH DATA ENTRY'!B66</f>
        <v>0</v>
      </c>
      <c r="C38" s="217">
        <f>'TECH DATA ENTRY'!O66</f>
        <v>0</v>
      </c>
      <c r="D38" s="217">
        <v>1</v>
      </c>
      <c r="E38" s="218" t="e">
        <f t="shared" si="0"/>
        <v>#DIV/0!</v>
      </c>
      <c r="F38" s="217">
        <f>'TECH DATA ENTRY'!P66</f>
        <v>0</v>
      </c>
      <c r="G38" s="217">
        <v>1</v>
      </c>
      <c r="H38" s="218" t="e">
        <f t="shared" si="1"/>
        <v>#DIV/0!</v>
      </c>
      <c r="I38" s="219">
        <f>'TECH DATA ENTRY'!Q66</f>
        <v>0</v>
      </c>
      <c r="J38" s="219" t="str">
        <f>'TECH DATA ENTRY'!$G$26</f>
        <v>Digital</v>
      </c>
      <c r="K38" s="217">
        <v>1</v>
      </c>
      <c r="L38" s="218">
        <f t="shared" si="2"/>
        <v>0</v>
      </c>
      <c r="M38" s="219">
        <f>'TECH DATA ENTRY'!R66</f>
        <v>0</v>
      </c>
      <c r="N38" s="219" t="str">
        <f>'TECH DATA ENTRY'!$G$26</f>
        <v>Digital</v>
      </c>
      <c r="O38" s="217">
        <v>1</v>
      </c>
      <c r="P38" s="218">
        <f t="shared" si="3"/>
        <v>0</v>
      </c>
      <c r="Q38" s="220">
        <f>'TECH DATA ENTRY'!S66</f>
        <v>0</v>
      </c>
      <c r="R38" s="217">
        <v>1</v>
      </c>
      <c r="S38" s="218">
        <f t="shared" si="4"/>
        <v>0</v>
      </c>
      <c r="T38" s="220">
        <f>'TECH DATA ENTRY'!T66</f>
        <v>0</v>
      </c>
      <c r="U38" s="217">
        <v>1</v>
      </c>
      <c r="V38" s="218">
        <f t="shared" si="5"/>
        <v>0</v>
      </c>
      <c r="W38" s="220">
        <f>'TECH DATA ENTRY'!U66</f>
        <v>0</v>
      </c>
      <c r="X38" s="217">
        <v>1</v>
      </c>
      <c r="Y38" s="218">
        <f t="shared" si="6"/>
        <v>0</v>
      </c>
      <c r="Z38" s="220">
        <f>'TECH DATA ENTRY'!V66</f>
        <v>0</v>
      </c>
      <c r="AA38" s="217">
        <v>1</v>
      </c>
      <c r="AB38" s="218">
        <f t="shared" si="7"/>
        <v>0</v>
      </c>
      <c r="AC38" s="220">
        <f>'TECH DATA ENTRY'!W66</f>
        <v>0</v>
      </c>
      <c r="AD38" s="217">
        <v>1</v>
      </c>
      <c r="AE38" s="218">
        <f t="shared" si="8"/>
        <v>0</v>
      </c>
      <c r="AF38" s="220">
        <f>'TECH DATA ENTRY'!X66</f>
        <v>0</v>
      </c>
      <c r="AG38" s="217">
        <v>1</v>
      </c>
      <c r="AH38" s="218">
        <f t="shared" si="9"/>
        <v>0</v>
      </c>
      <c r="AI38" s="219" t="e">
        <f t="shared" si="10"/>
        <v>#DIV/0!</v>
      </c>
      <c r="AJ38" s="221">
        <f>'TECH DATA ENTRY'!K66</f>
        <v>0</v>
      </c>
      <c r="AK38" s="222" t="e">
        <f t="shared" si="11"/>
        <v>#DIV/0!</v>
      </c>
      <c r="AL38" s="222" t="e">
        <f>VLOOKUP(AK38,'AUX TABLES'!A$2:B$29,2)</f>
        <v>#DIV/0!</v>
      </c>
      <c r="AM38" s="223" t="e">
        <f>IF(OR(ISTEXT(B38)=TRUE,ISTEXT('TECH DATA ENTRY'!L66)=TRUE), "NA",AL38*AI38)</f>
        <v>#DIV/0!</v>
      </c>
      <c r="AN38" s="79"/>
    </row>
    <row r="39" spans="1:40" s="80" customFormat="1" ht="20.149999999999999" customHeight="1">
      <c r="A39" s="216"/>
      <c r="B39" s="249">
        <f>'TECH DATA ENTRY'!B67</f>
        <v>0</v>
      </c>
      <c r="C39" s="217">
        <f>'TECH DATA ENTRY'!O67</f>
        <v>0</v>
      </c>
      <c r="D39" s="217">
        <v>1</v>
      </c>
      <c r="E39" s="218" t="e">
        <f t="shared" si="0"/>
        <v>#DIV/0!</v>
      </c>
      <c r="F39" s="217">
        <f>'TECH DATA ENTRY'!P67</f>
        <v>0</v>
      </c>
      <c r="G39" s="217">
        <v>1</v>
      </c>
      <c r="H39" s="218" t="e">
        <f t="shared" si="1"/>
        <v>#DIV/0!</v>
      </c>
      <c r="I39" s="219">
        <f>'TECH DATA ENTRY'!Q67</f>
        <v>0</v>
      </c>
      <c r="J39" s="219" t="str">
        <f>'TECH DATA ENTRY'!$G$26</f>
        <v>Digital</v>
      </c>
      <c r="K39" s="217">
        <v>1</v>
      </c>
      <c r="L39" s="218">
        <f t="shared" si="2"/>
        <v>0</v>
      </c>
      <c r="M39" s="219">
        <f>'TECH DATA ENTRY'!R67</f>
        <v>0</v>
      </c>
      <c r="N39" s="219" t="str">
        <f>'TECH DATA ENTRY'!$G$26</f>
        <v>Digital</v>
      </c>
      <c r="O39" s="217">
        <v>1</v>
      </c>
      <c r="P39" s="218">
        <f t="shared" si="3"/>
        <v>0</v>
      </c>
      <c r="Q39" s="220">
        <f>'TECH DATA ENTRY'!S67</f>
        <v>0</v>
      </c>
      <c r="R39" s="217">
        <v>1</v>
      </c>
      <c r="S39" s="218">
        <f t="shared" si="4"/>
        <v>0</v>
      </c>
      <c r="T39" s="220">
        <f>'TECH DATA ENTRY'!T67</f>
        <v>0</v>
      </c>
      <c r="U39" s="217">
        <v>1</v>
      </c>
      <c r="V39" s="218">
        <f t="shared" si="5"/>
        <v>0</v>
      </c>
      <c r="W39" s="220">
        <f>'TECH DATA ENTRY'!U67</f>
        <v>0</v>
      </c>
      <c r="X39" s="217">
        <v>1</v>
      </c>
      <c r="Y39" s="218">
        <f t="shared" si="6"/>
        <v>0</v>
      </c>
      <c r="Z39" s="220">
        <f>'TECH DATA ENTRY'!V67</f>
        <v>0</v>
      </c>
      <c r="AA39" s="217">
        <v>1</v>
      </c>
      <c r="AB39" s="218">
        <f t="shared" si="7"/>
        <v>0</v>
      </c>
      <c r="AC39" s="220">
        <f>'TECH DATA ENTRY'!W67</f>
        <v>0</v>
      </c>
      <c r="AD39" s="217">
        <v>1</v>
      </c>
      <c r="AE39" s="218">
        <f t="shared" si="8"/>
        <v>0</v>
      </c>
      <c r="AF39" s="220">
        <f>'TECH DATA ENTRY'!X67</f>
        <v>0</v>
      </c>
      <c r="AG39" s="217">
        <v>1</v>
      </c>
      <c r="AH39" s="218">
        <f t="shared" si="9"/>
        <v>0</v>
      </c>
      <c r="AI39" s="219" t="e">
        <f t="shared" si="10"/>
        <v>#DIV/0!</v>
      </c>
      <c r="AJ39" s="221">
        <f>'TECH DATA ENTRY'!K67</f>
        <v>0</v>
      </c>
      <c r="AK39" s="222" t="e">
        <f t="shared" si="11"/>
        <v>#DIV/0!</v>
      </c>
      <c r="AL39" s="222" t="e">
        <f>VLOOKUP(AK39,'AUX TABLES'!A$2:B$29,2)</f>
        <v>#DIV/0!</v>
      </c>
      <c r="AM39" s="223" t="e">
        <f>IF(OR(ISTEXT(B39)=TRUE,ISTEXT('TECH DATA ENTRY'!L67)=TRUE), "NA",AL39*AI39)</f>
        <v>#DIV/0!</v>
      </c>
      <c r="AN39" s="79"/>
    </row>
    <row r="40" spans="1:40" s="80" customFormat="1" ht="20.149999999999999" customHeight="1">
      <c r="A40" s="216"/>
      <c r="B40" s="249" t="str">
        <f>'TECH DATA ENTRY'!B68</f>
        <v>Nominal</v>
      </c>
      <c r="C40" s="217" t="str">
        <f>'TECH DATA ENTRY'!O68</f>
        <v>Uncertainty Components</v>
      </c>
      <c r="D40" s="217">
        <v>1</v>
      </c>
      <c r="E40" s="218" t="e">
        <f t="shared" si="0"/>
        <v>#VALUE!</v>
      </c>
      <c r="F40" s="217">
        <f>'TECH DATA ENTRY'!P68</f>
        <v>0</v>
      </c>
      <c r="G40" s="217">
        <v>1</v>
      </c>
      <c r="H40" s="218" t="e">
        <f t="shared" si="1"/>
        <v>#VALUE!</v>
      </c>
      <c r="I40" s="219">
        <f>'TECH DATA ENTRY'!Q68</f>
        <v>0</v>
      </c>
      <c r="J40" s="219" t="str">
        <f>'TECH DATA ENTRY'!$G$26</f>
        <v>Digital</v>
      </c>
      <c r="K40" s="217">
        <v>1</v>
      </c>
      <c r="L40" s="218">
        <f t="shared" si="2"/>
        <v>0</v>
      </c>
      <c r="M40" s="219">
        <f>'TECH DATA ENTRY'!R68</f>
        <v>0</v>
      </c>
      <c r="N40" s="219" t="str">
        <f>'TECH DATA ENTRY'!$G$26</f>
        <v>Digital</v>
      </c>
      <c r="O40" s="217">
        <v>1</v>
      </c>
      <c r="P40" s="218">
        <f t="shared" si="3"/>
        <v>0</v>
      </c>
      <c r="Q40" s="220">
        <f>'TECH DATA ENTRY'!S68</f>
        <v>0</v>
      </c>
      <c r="R40" s="217">
        <v>1</v>
      </c>
      <c r="S40" s="218">
        <f t="shared" si="4"/>
        <v>0</v>
      </c>
      <c r="T40" s="220">
        <f>'TECH DATA ENTRY'!T68</f>
        <v>0</v>
      </c>
      <c r="U40" s="217">
        <v>1</v>
      </c>
      <c r="V40" s="218">
        <f t="shared" si="5"/>
        <v>0</v>
      </c>
      <c r="W40" s="220">
        <f>'TECH DATA ENTRY'!U68</f>
        <v>0</v>
      </c>
      <c r="X40" s="217">
        <v>1</v>
      </c>
      <c r="Y40" s="218">
        <f t="shared" si="6"/>
        <v>0</v>
      </c>
      <c r="Z40" s="220">
        <f>'TECH DATA ENTRY'!V68</f>
        <v>0</v>
      </c>
      <c r="AA40" s="217">
        <v>1</v>
      </c>
      <c r="AB40" s="218">
        <f t="shared" si="7"/>
        <v>0</v>
      </c>
      <c r="AC40" s="220">
        <f>'TECH DATA ENTRY'!W68</f>
        <v>0</v>
      </c>
      <c r="AD40" s="217">
        <v>1</v>
      </c>
      <c r="AE40" s="218">
        <f t="shared" si="8"/>
        <v>0</v>
      </c>
      <c r="AF40" s="220">
        <f>'TECH DATA ENTRY'!X68</f>
        <v>0</v>
      </c>
      <c r="AG40" s="217">
        <v>1</v>
      </c>
      <c r="AH40" s="218">
        <f t="shared" si="9"/>
        <v>0</v>
      </c>
      <c r="AI40" s="219" t="e">
        <f t="shared" si="10"/>
        <v>#VALUE!</v>
      </c>
      <c r="AJ40" s="221" t="str">
        <f>'TECH DATA ENTRY'!K68</f>
        <v>n</v>
      </c>
      <c r="AK40" s="222" t="e">
        <f t="shared" si="11"/>
        <v>#VALUE!</v>
      </c>
      <c r="AL40" s="222" t="e">
        <f>VLOOKUP(AK40,'AUX TABLES'!A$2:B$29,2)</f>
        <v>#VALUE!</v>
      </c>
      <c r="AM40" s="223" t="str">
        <f>IF(OR(ISTEXT(B40)=TRUE,ISTEXT('TECH DATA ENTRY'!L68)=TRUE), "NA",AL40*AI40)</f>
        <v>NA</v>
      </c>
      <c r="AN40" s="79"/>
    </row>
    <row r="41" spans="1:40" s="80" customFormat="1" ht="20.149999999999999" customHeight="1">
      <c r="A41" s="216"/>
      <c r="B41" s="249">
        <f>'TECH DATA ENTRY'!B69</f>
        <v>0</v>
      </c>
      <c r="C41" s="217" t="str">
        <f>'TECH DATA ENTRY'!O69</f>
        <v>Stdev 1</v>
      </c>
      <c r="D41" s="217">
        <v>1</v>
      </c>
      <c r="E41" s="218" t="e">
        <f t="shared" si="0"/>
        <v>#VALUE!</v>
      </c>
      <c r="F41" s="217" t="str">
        <f>'TECH DATA ENTRY'!P69</f>
        <v>Stdev 2</v>
      </c>
      <c r="G41" s="217">
        <v>1</v>
      </c>
      <c r="H41" s="218" t="e">
        <f t="shared" si="1"/>
        <v>#VALUE!</v>
      </c>
      <c r="I41" s="219" t="str">
        <f>'TECH DATA ENTRY'!Q69</f>
        <v>Resolution 1</v>
      </c>
      <c r="J41" s="219" t="str">
        <f>'TECH DATA ENTRY'!$G$26</f>
        <v>Digital</v>
      </c>
      <c r="K41" s="217">
        <v>1</v>
      </c>
      <c r="L41" s="218" t="e">
        <f t="shared" si="2"/>
        <v>#VALUE!</v>
      </c>
      <c r="M41" s="219" t="str">
        <f>'TECH DATA ENTRY'!R69</f>
        <v>Resolution 2</v>
      </c>
      <c r="N41" s="219" t="str">
        <f>'TECH DATA ENTRY'!$G$26</f>
        <v>Digital</v>
      </c>
      <c r="O41" s="217">
        <v>1</v>
      </c>
      <c r="P41" s="218" t="e">
        <f t="shared" si="3"/>
        <v>#VALUE!</v>
      </c>
      <c r="Q41" s="220" t="str">
        <f>'TECH DATA ENTRY'!S69</f>
        <v>Scope Uncertainty</v>
      </c>
      <c r="R41" s="217">
        <v>1</v>
      </c>
      <c r="S41" s="218" t="e">
        <f t="shared" si="4"/>
        <v>#VALUE!</v>
      </c>
      <c r="T41" s="220" t="str">
        <f>'TECH DATA ENTRY'!T69</f>
        <v>STD 2 Cal Unc</v>
      </c>
      <c r="U41" s="217">
        <v>1</v>
      </c>
      <c r="V41" s="218" t="e">
        <f t="shared" si="5"/>
        <v>#VALUE!</v>
      </c>
      <c r="W41" s="220" t="str">
        <f>'TECH DATA ENTRY'!U69</f>
        <v>Others 1</v>
      </c>
      <c r="X41" s="217">
        <v>1</v>
      </c>
      <c r="Y41" s="218" t="e">
        <f t="shared" si="6"/>
        <v>#VALUE!</v>
      </c>
      <c r="Z41" s="220" t="str">
        <f>'TECH DATA ENTRY'!V69</f>
        <v>Others 2</v>
      </c>
      <c r="AA41" s="217">
        <v>1</v>
      </c>
      <c r="AB41" s="218" t="e">
        <f t="shared" si="7"/>
        <v>#VALUE!</v>
      </c>
      <c r="AC41" s="220" t="str">
        <f>'TECH DATA ENTRY'!W69</f>
        <v>Others 3</v>
      </c>
      <c r="AD41" s="217">
        <v>1</v>
      </c>
      <c r="AE41" s="218" t="e">
        <f t="shared" si="8"/>
        <v>#VALUE!</v>
      </c>
      <c r="AF41" s="220" t="str">
        <f>'TECH DATA ENTRY'!X69</f>
        <v>Others 4</v>
      </c>
      <c r="AG41" s="217">
        <v>1</v>
      </c>
      <c r="AH41" s="218" t="e">
        <f t="shared" si="9"/>
        <v>#VALUE!</v>
      </c>
      <c r="AI41" s="219" t="e">
        <f t="shared" si="10"/>
        <v>#VALUE!</v>
      </c>
      <c r="AJ41" s="221">
        <f>'TECH DATA ENTRY'!K69</f>
        <v>0</v>
      </c>
      <c r="AK41" s="222" t="e">
        <f t="shared" si="11"/>
        <v>#VALUE!</v>
      </c>
      <c r="AL41" s="222" t="e">
        <f>VLOOKUP(AK41,'AUX TABLES'!A$2:B$29,2)</f>
        <v>#VALUE!</v>
      </c>
      <c r="AM41" s="223" t="e">
        <f>IF(OR(ISTEXT(B41)=TRUE,ISTEXT('TECH DATA ENTRY'!L69)=TRUE), "NA",AL41*AI41)</f>
        <v>#VALUE!</v>
      </c>
      <c r="AN41" s="79"/>
    </row>
    <row r="42" spans="1:40" s="80" customFormat="1" ht="20.149999999999999" customHeight="1">
      <c r="A42" s="216"/>
      <c r="B42" s="249">
        <f>'TECH DATA ENTRY'!B70</f>
        <v>0</v>
      </c>
      <c r="C42" s="217" t="str">
        <f>'TECH DATA ENTRY'!O70</f>
        <v/>
      </c>
      <c r="D42" s="217">
        <v>1</v>
      </c>
      <c r="E42" s="218" t="e">
        <f t="shared" si="0"/>
        <v>#VALUE!</v>
      </c>
      <c r="F42" s="217">
        <f>'TECH DATA ENTRY'!P70</f>
        <v>0</v>
      </c>
      <c r="G42" s="217">
        <v>1</v>
      </c>
      <c r="H42" s="218" t="e">
        <f t="shared" si="1"/>
        <v>#VALUE!</v>
      </c>
      <c r="I42" s="219">
        <f>'TECH DATA ENTRY'!Q70</f>
        <v>1E-3</v>
      </c>
      <c r="J42" s="219" t="str">
        <f>'TECH DATA ENTRY'!$G$26</f>
        <v>Digital</v>
      </c>
      <c r="K42" s="217">
        <v>1</v>
      </c>
      <c r="L42" s="218">
        <f t="shared" si="2"/>
        <v>2.886751345948129E-4</v>
      </c>
      <c r="M42" s="219">
        <f>'TECH DATA ENTRY'!R70</f>
        <v>0</v>
      </c>
      <c r="N42" s="219" t="str">
        <f>'TECH DATA ENTRY'!$G$26</f>
        <v>Digital</v>
      </c>
      <c r="O42" s="217">
        <v>1</v>
      </c>
      <c r="P42" s="218">
        <f t="shared" si="3"/>
        <v>0</v>
      </c>
      <c r="Q42" s="220">
        <f>'TECH DATA ENTRY'!S70</f>
        <v>4.0000000000000003E-7</v>
      </c>
      <c r="R42" s="217">
        <v>1</v>
      </c>
      <c r="S42" s="218">
        <f t="shared" si="4"/>
        <v>2.0000000000000002E-7</v>
      </c>
      <c r="T42" s="220">
        <f>'TECH DATA ENTRY'!T70</f>
        <v>0</v>
      </c>
      <c r="U42" s="217">
        <v>1</v>
      </c>
      <c r="V42" s="218">
        <f t="shared" si="5"/>
        <v>0</v>
      </c>
      <c r="W42" s="220">
        <f>'TECH DATA ENTRY'!U70</f>
        <v>0</v>
      </c>
      <c r="X42" s="217">
        <v>1</v>
      </c>
      <c r="Y42" s="218">
        <f t="shared" si="6"/>
        <v>0</v>
      </c>
      <c r="Z42" s="220">
        <f>'TECH DATA ENTRY'!V70</f>
        <v>0</v>
      </c>
      <c r="AA42" s="217">
        <v>1</v>
      </c>
      <c r="AB42" s="218">
        <f t="shared" si="7"/>
        <v>0</v>
      </c>
      <c r="AC42" s="220">
        <f>'TECH DATA ENTRY'!W70</f>
        <v>0</v>
      </c>
      <c r="AD42" s="217">
        <v>1</v>
      </c>
      <c r="AE42" s="218">
        <f t="shared" si="8"/>
        <v>0</v>
      </c>
      <c r="AF42" s="220">
        <f>'TECH DATA ENTRY'!X70</f>
        <v>0</v>
      </c>
      <c r="AG42" s="217">
        <v>1</v>
      </c>
      <c r="AH42" s="218">
        <f t="shared" si="9"/>
        <v>0</v>
      </c>
      <c r="AI42" s="219" t="e">
        <f t="shared" si="10"/>
        <v>#VALUE!</v>
      </c>
      <c r="AJ42" s="221" t="str">
        <f>'TECH DATA ENTRY'!K70</f>
        <v/>
      </c>
      <c r="AK42" s="222" t="e">
        <f t="shared" si="11"/>
        <v>#VALUE!</v>
      </c>
      <c r="AL42" s="222" t="e">
        <f>VLOOKUP(AK42,'AUX TABLES'!A$2:B$29,2)</f>
        <v>#VALUE!</v>
      </c>
      <c r="AM42" s="223" t="str">
        <f>IF(OR(ISTEXT(B42)=TRUE,ISTEXT('TECH DATA ENTRY'!L70)=TRUE), "NA",AL42*AI42)</f>
        <v>NA</v>
      </c>
      <c r="AN42" s="79"/>
    </row>
    <row r="43" spans="1:40" s="80" customFormat="1" ht="20.149999999999999" customHeight="1">
      <c r="A43" s="216"/>
      <c r="B43" s="249">
        <f>'TECH DATA ENTRY'!B71</f>
        <v>1000</v>
      </c>
      <c r="C43" s="217" t="str">
        <f>'TECH DATA ENTRY'!O71</f>
        <v/>
      </c>
      <c r="D43" s="217">
        <v>1</v>
      </c>
      <c r="E43" s="218" t="e">
        <f t="shared" si="0"/>
        <v>#VALUE!</v>
      </c>
      <c r="F43" s="217">
        <f>'TECH DATA ENTRY'!P71</f>
        <v>0</v>
      </c>
      <c r="G43" s="217">
        <v>1</v>
      </c>
      <c r="H43" s="218" t="e">
        <f t="shared" si="1"/>
        <v>#VALUE!</v>
      </c>
      <c r="I43" s="219">
        <f>'TECH DATA ENTRY'!Q71</f>
        <v>1E-3</v>
      </c>
      <c r="J43" s="219" t="str">
        <f>'TECH DATA ENTRY'!$G$26</f>
        <v>Digital</v>
      </c>
      <c r="K43" s="217">
        <v>1</v>
      </c>
      <c r="L43" s="218">
        <f t="shared" si="2"/>
        <v>2.886751345948129E-4</v>
      </c>
      <c r="M43" s="219">
        <f>'TECH DATA ENTRY'!R71</f>
        <v>0</v>
      </c>
      <c r="N43" s="219" t="str">
        <f>'TECH DATA ENTRY'!$G$26</f>
        <v>Digital</v>
      </c>
      <c r="O43" s="217">
        <v>1</v>
      </c>
      <c r="P43" s="218">
        <f t="shared" si="3"/>
        <v>0</v>
      </c>
      <c r="Q43" s="220">
        <f>'TECH DATA ENTRY'!S71</f>
        <v>1.1000399999999999E-2</v>
      </c>
      <c r="R43" s="217">
        <v>1</v>
      </c>
      <c r="S43" s="218">
        <f t="shared" si="4"/>
        <v>5.5001999999999994E-3</v>
      </c>
      <c r="T43" s="220">
        <f>'TECH DATA ENTRY'!T71</f>
        <v>0</v>
      </c>
      <c r="U43" s="217">
        <v>1</v>
      </c>
      <c r="V43" s="218">
        <f t="shared" si="5"/>
        <v>0</v>
      </c>
      <c r="W43" s="220">
        <f>'TECH DATA ENTRY'!U71</f>
        <v>0</v>
      </c>
      <c r="X43" s="217">
        <v>1</v>
      </c>
      <c r="Y43" s="218">
        <f t="shared" si="6"/>
        <v>0</v>
      </c>
      <c r="Z43" s="220">
        <f>'TECH DATA ENTRY'!V71</f>
        <v>0</v>
      </c>
      <c r="AA43" s="217">
        <v>1</v>
      </c>
      <c r="AB43" s="218">
        <f t="shared" si="7"/>
        <v>0</v>
      </c>
      <c r="AC43" s="220">
        <f>'TECH DATA ENTRY'!W71</f>
        <v>0</v>
      </c>
      <c r="AD43" s="217">
        <v>1</v>
      </c>
      <c r="AE43" s="218">
        <f t="shared" si="8"/>
        <v>0</v>
      </c>
      <c r="AF43" s="220">
        <f>'TECH DATA ENTRY'!X71</f>
        <v>0</v>
      </c>
      <c r="AG43" s="217">
        <v>1</v>
      </c>
      <c r="AH43" s="218">
        <f t="shared" si="9"/>
        <v>0</v>
      </c>
      <c r="AI43" s="219" t="e">
        <f t="shared" si="10"/>
        <v>#VALUE!</v>
      </c>
      <c r="AJ43" s="221" t="str">
        <f>'TECH DATA ENTRY'!K71</f>
        <v/>
      </c>
      <c r="AK43" s="222" t="e">
        <f t="shared" si="11"/>
        <v>#VALUE!</v>
      </c>
      <c r="AL43" s="222" t="e">
        <f>VLOOKUP(AK43,'AUX TABLES'!A$2:B$29,2)</f>
        <v>#VALUE!</v>
      </c>
      <c r="AM43" s="223" t="str">
        <f>IF(OR(ISTEXT(B43)=TRUE,ISTEXT('TECH DATA ENTRY'!L71)=TRUE), "NA",AL43*AI43)</f>
        <v>NA</v>
      </c>
      <c r="AN43" s="79"/>
    </row>
    <row r="44" spans="1:40" s="80" customFormat="1" ht="20.149999999999999" customHeight="1">
      <c r="A44" s="216"/>
      <c r="B44" s="249">
        <f>'TECH DATA ENTRY'!B72</f>
        <v>-1000</v>
      </c>
      <c r="C44" s="217" t="str">
        <f>'TECH DATA ENTRY'!O72</f>
        <v/>
      </c>
      <c r="D44" s="217">
        <v>1</v>
      </c>
      <c r="E44" s="218" t="e">
        <f t="shared" si="0"/>
        <v>#VALUE!</v>
      </c>
      <c r="F44" s="217">
        <f>'TECH DATA ENTRY'!P72</f>
        <v>0</v>
      </c>
      <c r="G44" s="217">
        <v>1</v>
      </c>
      <c r="H44" s="218" t="e">
        <f t="shared" si="1"/>
        <v>#VALUE!</v>
      </c>
      <c r="I44" s="219">
        <f>'TECH DATA ENTRY'!Q72</f>
        <v>1E-3</v>
      </c>
      <c r="J44" s="219" t="str">
        <f>'TECH DATA ENTRY'!$G$26</f>
        <v>Digital</v>
      </c>
      <c r="K44" s="217">
        <v>1</v>
      </c>
      <c r="L44" s="218">
        <f t="shared" si="2"/>
        <v>2.886751345948129E-4</v>
      </c>
      <c r="M44" s="219">
        <f>'TECH DATA ENTRY'!R72</f>
        <v>0</v>
      </c>
      <c r="N44" s="219" t="str">
        <f>'TECH DATA ENTRY'!$G$26</f>
        <v>Digital</v>
      </c>
      <c r="O44" s="217">
        <v>1</v>
      </c>
      <c r="P44" s="218">
        <f t="shared" si="3"/>
        <v>0</v>
      </c>
      <c r="Q44" s="220">
        <f>'TECH DATA ENTRY'!S72</f>
        <v>1.1000399999999999E-2</v>
      </c>
      <c r="R44" s="217">
        <v>1</v>
      </c>
      <c r="S44" s="218">
        <f t="shared" si="4"/>
        <v>5.5001999999999994E-3</v>
      </c>
      <c r="T44" s="220">
        <f>'TECH DATA ENTRY'!T72</f>
        <v>0</v>
      </c>
      <c r="U44" s="217">
        <v>1</v>
      </c>
      <c r="V44" s="218">
        <f t="shared" si="5"/>
        <v>0</v>
      </c>
      <c r="W44" s="220">
        <f>'TECH DATA ENTRY'!U72</f>
        <v>0</v>
      </c>
      <c r="X44" s="217">
        <v>1</v>
      </c>
      <c r="Y44" s="218">
        <f t="shared" si="6"/>
        <v>0</v>
      </c>
      <c r="Z44" s="220">
        <f>'TECH DATA ENTRY'!V72</f>
        <v>0</v>
      </c>
      <c r="AA44" s="217">
        <v>1</v>
      </c>
      <c r="AB44" s="218">
        <f t="shared" si="7"/>
        <v>0</v>
      </c>
      <c r="AC44" s="220">
        <f>'TECH DATA ENTRY'!W72</f>
        <v>0</v>
      </c>
      <c r="AD44" s="217">
        <v>1</v>
      </c>
      <c r="AE44" s="218">
        <f t="shared" si="8"/>
        <v>0</v>
      </c>
      <c r="AF44" s="220">
        <f>'TECH DATA ENTRY'!X72</f>
        <v>0</v>
      </c>
      <c r="AG44" s="217">
        <v>1</v>
      </c>
      <c r="AH44" s="218">
        <f t="shared" si="9"/>
        <v>0</v>
      </c>
      <c r="AI44" s="219" t="e">
        <f t="shared" si="10"/>
        <v>#VALUE!</v>
      </c>
      <c r="AJ44" s="221" t="str">
        <f>'TECH DATA ENTRY'!K72</f>
        <v/>
      </c>
      <c r="AK44" s="222" t="e">
        <f t="shared" si="11"/>
        <v>#VALUE!</v>
      </c>
      <c r="AL44" s="222" t="e">
        <f>VLOOKUP(AK44,'AUX TABLES'!A$2:B$29,2)</f>
        <v>#VALUE!</v>
      </c>
      <c r="AM44" s="223" t="str">
        <f>IF(OR(ISTEXT(B44)=TRUE,ISTEXT('TECH DATA ENTRY'!L72)=TRUE), "NA",AL44*AI44)</f>
        <v>NA</v>
      </c>
      <c r="AN44" s="79"/>
    </row>
    <row r="45" spans="1:40" s="80" customFormat="1" ht="20.149999999999999" customHeight="1">
      <c r="A45" s="216"/>
      <c r="B45" s="249">
        <f>'TECH DATA ENTRY'!B73</f>
        <v>0</v>
      </c>
      <c r="C45" s="217">
        <f>'TECH DATA ENTRY'!O73</f>
        <v>0</v>
      </c>
      <c r="D45" s="217">
        <v>1</v>
      </c>
      <c r="E45" s="218" t="e">
        <f t="shared" si="0"/>
        <v>#DIV/0!</v>
      </c>
      <c r="F45" s="217">
        <f>'TECH DATA ENTRY'!P73</f>
        <v>0</v>
      </c>
      <c r="G45" s="217">
        <v>1</v>
      </c>
      <c r="H45" s="218" t="e">
        <f t="shared" si="1"/>
        <v>#DIV/0!</v>
      </c>
      <c r="I45" s="219">
        <f>'TECH DATA ENTRY'!Q73</f>
        <v>0</v>
      </c>
      <c r="J45" s="219" t="str">
        <f>'TECH DATA ENTRY'!$G$26</f>
        <v>Digital</v>
      </c>
      <c r="K45" s="217">
        <v>1</v>
      </c>
      <c r="L45" s="218">
        <f t="shared" si="2"/>
        <v>0</v>
      </c>
      <c r="M45" s="219">
        <f>'TECH DATA ENTRY'!R73</f>
        <v>0</v>
      </c>
      <c r="N45" s="219" t="str">
        <f>'TECH DATA ENTRY'!$G$26</f>
        <v>Digital</v>
      </c>
      <c r="O45" s="217">
        <v>1</v>
      </c>
      <c r="P45" s="218">
        <f t="shared" si="3"/>
        <v>0</v>
      </c>
      <c r="Q45" s="220">
        <f>'TECH DATA ENTRY'!S73</f>
        <v>0</v>
      </c>
      <c r="R45" s="217">
        <v>1</v>
      </c>
      <c r="S45" s="218">
        <f t="shared" si="4"/>
        <v>0</v>
      </c>
      <c r="T45" s="220">
        <f>'TECH DATA ENTRY'!T73</f>
        <v>0</v>
      </c>
      <c r="U45" s="217">
        <v>1</v>
      </c>
      <c r="V45" s="218">
        <f t="shared" si="5"/>
        <v>0</v>
      </c>
      <c r="W45" s="220">
        <f>'TECH DATA ENTRY'!U73</f>
        <v>0</v>
      </c>
      <c r="X45" s="217">
        <v>1</v>
      </c>
      <c r="Y45" s="218">
        <f t="shared" si="6"/>
        <v>0</v>
      </c>
      <c r="Z45" s="220">
        <f>'TECH DATA ENTRY'!V73</f>
        <v>0</v>
      </c>
      <c r="AA45" s="217">
        <v>1</v>
      </c>
      <c r="AB45" s="218">
        <f t="shared" si="7"/>
        <v>0</v>
      </c>
      <c r="AC45" s="220">
        <f>'TECH DATA ENTRY'!W73</f>
        <v>0</v>
      </c>
      <c r="AD45" s="217">
        <v>1</v>
      </c>
      <c r="AE45" s="218">
        <f t="shared" si="8"/>
        <v>0</v>
      </c>
      <c r="AF45" s="220">
        <f>'TECH DATA ENTRY'!X73</f>
        <v>0</v>
      </c>
      <c r="AG45" s="217">
        <v>1</v>
      </c>
      <c r="AH45" s="218">
        <f t="shared" si="9"/>
        <v>0</v>
      </c>
      <c r="AI45" s="219" t="e">
        <f t="shared" si="10"/>
        <v>#DIV/0!</v>
      </c>
      <c r="AJ45" s="221">
        <f>'TECH DATA ENTRY'!K73</f>
        <v>0</v>
      </c>
      <c r="AK45" s="222" t="e">
        <f t="shared" si="11"/>
        <v>#DIV/0!</v>
      </c>
      <c r="AL45" s="222" t="e">
        <f>VLOOKUP(AK45,'AUX TABLES'!A$2:B$29,2)</f>
        <v>#DIV/0!</v>
      </c>
      <c r="AM45" s="223" t="e">
        <f>IF(OR(ISTEXT(B45)=TRUE,ISTEXT('TECH DATA ENTRY'!L73)=TRUE), "NA",AL45*AI45)</f>
        <v>#DIV/0!</v>
      </c>
      <c r="AN45" s="79"/>
    </row>
    <row r="46" spans="1:40" s="80" customFormat="1" ht="20.149999999999999" customHeight="1">
      <c r="A46" s="216"/>
      <c r="B46" s="249">
        <f>'TECH DATA ENTRY'!B74</f>
        <v>0</v>
      </c>
      <c r="C46" s="217">
        <f>'TECH DATA ENTRY'!O74</f>
        <v>0</v>
      </c>
      <c r="D46" s="217">
        <v>1</v>
      </c>
      <c r="E46" s="218" t="e">
        <f t="shared" si="0"/>
        <v>#DIV/0!</v>
      </c>
      <c r="F46" s="217">
        <f>'TECH DATA ENTRY'!P74</f>
        <v>0</v>
      </c>
      <c r="G46" s="217">
        <v>1</v>
      </c>
      <c r="H46" s="218" t="e">
        <f t="shared" si="1"/>
        <v>#DIV/0!</v>
      </c>
      <c r="I46" s="219">
        <f>'TECH DATA ENTRY'!Q74</f>
        <v>0</v>
      </c>
      <c r="J46" s="219" t="str">
        <f>'TECH DATA ENTRY'!$G$26</f>
        <v>Digital</v>
      </c>
      <c r="K46" s="217">
        <v>1</v>
      </c>
      <c r="L46" s="218">
        <f t="shared" si="2"/>
        <v>0</v>
      </c>
      <c r="M46" s="219">
        <f>'TECH DATA ENTRY'!R74</f>
        <v>0</v>
      </c>
      <c r="N46" s="219" t="str">
        <f>'TECH DATA ENTRY'!$G$26</f>
        <v>Digital</v>
      </c>
      <c r="O46" s="217">
        <v>1</v>
      </c>
      <c r="P46" s="218">
        <f t="shared" si="3"/>
        <v>0</v>
      </c>
      <c r="Q46" s="220">
        <f>'TECH DATA ENTRY'!S74</f>
        <v>0</v>
      </c>
      <c r="R46" s="217">
        <v>1</v>
      </c>
      <c r="S46" s="218">
        <f t="shared" si="4"/>
        <v>0</v>
      </c>
      <c r="T46" s="220">
        <f>'TECH DATA ENTRY'!T74</f>
        <v>0</v>
      </c>
      <c r="U46" s="217">
        <v>1</v>
      </c>
      <c r="V46" s="218">
        <f t="shared" si="5"/>
        <v>0</v>
      </c>
      <c r="W46" s="220">
        <f>'TECH DATA ENTRY'!U74</f>
        <v>0</v>
      </c>
      <c r="X46" s="217">
        <v>1</v>
      </c>
      <c r="Y46" s="218">
        <f t="shared" si="6"/>
        <v>0</v>
      </c>
      <c r="Z46" s="220">
        <f>'TECH DATA ENTRY'!V74</f>
        <v>0</v>
      </c>
      <c r="AA46" s="217">
        <v>1</v>
      </c>
      <c r="AB46" s="218">
        <f t="shared" si="7"/>
        <v>0</v>
      </c>
      <c r="AC46" s="220">
        <f>'TECH DATA ENTRY'!W74</f>
        <v>0</v>
      </c>
      <c r="AD46" s="217">
        <v>1</v>
      </c>
      <c r="AE46" s="218">
        <f t="shared" si="8"/>
        <v>0</v>
      </c>
      <c r="AF46" s="220">
        <f>'TECH DATA ENTRY'!X74</f>
        <v>0</v>
      </c>
      <c r="AG46" s="217">
        <v>1</v>
      </c>
      <c r="AH46" s="218">
        <f t="shared" si="9"/>
        <v>0</v>
      </c>
      <c r="AI46" s="219" t="e">
        <f t="shared" si="10"/>
        <v>#DIV/0!</v>
      </c>
      <c r="AJ46" s="221">
        <f>'TECH DATA ENTRY'!K74</f>
        <v>0</v>
      </c>
      <c r="AK46" s="222" t="e">
        <f t="shared" si="11"/>
        <v>#DIV/0!</v>
      </c>
      <c r="AL46" s="222" t="e">
        <f>VLOOKUP(AK46,'AUX TABLES'!A$2:B$29,2)</f>
        <v>#DIV/0!</v>
      </c>
      <c r="AM46" s="223" t="e">
        <f>IF(OR(ISTEXT(B46)=TRUE,ISTEXT('TECH DATA ENTRY'!L74)=TRUE), "NA",AL46*AI46)</f>
        <v>#DIV/0!</v>
      </c>
      <c r="AN46" s="79"/>
    </row>
    <row r="47" spans="1:40" s="80" customFormat="1" ht="20.149999999999999" customHeight="1">
      <c r="A47" s="216"/>
      <c r="B47" s="249">
        <f>'TECH DATA ENTRY'!B75</f>
        <v>0</v>
      </c>
      <c r="C47" s="217">
        <f>'TECH DATA ENTRY'!O75</f>
        <v>0</v>
      </c>
      <c r="D47" s="217">
        <v>1</v>
      </c>
      <c r="E47" s="218" t="e">
        <f t="shared" si="0"/>
        <v>#DIV/0!</v>
      </c>
      <c r="F47" s="217">
        <f>'TECH DATA ENTRY'!P75</f>
        <v>0</v>
      </c>
      <c r="G47" s="217">
        <v>1</v>
      </c>
      <c r="H47" s="218" t="e">
        <f t="shared" si="1"/>
        <v>#DIV/0!</v>
      </c>
      <c r="I47" s="219">
        <f>'TECH DATA ENTRY'!Q75</f>
        <v>0</v>
      </c>
      <c r="J47" s="219" t="str">
        <f>'TECH DATA ENTRY'!$G$26</f>
        <v>Digital</v>
      </c>
      <c r="K47" s="217">
        <v>1</v>
      </c>
      <c r="L47" s="218">
        <f t="shared" si="2"/>
        <v>0</v>
      </c>
      <c r="M47" s="219">
        <f>'TECH DATA ENTRY'!R75</f>
        <v>0</v>
      </c>
      <c r="N47" s="219" t="str">
        <f>'TECH DATA ENTRY'!$G$26</f>
        <v>Digital</v>
      </c>
      <c r="O47" s="217">
        <v>1</v>
      </c>
      <c r="P47" s="218">
        <f t="shared" si="3"/>
        <v>0</v>
      </c>
      <c r="Q47" s="220">
        <f>'TECH DATA ENTRY'!S75</f>
        <v>0</v>
      </c>
      <c r="R47" s="217">
        <v>1</v>
      </c>
      <c r="S47" s="218">
        <f t="shared" si="4"/>
        <v>0</v>
      </c>
      <c r="T47" s="220">
        <f>'TECH DATA ENTRY'!T75</f>
        <v>0</v>
      </c>
      <c r="U47" s="217">
        <v>1</v>
      </c>
      <c r="V47" s="218">
        <f t="shared" si="5"/>
        <v>0</v>
      </c>
      <c r="W47" s="220">
        <f>'TECH DATA ENTRY'!U75</f>
        <v>0</v>
      </c>
      <c r="X47" s="217">
        <v>1</v>
      </c>
      <c r="Y47" s="218">
        <f t="shared" si="6"/>
        <v>0</v>
      </c>
      <c r="Z47" s="220">
        <f>'TECH DATA ENTRY'!V75</f>
        <v>0</v>
      </c>
      <c r="AA47" s="217">
        <v>1</v>
      </c>
      <c r="AB47" s="218">
        <f t="shared" si="7"/>
        <v>0</v>
      </c>
      <c r="AC47" s="220">
        <f>'TECH DATA ENTRY'!W75</f>
        <v>0</v>
      </c>
      <c r="AD47" s="217">
        <v>1</v>
      </c>
      <c r="AE47" s="218">
        <f t="shared" si="8"/>
        <v>0</v>
      </c>
      <c r="AF47" s="220">
        <f>'TECH DATA ENTRY'!X75</f>
        <v>0</v>
      </c>
      <c r="AG47" s="217">
        <v>1</v>
      </c>
      <c r="AH47" s="218">
        <f t="shared" si="9"/>
        <v>0</v>
      </c>
      <c r="AI47" s="219" t="e">
        <f t="shared" si="10"/>
        <v>#DIV/0!</v>
      </c>
      <c r="AJ47" s="221">
        <f>'TECH DATA ENTRY'!K75</f>
        <v>0</v>
      </c>
      <c r="AK47" s="222" t="e">
        <f t="shared" si="11"/>
        <v>#DIV/0!</v>
      </c>
      <c r="AL47" s="222" t="e">
        <f>VLOOKUP(AK47,'AUX TABLES'!A$2:B$29,2)</f>
        <v>#DIV/0!</v>
      </c>
      <c r="AM47" s="223" t="e">
        <f>IF(OR(ISTEXT(B47)=TRUE,ISTEXT('TECH DATA ENTRY'!L75)=TRUE), "NA",AL47*AI47)</f>
        <v>#DIV/0!</v>
      </c>
      <c r="AN47" s="79"/>
    </row>
    <row r="48" spans="1:40" s="80" customFormat="1" ht="20.149999999999999" customHeight="1">
      <c r="A48" s="216"/>
      <c r="B48" s="249">
        <f>'TECH DATA ENTRY'!B76</f>
        <v>0</v>
      </c>
      <c r="C48" s="217">
        <f>'TECH DATA ENTRY'!O76</f>
        <v>0</v>
      </c>
      <c r="D48" s="217">
        <v>1</v>
      </c>
      <c r="E48" s="218" t="e">
        <f t="shared" si="0"/>
        <v>#DIV/0!</v>
      </c>
      <c r="F48" s="217">
        <f>'TECH DATA ENTRY'!P76</f>
        <v>0</v>
      </c>
      <c r="G48" s="217">
        <v>1</v>
      </c>
      <c r="H48" s="218" t="e">
        <f t="shared" si="1"/>
        <v>#DIV/0!</v>
      </c>
      <c r="I48" s="219">
        <f>'TECH DATA ENTRY'!Q76</f>
        <v>0</v>
      </c>
      <c r="J48" s="219" t="str">
        <f>'TECH DATA ENTRY'!$G$26</f>
        <v>Digital</v>
      </c>
      <c r="K48" s="217">
        <v>1</v>
      </c>
      <c r="L48" s="218">
        <f t="shared" si="2"/>
        <v>0</v>
      </c>
      <c r="M48" s="219">
        <f>'TECH DATA ENTRY'!R76</f>
        <v>0</v>
      </c>
      <c r="N48" s="219" t="str">
        <f>'TECH DATA ENTRY'!$G$26</f>
        <v>Digital</v>
      </c>
      <c r="O48" s="217">
        <v>1</v>
      </c>
      <c r="P48" s="218">
        <f t="shared" si="3"/>
        <v>0</v>
      </c>
      <c r="Q48" s="220">
        <f>'TECH DATA ENTRY'!S76</f>
        <v>0</v>
      </c>
      <c r="R48" s="217">
        <v>1</v>
      </c>
      <c r="S48" s="218">
        <f t="shared" si="4"/>
        <v>0</v>
      </c>
      <c r="T48" s="220">
        <f>'TECH DATA ENTRY'!T76</f>
        <v>0</v>
      </c>
      <c r="U48" s="217">
        <v>1</v>
      </c>
      <c r="V48" s="218">
        <f t="shared" si="5"/>
        <v>0</v>
      </c>
      <c r="W48" s="220">
        <f>'TECH DATA ENTRY'!U76</f>
        <v>0</v>
      </c>
      <c r="X48" s="217">
        <v>1</v>
      </c>
      <c r="Y48" s="218">
        <f t="shared" si="6"/>
        <v>0</v>
      </c>
      <c r="Z48" s="220">
        <f>'TECH DATA ENTRY'!V76</f>
        <v>0</v>
      </c>
      <c r="AA48" s="217">
        <v>1</v>
      </c>
      <c r="AB48" s="218">
        <f t="shared" si="7"/>
        <v>0</v>
      </c>
      <c r="AC48" s="220">
        <f>'TECH DATA ENTRY'!W76</f>
        <v>0</v>
      </c>
      <c r="AD48" s="217">
        <v>1</v>
      </c>
      <c r="AE48" s="218">
        <f t="shared" si="8"/>
        <v>0</v>
      </c>
      <c r="AF48" s="220">
        <f>'TECH DATA ENTRY'!X76</f>
        <v>0</v>
      </c>
      <c r="AG48" s="217">
        <v>1</v>
      </c>
      <c r="AH48" s="218">
        <f t="shared" si="9"/>
        <v>0</v>
      </c>
      <c r="AI48" s="219" t="e">
        <f t="shared" si="10"/>
        <v>#DIV/0!</v>
      </c>
      <c r="AJ48" s="221">
        <f>'TECH DATA ENTRY'!K76</f>
        <v>0</v>
      </c>
      <c r="AK48" s="222" t="e">
        <f t="shared" si="11"/>
        <v>#DIV/0!</v>
      </c>
      <c r="AL48" s="222" t="e">
        <f>VLOOKUP(AK48,'AUX TABLES'!A$2:B$29,2)</f>
        <v>#DIV/0!</v>
      </c>
      <c r="AM48" s="223" t="e">
        <f>IF(OR(ISTEXT(B48)=TRUE,ISTEXT('TECH DATA ENTRY'!L76)=TRUE), "NA",AL48*AI48)</f>
        <v>#DIV/0!</v>
      </c>
      <c r="AN48" s="79"/>
    </row>
    <row r="49" spans="1:40" s="80" customFormat="1" ht="20.149999999999999" customHeight="1">
      <c r="A49" s="216"/>
      <c r="B49" s="249" t="str">
        <f>'TECH DATA ENTRY'!B77</f>
        <v>Nominal</v>
      </c>
      <c r="C49" s="217" t="str">
        <f>'TECH DATA ENTRY'!O77</f>
        <v>Uncertainty Components</v>
      </c>
      <c r="D49" s="217">
        <v>1</v>
      </c>
      <c r="E49" s="218" t="e">
        <f t="shared" si="0"/>
        <v>#VALUE!</v>
      </c>
      <c r="F49" s="217">
        <f>'TECH DATA ENTRY'!P77</f>
        <v>0</v>
      </c>
      <c r="G49" s="217">
        <v>1</v>
      </c>
      <c r="H49" s="218" t="e">
        <f t="shared" si="1"/>
        <v>#VALUE!</v>
      </c>
      <c r="I49" s="219">
        <f>'TECH DATA ENTRY'!Q77</f>
        <v>0</v>
      </c>
      <c r="J49" s="219" t="str">
        <f>'TECH DATA ENTRY'!$G$26</f>
        <v>Digital</v>
      </c>
      <c r="K49" s="217">
        <v>1</v>
      </c>
      <c r="L49" s="218">
        <f t="shared" si="2"/>
        <v>0</v>
      </c>
      <c r="M49" s="219">
        <f>'TECH DATA ENTRY'!R77</f>
        <v>0</v>
      </c>
      <c r="N49" s="219" t="str">
        <f>'TECH DATA ENTRY'!$G$26</f>
        <v>Digital</v>
      </c>
      <c r="O49" s="217">
        <v>1</v>
      </c>
      <c r="P49" s="218">
        <f t="shared" si="3"/>
        <v>0</v>
      </c>
      <c r="Q49" s="220">
        <f>'TECH DATA ENTRY'!S77</f>
        <v>0</v>
      </c>
      <c r="R49" s="217">
        <v>1</v>
      </c>
      <c r="S49" s="218">
        <f t="shared" si="4"/>
        <v>0</v>
      </c>
      <c r="T49" s="220">
        <f>'TECH DATA ENTRY'!T77</f>
        <v>0</v>
      </c>
      <c r="U49" s="217">
        <v>1</v>
      </c>
      <c r="V49" s="218">
        <f t="shared" si="5"/>
        <v>0</v>
      </c>
      <c r="W49" s="220">
        <f>'TECH DATA ENTRY'!U77</f>
        <v>0</v>
      </c>
      <c r="X49" s="217">
        <v>1</v>
      </c>
      <c r="Y49" s="218">
        <f t="shared" si="6"/>
        <v>0</v>
      </c>
      <c r="Z49" s="220">
        <f>'TECH DATA ENTRY'!V77</f>
        <v>0</v>
      </c>
      <c r="AA49" s="217">
        <v>1</v>
      </c>
      <c r="AB49" s="218">
        <f t="shared" si="7"/>
        <v>0</v>
      </c>
      <c r="AC49" s="220">
        <f>'TECH DATA ENTRY'!W77</f>
        <v>0</v>
      </c>
      <c r="AD49" s="217">
        <v>1</v>
      </c>
      <c r="AE49" s="218">
        <f t="shared" si="8"/>
        <v>0</v>
      </c>
      <c r="AF49" s="220">
        <f>'TECH DATA ENTRY'!X77</f>
        <v>0</v>
      </c>
      <c r="AG49" s="217">
        <v>1</v>
      </c>
      <c r="AH49" s="218">
        <f t="shared" si="9"/>
        <v>0</v>
      </c>
      <c r="AI49" s="219" t="e">
        <f t="shared" si="10"/>
        <v>#VALUE!</v>
      </c>
      <c r="AJ49" s="221" t="str">
        <f>'TECH DATA ENTRY'!K77</f>
        <v>n</v>
      </c>
      <c r="AK49" s="222" t="e">
        <f t="shared" si="11"/>
        <v>#VALUE!</v>
      </c>
      <c r="AL49" s="222" t="e">
        <f>VLOOKUP(AK49,'AUX TABLES'!A$2:B$29,2)</f>
        <v>#VALUE!</v>
      </c>
      <c r="AM49" s="223" t="str">
        <f>IF(OR(ISTEXT(B49)=TRUE,ISTEXT('TECH DATA ENTRY'!L77)=TRUE), "NA",AL49*AI49)</f>
        <v>NA</v>
      </c>
      <c r="AN49" s="79"/>
    </row>
    <row r="50" spans="1:40" s="80" customFormat="1" ht="20.149999999999999" customHeight="1">
      <c r="A50" s="216"/>
      <c r="B50" s="249">
        <f>'TECH DATA ENTRY'!B78</f>
        <v>0</v>
      </c>
      <c r="C50" s="217" t="str">
        <f>'TECH DATA ENTRY'!O78</f>
        <v>Stdev 1</v>
      </c>
      <c r="D50" s="217">
        <v>1</v>
      </c>
      <c r="E50" s="218" t="e">
        <f t="shared" si="0"/>
        <v>#VALUE!</v>
      </c>
      <c r="F50" s="217" t="str">
        <f>'TECH DATA ENTRY'!P78</f>
        <v>Stdev 2</v>
      </c>
      <c r="G50" s="217">
        <v>1</v>
      </c>
      <c r="H50" s="218" t="e">
        <f t="shared" si="1"/>
        <v>#VALUE!</v>
      </c>
      <c r="I50" s="219" t="str">
        <f>'TECH DATA ENTRY'!Q78</f>
        <v>Resolution 1</v>
      </c>
      <c r="J50" s="219" t="str">
        <f>'TECH DATA ENTRY'!$G$26</f>
        <v>Digital</v>
      </c>
      <c r="K50" s="217">
        <v>1</v>
      </c>
      <c r="L50" s="218" t="e">
        <f t="shared" si="2"/>
        <v>#VALUE!</v>
      </c>
      <c r="M50" s="219" t="str">
        <f>'TECH DATA ENTRY'!R78</f>
        <v>Resolution 2</v>
      </c>
      <c r="N50" s="219" t="str">
        <f>'TECH DATA ENTRY'!$G$26</f>
        <v>Digital</v>
      </c>
      <c r="O50" s="217">
        <v>1</v>
      </c>
      <c r="P50" s="218" t="e">
        <f t="shared" si="3"/>
        <v>#VALUE!</v>
      </c>
      <c r="Q50" s="220" t="str">
        <f>'TECH DATA ENTRY'!S78</f>
        <v>Scope Uncertainty</v>
      </c>
      <c r="R50" s="217">
        <v>1</v>
      </c>
      <c r="S50" s="218" t="e">
        <f t="shared" si="4"/>
        <v>#VALUE!</v>
      </c>
      <c r="T50" s="220" t="str">
        <f>'TECH DATA ENTRY'!T78</f>
        <v>STD 2 Cal Unc</v>
      </c>
      <c r="U50" s="217">
        <v>1</v>
      </c>
      <c r="V50" s="218" t="e">
        <f t="shared" si="5"/>
        <v>#VALUE!</v>
      </c>
      <c r="W50" s="220" t="str">
        <f>'TECH DATA ENTRY'!U78</f>
        <v>Others 1</v>
      </c>
      <c r="X50" s="217">
        <v>1</v>
      </c>
      <c r="Y50" s="218" t="e">
        <f t="shared" si="6"/>
        <v>#VALUE!</v>
      </c>
      <c r="Z50" s="220" t="str">
        <f>'TECH DATA ENTRY'!V78</f>
        <v>Others 2</v>
      </c>
      <c r="AA50" s="217">
        <v>1</v>
      </c>
      <c r="AB50" s="218" t="e">
        <f t="shared" si="7"/>
        <v>#VALUE!</v>
      </c>
      <c r="AC50" s="220" t="str">
        <f>'TECH DATA ENTRY'!W78</f>
        <v>Others 3</v>
      </c>
      <c r="AD50" s="217">
        <v>1</v>
      </c>
      <c r="AE50" s="218" t="e">
        <f t="shared" si="8"/>
        <v>#VALUE!</v>
      </c>
      <c r="AF50" s="220" t="str">
        <f>'TECH DATA ENTRY'!X78</f>
        <v>Others 4</v>
      </c>
      <c r="AG50" s="217">
        <v>1</v>
      </c>
      <c r="AH50" s="218" t="e">
        <f t="shared" si="9"/>
        <v>#VALUE!</v>
      </c>
      <c r="AI50" s="219" t="e">
        <f t="shared" si="10"/>
        <v>#VALUE!</v>
      </c>
      <c r="AJ50" s="221">
        <f>'TECH DATA ENTRY'!K78</f>
        <v>0</v>
      </c>
      <c r="AK50" s="222" t="e">
        <f t="shared" si="11"/>
        <v>#VALUE!</v>
      </c>
      <c r="AL50" s="222" t="e">
        <f>VLOOKUP(AK50,'AUX TABLES'!A$2:B$29,2)</f>
        <v>#VALUE!</v>
      </c>
      <c r="AM50" s="223" t="e">
        <f>IF(OR(ISTEXT(B50)=TRUE,ISTEXT('TECH DATA ENTRY'!L78)=TRUE), "NA",AL50*AI50)</f>
        <v>#VALUE!</v>
      </c>
      <c r="AN50" s="79"/>
    </row>
    <row r="51" spans="1:40" s="80" customFormat="1" ht="20.149999999999999" customHeight="1">
      <c r="A51" s="216"/>
      <c r="B51" s="249">
        <f>'TECH DATA ENTRY'!B79</f>
        <v>0.1</v>
      </c>
      <c r="C51" s="217" t="str">
        <f>'TECH DATA ENTRY'!O79</f>
        <v/>
      </c>
      <c r="D51" s="217">
        <v>1</v>
      </c>
      <c r="E51" s="218" t="e">
        <f t="shared" si="0"/>
        <v>#VALUE!</v>
      </c>
      <c r="F51" s="217">
        <f>'TECH DATA ENTRY'!P79</f>
        <v>0</v>
      </c>
      <c r="G51" s="217">
        <v>1</v>
      </c>
      <c r="H51" s="218" t="e">
        <f t="shared" si="1"/>
        <v>#VALUE!</v>
      </c>
      <c r="I51" s="219">
        <f>'TECH DATA ENTRY'!Q79</f>
        <v>9.9999999999999995E-7</v>
      </c>
      <c r="J51" s="219" t="str">
        <f>'TECH DATA ENTRY'!$G$26</f>
        <v>Digital</v>
      </c>
      <c r="K51" s="217">
        <v>1</v>
      </c>
      <c r="L51" s="218">
        <f t="shared" si="2"/>
        <v>2.8867513459481289E-7</v>
      </c>
      <c r="M51" s="219">
        <f>'TECH DATA ENTRY'!R79</f>
        <v>0</v>
      </c>
      <c r="N51" s="219" t="str">
        <f>'TECH DATA ENTRY'!$G$26</f>
        <v>Digital</v>
      </c>
      <c r="O51" s="217">
        <v>1</v>
      </c>
      <c r="P51" s="218">
        <f t="shared" si="3"/>
        <v>0</v>
      </c>
      <c r="Q51" s="220">
        <f>'TECH DATA ENTRY'!S79</f>
        <v>1.5E-6</v>
      </c>
      <c r="R51" s="217">
        <v>1</v>
      </c>
      <c r="S51" s="218">
        <f t="shared" si="4"/>
        <v>7.5000000000000002E-7</v>
      </c>
      <c r="T51" s="220">
        <f>'TECH DATA ENTRY'!T79</f>
        <v>0</v>
      </c>
      <c r="U51" s="217">
        <v>1</v>
      </c>
      <c r="V51" s="218">
        <f t="shared" si="5"/>
        <v>0</v>
      </c>
      <c r="W51" s="220">
        <f>'TECH DATA ENTRY'!U79</f>
        <v>0</v>
      </c>
      <c r="X51" s="217">
        <v>1</v>
      </c>
      <c r="Y51" s="218">
        <f t="shared" si="6"/>
        <v>0</v>
      </c>
      <c r="Z51" s="220">
        <f>'TECH DATA ENTRY'!V79</f>
        <v>0</v>
      </c>
      <c r="AA51" s="217">
        <v>1</v>
      </c>
      <c r="AB51" s="218">
        <f t="shared" si="7"/>
        <v>0</v>
      </c>
      <c r="AC51" s="220">
        <f>'TECH DATA ENTRY'!W79</f>
        <v>0</v>
      </c>
      <c r="AD51" s="217">
        <v>1</v>
      </c>
      <c r="AE51" s="218">
        <f t="shared" si="8"/>
        <v>0</v>
      </c>
      <c r="AF51" s="220">
        <f>'TECH DATA ENTRY'!X79</f>
        <v>0</v>
      </c>
      <c r="AG51" s="217">
        <v>1</v>
      </c>
      <c r="AH51" s="218">
        <f t="shared" si="9"/>
        <v>0</v>
      </c>
      <c r="AI51" s="219" t="e">
        <f t="shared" si="10"/>
        <v>#VALUE!</v>
      </c>
      <c r="AJ51" s="221" t="str">
        <f>'TECH DATA ENTRY'!K79</f>
        <v/>
      </c>
      <c r="AK51" s="222" t="e">
        <f t="shared" si="11"/>
        <v>#VALUE!</v>
      </c>
      <c r="AL51" s="222" t="e">
        <f>VLOOKUP(AK51,'AUX TABLES'!A$2:B$29,2)</f>
        <v>#VALUE!</v>
      </c>
      <c r="AM51" s="223" t="str">
        <f>IF(OR(ISTEXT(B51)=TRUE,ISTEXT('TECH DATA ENTRY'!L79)=TRUE), "NA",AL51*AI51)</f>
        <v>NA</v>
      </c>
      <c r="AN51" s="79"/>
    </row>
    <row r="52" spans="1:40" s="80" customFormat="1" ht="20.149999999999999" customHeight="1">
      <c r="A52" s="216"/>
      <c r="B52" s="249">
        <f>'TECH DATA ENTRY'!B80</f>
        <v>1</v>
      </c>
      <c r="C52" s="217" t="str">
        <f>'TECH DATA ENTRY'!O80</f>
        <v/>
      </c>
      <c r="D52" s="217">
        <v>1</v>
      </c>
      <c r="E52" s="218" t="e">
        <f t="shared" si="0"/>
        <v>#VALUE!</v>
      </c>
      <c r="F52" s="217">
        <f>'TECH DATA ENTRY'!P80</f>
        <v>0</v>
      </c>
      <c r="G52" s="217">
        <v>1</v>
      </c>
      <c r="H52" s="218" t="e">
        <f t="shared" si="1"/>
        <v>#VALUE!</v>
      </c>
      <c r="I52" s="219">
        <f>'TECH DATA ENTRY'!Q80</f>
        <v>9.9999999999999995E-7</v>
      </c>
      <c r="J52" s="219" t="str">
        <f>'TECH DATA ENTRY'!$G$26</f>
        <v>Digital</v>
      </c>
      <c r="K52" s="217">
        <v>1</v>
      </c>
      <c r="L52" s="218">
        <f t="shared" si="2"/>
        <v>2.8867513459481289E-7</v>
      </c>
      <c r="M52" s="219">
        <f>'TECH DATA ENTRY'!R80</f>
        <v>0</v>
      </c>
      <c r="N52" s="219" t="str">
        <f>'TECH DATA ENTRY'!$G$26</f>
        <v>Digital</v>
      </c>
      <c r="O52" s="217">
        <v>1</v>
      </c>
      <c r="P52" s="218">
        <f t="shared" si="3"/>
        <v>0</v>
      </c>
      <c r="Q52" s="220">
        <f>'TECH DATA ENTRY'!S80</f>
        <v>5.7999999999999995E-6</v>
      </c>
      <c r="R52" s="217">
        <v>1</v>
      </c>
      <c r="S52" s="218">
        <f t="shared" si="4"/>
        <v>2.8999999999999998E-6</v>
      </c>
      <c r="T52" s="220">
        <f>'TECH DATA ENTRY'!T80</f>
        <v>0</v>
      </c>
      <c r="U52" s="217">
        <v>1</v>
      </c>
      <c r="V52" s="218">
        <f t="shared" si="5"/>
        <v>0</v>
      </c>
      <c r="W52" s="220">
        <f>'TECH DATA ENTRY'!U80</f>
        <v>0</v>
      </c>
      <c r="X52" s="217">
        <v>1</v>
      </c>
      <c r="Y52" s="218">
        <f t="shared" si="6"/>
        <v>0</v>
      </c>
      <c r="Z52" s="220">
        <f>'TECH DATA ENTRY'!V80</f>
        <v>0</v>
      </c>
      <c r="AA52" s="217">
        <v>1</v>
      </c>
      <c r="AB52" s="218">
        <f t="shared" si="7"/>
        <v>0</v>
      </c>
      <c r="AC52" s="220">
        <f>'TECH DATA ENTRY'!W80</f>
        <v>0</v>
      </c>
      <c r="AD52" s="217">
        <v>1</v>
      </c>
      <c r="AE52" s="218">
        <f t="shared" si="8"/>
        <v>0</v>
      </c>
      <c r="AF52" s="220">
        <f>'TECH DATA ENTRY'!X80</f>
        <v>0</v>
      </c>
      <c r="AG52" s="217">
        <v>1</v>
      </c>
      <c r="AH52" s="218">
        <f t="shared" si="9"/>
        <v>0</v>
      </c>
      <c r="AI52" s="219" t="e">
        <f t="shared" si="10"/>
        <v>#VALUE!</v>
      </c>
      <c r="AJ52" s="221" t="str">
        <f>'TECH DATA ENTRY'!K80</f>
        <v/>
      </c>
      <c r="AK52" s="222" t="e">
        <f t="shared" si="11"/>
        <v>#VALUE!</v>
      </c>
      <c r="AL52" s="222" t="e">
        <f>VLOOKUP(AK52,'AUX TABLES'!A$2:B$29,2)</f>
        <v>#VALUE!</v>
      </c>
      <c r="AM52" s="223" t="str">
        <f>IF(OR(ISTEXT(B52)=TRUE,ISTEXT('TECH DATA ENTRY'!L80)=TRUE), "NA",AL52*AI52)</f>
        <v>NA</v>
      </c>
      <c r="AN52" s="79"/>
    </row>
    <row r="53" spans="1:40" s="80" customFormat="1" ht="20.149999999999999" customHeight="1">
      <c r="A53" s="216"/>
      <c r="B53" s="249">
        <f>'TECH DATA ENTRY'!B81</f>
        <v>-10</v>
      </c>
      <c r="C53" s="217" t="str">
        <f>'TECH DATA ENTRY'!O81</f>
        <v/>
      </c>
      <c r="D53" s="217">
        <v>1</v>
      </c>
      <c r="E53" s="218" t="e">
        <f t="shared" si="0"/>
        <v>#VALUE!</v>
      </c>
      <c r="F53" s="217">
        <f>'TECH DATA ENTRY'!P81</f>
        <v>0</v>
      </c>
      <c r="G53" s="217">
        <v>1</v>
      </c>
      <c r="H53" s="218" t="e">
        <f t="shared" si="1"/>
        <v>#VALUE!</v>
      </c>
      <c r="I53" s="219">
        <f>'TECH DATA ENTRY'!Q81</f>
        <v>9.9999999999999995E-7</v>
      </c>
      <c r="J53" s="219" t="str">
        <f>'TECH DATA ENTRY'!$G$26</f>
        <v>Digital</v>
      </c>
      <c r="K53" s="217">
        <v>1</v>
      </c>
      <c r="L53" s="218">
        <f t="shared" si="2"/>
        <v>2.8867513459481289E-7</v>
      </c>
      <c r="M53" s="219">
        <f>'TECH DATA ENTRY'!R81</f>
        <v>0</v>
      </c>
      <c r="N53" s="219" t="str">
        <f>'TECH DATA ENTRY'!$G$26</f>
        <v>Digital</v>
      </c>
      <c r="O53" s="217">
        <v>1</v>
      </c>
      <c r="P53" s="218">
        <f t="shared" si="3"/>
        <v>0</v>
      </c>
      <c r="Q53" s="220">
        <f>'TECH DATA ENTRY'!S81</f>
        <v>3.2500000000000004E-5</v>
      </c>
      <c r="R53" s="217">
        <v>1</v>
      </c>
      <c r="S53" s="218">
        <f t="shared" si="4"/>
        <v>1.6250000000000002E-5</v>
      </c>
      <c r="T53" s="220">
        <f>'TECH DATA ENTRY'!T81</f>
        <v>0</v>
      </c>
      <c r="U53" s="217">
        <v>1</v>
      </c>
      <c r="V53" s="218">
        <f t="shared" si="5"/>
        <v>0</v>
      </c>
      <c r="W53" s="220">
        <f>'TECH DATA ENTRY'!U81</f>
        <v>0</v>
      </c>
      <c r="X53" s="217">
        <v>1</v>
      </c>
      <c r="Y53" s="218">
        <f t="shared" si="6"/>
        <v>0</v>
      </c>
      <c r="Z53" s="220">
        <f>'TECH DATA ENTRY'!V81</f>
        <v>0</v>
      </c>
      <c r="AA53" s="217">
        <v>1</v>
      </c>
      <c r="AB53" s="218">
        <f t="shared" si="7"/>
        <v>0</v>
      </c>
      <c r="AC53" s="220">
        <f>'TECH DATA ENTRY'!W81</f>
        <v>0</v>
      </c>
      <c r="AD53" s="217">
        <v>1</v>
      </c>
      <c r="AE53" s="218">
        <f t="shared" si="8"/>
        <v>0</v>
      </c>
      <c r="AF53" s="220">
        <f>'TECH DATA ENTRY'!X81</f>
        <v>0</v>
      </c>
      <c r="AG53" s="217">
        <v>1</v>
      </c>
      <c r="AH53" s="218">
        <f t="shared" si="9"/>
        <v>0</v>
      </c>
      <c r="AI53" s="219" t="e">
        <f t="shared" si="10"/>
        <v>#VALUE!</v>
      </c>
      <c r="AJ53" s="221" t="str">
        <f>'TECH DATA ENTRY'!K81</f>
        <v/>
      </c>
      <c r="AK53" s="222" t="e">
        <f t="shared" si="11"/>
        <v>#VALUE!</v>
      </c>
      <c r="AL53" s="222" t="e">
        <f>VLOOKUP(AK53,'AUX TABLES'!A$2:B$29,2)</f>
        <v>#VALUE!</v>
      </c>
      <c r="AM53" s="223" t="str">
        <f>IF(OR(ISTEXT(B53)=TRUE,ISTEXT('TECH DATA ENTRY'!L81)=TRUE), "NA",AL53*AI53)</f>
        <v>NA</v>
      </c>
      <c r="AN53" s="79"/>
    </row>
    <row r="54" spans="1:40" s="80" customFormat="1" ht="20.149999999999999" customHeight="1">
      <c r="A54" s="216"/>
      <c r="B54" s="249">
        <f>'TECH DATA ENTRY'!B82</f>
        <v>0</v>
      </c>
      <c r="C54" s="217">
        <f>'TECH DATA ENTRY'!O82</f>
        <v>0</v>
      </c>
      <c r="D54" s="217">
        <v>1</v>
      </c>
      <c r="E54" s="218" t="e">
        <f t="shared" si="0"/>
        <v>#DIV/0!</v>
      </c>
      <c r="F54" s="217">
        <f>'TECH DATA ENTRY'!P82</f>
        <v>0</v>
      </c>
      <c r="G54" s="217">
        <v>1</v>
      </c>
      <c r="H54" s="218" t="e">
        <f t="shared" si="1"/>
        <v>#DIV/0!</v>
      </c>
      <c r="I54" s="219">
        <f>'TECH DATA ENTRY'!Q82</f>
        <v>0</v>
      </c>
      <c r="J54" s="219" t="str">
        <f>'TECH DATA ENTRY'!$G$26</f>
        <v>Digital</v>
      </c>
      <c r="K54" s="217">
        <v>1</v>
      </c>
      <c r="L54" s="218">
        <f t="shared" si="2"/>
        <v>0</v>
      </c>
      <c r="M54" s="219">
        <f>'TECH DATA ENTRY'!R82</f>
        <v>0</v>
      </c>
      <c r="N54" s="219" t="str">
        <f>'TECH DATA ENTRY'!$G$26</f>
        <v>Digital</v>
      </c>
      <c r="O54" s="217">
        <v>1</v>
      </c>
      <c r="P54" s="218">
        <f t="shared" si="3"/>
        <v>0</v>
      </c>
      <c r="Q54" s="220">
        <f>'TECH DATA ENTRY'!S82</f>
        <v>0</v>
      </c>
      <c r="R54" s="217">
        <v>1</v>
      </c>
      <c r="S54" s="218">
        <f t="shared" si="4"/>
        <v>0</v>
      </c>
      <c r="T54" s="220">
        <f>'TECH DATA ENTRY'!T82</f>
        <v>0</v>
      </c>
      <c r="U54" s="217">
        <v>1</v>
      </c>
      <c r="V54" s="218">
        <f t="shared" si="5"/>
        <v>0</v>
      </c>
      <c r="W54" s="220">
        <f>'TECH DATA ENTRY'!U82</f>
        <v>0</v>
      </c>
      <c r="X54" s="217">
        <v>1</v>
      </c>
      <c r="Y54" s="218">
        <f t="shared" si="6"/>
        <v>0</v>
      </c>
      <c r="Z54" s="220">
        <f>'TECH DATA ENTRY'!V82</f>
        <v>0</v>
      </c>
      <c r="AA54" s="217">
        <v>1</v>
      </c>
      <c r="AB54" s="218">
        <f t="shared" si="7"/>
        <v>0</v>
      </c>
      <c r="AC54" s="220">
        <f>'TECH DATA ENTRY'!W82</f>
        <v>0</v>
      </c>
      <c r="AD54" s="217">
        <v>1</v>
      </c>
      <c r="AE54" s="218">
        <f t="shared" si="8"/>
        <v>0</v>
      </c>
      <c r="AF54" s="220">
        <f>'TECH DATA ENTRY'!X82</f>
        <v>0</v>
      </c>
      <c r="AG54" s="217">
        <v>1</v>
      </c>
      <c r="AH54" s="218">
        <f t="shared" si="9"/>
        <v>0</v>
      </c>
      <c r="AI54" s="219" t="e">
        <f t="shared" si="10"/>
        <v>#DIV/0!</v>
      </c>
      <c r="AJ54" s="221">
        <f>'TECH DATA ENTRY'!K82</f>
        <v>0</v>
      </c>
      <c r="AK54" s="222" t="e">
        <f t="shared" si="11"/>
        <v>#DIV/0!</v>
      </c>
      <c r="AL54" s="222" t="e">
        <f>VLOOKUP(AK54,'AUX TABLES'!A$2:B$29,2)</f>
        <v>#DIV/0!</v>
      </c>
      <c r="AM54" s="223" t="e">
        <f>IF(OR(ISTEXT(B54)=TRUE,ISTEXT('TECH DATA ENTRY'!L82)=TRUE), "NA",AL54*AI54)</f>
        <v>#DIV/0!</v>
      </c>
      <c r="AN54" s="79"/>
    </row>
    <row r="55" spans="1:40" s="80" customFormat="1" ht="20.149999999999999" customHeight="1">
      <c r="A55" s="216"/>
      <c r="B55" s="249">
        <f>'TECH DATA ENTRY'!B83</f>
        <v>0</v>
      </c>
      <c r="C55" s="217">
        <f>'TECH DATA ENTRY'!O83</f>
        <v>0</v>
      </c>
      <c r="D55" s="217">
        <v>1</v>
      </c>
      <c r="E55" s="218" t="e">
        <f t="shared" si="0"/>
        <v>#DIV/0!</v>
      </c>
      <c r="F55" s="217">
        <f>'TECH DATA ENTRY'!P83</f>
        <v>0</v>
      </c>
      <c r="G55" s="217">
        <v>1</v>
      </c>
      <c r="H55" s="218" t="e">
        <f t="shared" si="1"/>
        <v>#DIV/0!</v>
      </c>
      <c r="I55" s="219">
        <f>'TECH DATA ENTRY'!Q83</f>
        <v>0</v>
      </c>
      <c r="J55" s="219" t="str">
        <f>'TECH DATA ENTRY'!$G$26</f>
        <v>Digital</v>
      </c>
      <c r="K55" s="217">
        <v>1</v>
      </c>
      <c r="L55" s="218">
        <f t="shared" si="2"/>
        <v>0</v>
      </c>
      <c r="M55" s="219">
        <f>'TECH DATA ENTRY'!R83</f>
        <v>0</v>
      </c>
      <c r="N55" s="219" t="str">
        <f>'TECH DATA ENTRY'!$G$26</f>
        <v>Digital</v>
      </c>
      <c r="O55" s="217">
        <v>1</v>
      </c>
      <c r="P55" s="218">
        <f t="shared" si="3"/>
        <v>0</v>
      </c>
      <c r="Q55" s="220">
        <f>'TECH DATA ENTRY'!S83</f>
        <v>0</v>
      </c>
      <c r="R55" s="217">
        <v>1</v>
      </c>
      <c r="S55" s="218">
        <f t="shared" si="4"/>
        <v>0</v>
      </c>
      <c r="T55" s="220">
        <f>'TECH DATA ENTRY'!T83</f>
        <v>0</v>
      </c>
      <c r="U55" s="217">
        <v>1</v>
      </c>
      <c r="V55" s="218">
        <f t="shared" si="5"/>
        <v>0</v>
      </c>
      <c r="W55" s="220">
        <f>'TECH DATA ENTRY'!U83</f>
        <v>0</v>
      </c>
      <c r="X55" s="217">
        <v>1</v>
      </c>
      <c r="Y55" s="218">
        <f t="shared" si="6"/>
        <v>0</v>
      </c>
      <c r="Z55" s="220">
        <f>'TECH DATA ENTRY'!V83</f>
        <v>0</v>
      </c>
      <c r="AA55" s="217">
        <v>1</v>
      </c>
      <c r="AB55" s="218">
        <f t="shared" si="7"/>
        <v>0</v>
      </c>
      <c r="AC55" s="220">
        <f>'TECH DATA ENTRY'!W83</f>
        <v>0</v>
      </c>
      <c r="AD55" s="217">
        <v>1</v>
      </c>
      <c r="AE55" s="218">
        <f t="shared" si="8"/>
        <v>0</v>
      </c>
      <c r="AF55" s="220">
        <f>'TECH DATA ENTRY'!X83</f>
        <v>0</v>
      </c>
      <c r="AG55" s="217">
        <v>1</v>
      </c>
      <c r="AH55" s="218">
        <f t="shared" si="9"/>
        <v>0</v>
      </c>
      <c r="AI55" s="219" t="e">
        <f t="shared" si="10"/>
        <v>#DIV/0!</v>
      </c>
      <c r="AJ55" s="221">
        <f>'TECH DATA ENTRY'!K83</f>
        <v>0</v>
      </c>
      <c r="AK55" s="222" t="e">
        <f t="shared" si="11"/>
        <v>#DIV/0!</v>
      </c>
      <c r="AL55" s="222" t="e">
        <f>VLOOKUP(AK55,'AUX TABLES'!A$2:B$29,2)</f>
        <v>#DIV/0!</v>
      </c>
      <c r="AM55" s="223" t="e">
        <f>IF(OR(ISTEXT(B55)=TRUE,ISTEXT('TECH DATA ENTRY'!L83)=TRUE), "NA",AL55*AI55)</f>
        <v>#DIV/0!</v>
      </c>
      <c r="AN55" s="79"/>
    </row>
    <row r="56" spans="1:40" s="80" customFormat="1" ht="20.149999999999999" customHeight="1">
      <c r="A56" s="216"/>
      <c r="B56" s="249">
        <f>'TECH DATA ENTRY'!B84</f>
        <v>0</v>
      </c>
      <c r="C56" s="217">
        <f>'TECH DATA ENTRY'!O84</f>
        <v>0</v>
      </c>
      <c r="D56" s="217">
        <v>1</v>
      </c>
      <c r="E56" s="218" t="e">
        <f t="shared" si="0"/>
        <v>#DIV/0!</v>
      </c>
      <c r="F56" s="217">
        <f>'TECH DATA ENTRY'!P84</f>
        <v>0</v>
      </c>
      <c r="G56" s="217">
        <v>1</v>
      </c>
      <c r="H56" s="218" t="e">
        <f t="shared" si="1"/>
        <v>#DIV/0!</v>
      </c>
      <c r="I56" s="219">
        <f>'TECH DATA ENTRY'!Q84</f>
        <v>0</v>
      </c>
      <c r="J56" s="219" t="str">
        <f>'TECH DATA ENTRY'!$G$26</f>
        <v>Digital</v>
      </c>
      <c r="K56" s="217">
        <v>1</v>
      </c>
      <c r="L56" s="218">
        <f t="shared" si="2"/>
        <v>0</v>
      </c>
      <c r="M56" s="219">
        <f>'TECH DATA ENTRY'!R84</f>
        <v>0</v>
      </c>
      <c r="N56" s="219" t="str">
        <f>'TECH DATA ENTRY'!$G$26</f>
        <v>Digital</v>
      </c>
      <c r="O56" s="217">
        <v>1</v>
      </c>
      <c r="P56" s="218">
        <f t="shared" si="3"/>
        <v>0</v>
      </c>
      <c r="Q56" s="220">
        <f>'TECH DATA ENTRY'!S84</f>
        <v>0</v>
      </c>
      <c r="R56" s="217">
        <v>1</v>
      </c>
      <c r="S56" s="218">
        <f t="shared" si="4"/>
        <v>0</v>
      </c>
      <c r="T56" s="220">
        <f>'TECH DATA ENTRY'!T84</f>
        <v>0</v>
      </c>
      <c r="U56" s="217">
        <v>1</v>
      </c>
      <c r="V56" s="218">
        <f t="shared" si="5"/>
        <v>0</v>
      </c>
      <c r="W56" s="220">
        <f>'TECH DATA ENTRY'!U84</f>
        <v>0</v>
      </c>
      <c r="X56" s="217">
        <v>1</v>
      </c>
      <c r="Y56" s="218">
        <f t="shared" si="6"/>
        <v>0</v>
      </c>
      <c r="Z56" s="220">
        <f>'TECH DATA ENTRY'!V84</f>
        <v>0</v>
      </c>
      <c r="AA56" s="217">
        <v>1</v>
      </c>
      <c r="AB56" s="218">
        <f t="shared" si="7"/>
        <v>0</v>
      </c>
      <c r="AC56" s="220">
        <f>'TECH DATA ENTRY'!W84</f>
        <v>0</v>
      </c>
      <c r="AD56" s="217">
        <v>1</v>
      </c>
      <c r="AE56" s="218">
        <f t="shared" si="8"/>
        <v>0</v>
      </c>
      <c r="AF56" s="220">
        <f>'TECH DATA ENTRY'!X84</f>
        <v>0</v>
      </c>
      <c r="AG56" s="217">
        <v>1</v>
      </c>
      <c r="AH56" s="218">
        <f t="shared" si="9"/>
        <v>0</v>
      </c>
      <c r="AI56" s="219" t="e">
        <f t="shared" si="10"/>
        <v>#DIV/0!</v>
      </c>
      <c r="AJ56" s="221">
        <f>'TECH DATA ENTRY'!K84</f>
        <v>0</v>
      </c>
      <c r="AK56" s="222" t="e">
        <f t="shared" si="11"/>
        <v>#DIV/0!</v>
      </c>
      <c r="AL56" s="222" t="e">
        <f>VLOOKUP(AK56,'AUX TABLES'!A$2:B$29,2)</f>
        <v>#DIV/0!</v>
      </c>
      <c r="AM56" s="223" t="e">
        <f>IF(OR(ISTEXT(B56)=TRUE,ISTEXT('TECH DATA ENTRY'!L84)=TRUE), "NA",AL56*AI56)</f>
        <v>#DIV/0!</v>
      </c>
      <c r="AN56" s="79"/>
    </row>
    <row r="57" spans="1:40" s="80" customFormat="1" ht="20.149999999999999" customHeight="1">
      <c r="A57" s="216"/>
      <c r="B57" s="249">
        <f>'TECH DATA ENTRY'!B85</f>
        <v>0</v>
      </c>
      <c r="C57" s="217">
        <f>'TECH DATA ENTRY'!O85</f>
        <v>0</v>
      </c>
      <c r="D57" s="217">
        <v>1</v>
      </c>
      <c r="E57" s="218" t="e">
        <f t="shared" si="0"/>
        <v>#DIV/0!</v>
      </c>
      <c r="F57" s="217">
        <f>'TECH DATA ENTRY'!P85</f>
        <v>0</v>
      </c>
      <c r="G57" s="217">
        <v>1</v>
      </c>
      <c r="H57" s="218" t="e">
        <f t="shared" si="1"/>
        <v>#DIV/0!</v>
      </c>
      <c r="I57" s="219">
        <f>'TECH DATA ENTRY'!Q85</f>
        <v>0</v>
      </c>
      <c r="J57" s="219" t="str">
        <f>'TECH DATA ENTRY'!$G$26</f>
        <v>Digital</v>
      </c>
      <c r="K57" s="217">
        <v>1</v>
      </c>
      <c r="L57" s="218">
        <f t="shared" si="2"/>
        <v>0</v>
      </c>
      <c r="M57" s="219">
        <f>'TECH DATA ENTRY'!R85</f>
        <v>0</v>
      </c>
      <c r="N57" s="219" t="str">
        <f>'TECH DATA ENTRY'!$G$26</f>
        <v>Digital</v>
      </c>
      <c r="O57" s="217">
        <v>1</v>
      </c>
      <c r="P57" s="218">
        <f t="shared" si="3"/>
        <v>0</v>
      </c>
      <c r="Q57" s="220">
        <f>'TECH DATA ENTRY'!S85</f>
        <v>0</v>
      </c>
      <c r="R57" s="217">
        <v>1</v>
      </c>
      <c r="S57" s="218">
        <f t="shared" si="4"/>
        <v>0</v>
      </c>
      <c r="T57" s="220">
        <f>'TECH DATA ENTRY'!T85</f>
        <v>0</v>
      </c>
      <c r="U57" s="217">
        <v>1</v>
      </c>
      <c r="V57" s="218">
        <f t="shared" si="5"/>
        <v>0</v>
      </c>
      <c r="W57" s="220">
        <f>'TECH DATA ENTRY'!U85</f>
        <v>0</v>
      </c>
      <c r="X57" s="217">
        <v>1</v>
      </c>
      <c r="Y57" s="218">
        <f t="shared" si="6"/>
        <v>0</v>
      </c>
      <c r="Z57" s="220">
        <f>'TECH DATA ENTRY'!V85</f>
        <v>0</v>
      </c>
      <c r="AA57" s="217">
        <v>1</v>
      </c>
      <c r="AB57" s="218">
        <f t="shared" si="7"/>
        <v>0</v>
      </c>
      <c r="AC57" s="220">
        <f>'TECH DATA ENTRY'!W85</f>
        <v>0</v>
      </c>
      <c r="AD57" s="217">
        <v>1</v>
      </c>
      <c r="AE57" s="218">
        <f t="shared" si="8"/>
        <v>0</v>
      </c>
      <c r="AF57" s="220">
        <f>'TECH DATA ENTRY'!X85</f>
        <v>0</v>
      </c>
      <c r="AG57" s="217">
        <v>1</v>
      </c>
      <c r="AH57" s="218">
        <f t="shared" si="9"/>
        <v>0</v>
      </c>
      <c r="AI57" s="219" t="e">
        <f t="shared" si="10"/>
        <v>#DIV/0!</v>
      </c>
      <c r="AJ57" s="221">
        <f>'TECH DATA ENTRY'!K85</f>
        <v>0</v>
      </c>
      <c r="AK57" s="222" t="e">
        <f t="shared" si="11"/>
        <v>#DIV/0!</v>
      </c>
      <c r="AL57" s="222" t="e">
        <f>VLOOKUP(AK57,'AUX TABLES'!A$2:B$29,2)</f>
        <v>#DIV/0!</v>
      </c>
      <c r="AM57" s="223" t="e">
        <f>IF(OR(ISTEXT(B57)=TRUE,ISTEXT('TECH DATA ENTRY'!L85)=TRUE), "NA",AL57*AI57)</f>
        <v>#DIV/0!</v>
      </c>
      <c r="AN57" s="79"/>
    </row>
    <row r="58" spans="1:40" s="80" customFormat="1" ht="20.149999999999999" customHeight="1">
      <c r="A58" s="216"/>
      <c r="B58" s="249" t="str">
        <f>'TECH DATA ENTRY'!B86</f>
        <v>Nominal</v>
      </c>
      <c r="C58" s="217" t="str">
        <f>'TECH DATA ENTRY'!O86</f>
        <v>Uncertainty Components</v>
      </c>
      <c r="D58" s="217">
        <v>1</v>
      </c>
      <c r="E58" s="218" t="e">
        <f t="shared" si="0"/>
        <v>#VALUE!</v>
      </c>
      <c r="F58" s="217">
        <f>'TECH DATA ENTRY'!P86</f>
        <v>0</v>
      </c>
      <c r="G58" s="217">
        <v>1</v>
      </c>
      <c r="H58" s="218" t="e">
        <f t="shared" si="1"/>
        <v>#VALUE!</v>
      </c>
      <c r="I58" s="219">
        <f>'TECH DATA ENTRY'!Q86</f>
        <v>0</v>
      </c>
      <c r="J58" s="219" t="str">
        <f>'TECH DATA ENTRY'!$G$26</f>
        <v>Digital</v>
      </c>
      <c r="K58" s="217">
        <v>1</v>
      </c>
      <c r="L58" s="218">
        <f t="shared" si="2"/>
        <v>0</v>
      </c>
      <c r="M58" s="219">
        <f>'TECH DATA ENTRY'!R86</f>
        <v>0</v>
      </c>
      <c r="N58" s="219" t="str">
        <f>'TECH DATA ENTRY'!$G$26</f>
        <v>Digital</v>
      </c>
      <c r="O58" s="217">
        <v>1</v>
      </c>
      <c r="P58" s="218">
        <f t="shared" si="3"/>
        <v>0</v>
      </c>
      <c r="Q58" s="220">
        <f>'TECH DATA ENTRY'!S86</f>
        <v>0</v>
      </c>
      <c r="R58" s="217">
        <v>1</v>
      </c>
      <c r="S58" s="218">
        <f t="shared" si="4"/>
        <v>0</v>
      </c>
      <c r="T58" s="220">
        <f>'TECH DATA ENTRY'!T86</f>
        <v>0</v>
      </c>
      <c r="U58" s="217">
        <v>1</v>
      </c>
      <c r="V58" s="218">
        <f t="shared" si="5"/>
        <v>0</v>
      </c>
      <c r="W58" s="220">
        <f>'TECH DATA ENTRY'!U86</f>
        <v>0</v>
      </c>
      <c r="X58" s="217">
        <v>1</v>
      </c>
      <c r="Y58" s="218">
        <f t="shared" si="6"/>
        <v>0</v>
      </c>
      <c r="Z58" s="220">
        <f>'TECH DATA ENTRY'!V86</f>
        <v>0</v>
      </c>
      <c r="AA58" s="217">
        <v>1</v>
      </c>
      <c r="AB58" s="218">
        <f t="shared" si="7"/>
        <v>0</v>
      </c>
      <c r="AC58" s="220">
        <f>'TECH DATA ENTRY'!W86</f>
        <v>0</v>
      </c>
      <c r="AD58" s="217">
        <v>1</v>
      </c>
      <c r="AE58" s="218">
        <f t="shared" si="8"/>
        <v>0</v>
      </c>
      <c r="AF58" s="220">
        <f>'TECH DATA ENTRY'!X86</f>
        <v>0</v>
      </c>
      <c r="AG58" s="217">
        <v>1</v>
      </c>
      <c r="AH58" s="218">
        <f t="shared" si="9"/>
        <v>0</v>
      </c>
      <c r="AI58" s="219" t="e">
        <f t="shared" si="10"/>
        <v>#VALUE!</v>
      </c>
      <c r="AJ58" s="221" t="str">
        <f>'TECH DATA ENTRY'!K86</f>
        <v>n</v>
      </c>
      <c r="AK58" s="222" t="e">
        <f t="shared" si="11"/>
        <v>#VALUE!</v>
      </c>
      <c r="AL58" s="222" t="e">
        <f>VLOOKUP(AK58,'AUX TABLES'!A$2:B$29,2)</f>
        <v>#VALUE!</v>
      </c>
      <c r="AM58" s="223" t="str">
        <f>IF(OR(ISTEXT(B58)=TRUE,ISTEXT('TECH DATA ENTRY'!L86)=TRUE), "NA",AL58*AI58)</f>
        <v>NA</v>
      </c>
      <c r="AN58" s="79"/>
    </row>
    <row r="59" spans="1:40" s="80" customFormat="1" ht="20.149999999999999" customHeight="1">
      <c r="A59" s="216"/>
      <c r="B59" s="249">
        <f>'TECH DATA ENTRY'!B87</f>
        <v>0</v>
      </c>
      <c r="C59" s="217" t="str">
        <f>'TECH DATA ENTRY'!O87</f>
        <v>Stdev 1</v>
      </c>
      <c r="D59" s="217">
        <v>1</v>
      </c>
      <c r="E59" s="218" t="e">
        <f t="shared" si="0"/>
        <v>#VALUE!</v>
      </c>
      <c r="F59" s="217" t="str">
        <f>'TECH DATA ENTRY'!P87</f>
        <v>Stdev 2</v>
      </c>
      <c r="G59" s="217">
        <v>1</v>
      </c>
      <c r="H59" s="218" t="e">
        <f t="shared" si="1"/>
        <v>#VALUE!</v>
      </c>
      <c r="I59" s="219" t="str">
        <f>'TECH DATA ENTRY'!Q87</f>
        <v>Resolution 1</v>
      </c>
      <c r="J59" s="219" t="str">
        <f>'TECH DATA ENTRY'!$G$26</f>
        <v>Digital</v>
      </c>
      <c r="K59" s="217">
        <v>1</v>
      </c>
      <c r="L59" s="218" t="e">
        <f t="shared" si="2"/>
        <v>#VALUE!</v>
      </c>
      <c r="M59" s="219" t="str">
        <f>'TECH DATA ENTRY'!R87</f>
        <v>Resolution 2</v>
      </c>
      <c r="N59" s="219" t="str">
        <f>'TECH DATA ENTRY'!$G$26</f>
        <v>Digital</v>
      </c>
      <c r="O59" s="217">
        <v>1</v>
      </c>
      <c r="P59" s="218" t="e">
        <f t="shared" si="3"/>
        <v>#VALUE!</v>
      </c>
      <c r="Q59" s="220" t="str">
        <f>'TECH DATA ENTRY'!S87</f>
        <v>Scope Uncertainty</v>
      </c>
      <c r="R59" s="217">
        <v>1</v>
      </c>
      <c r="S59" s="218" t="e">
        <f t="shared" si="4"/>
        <v>#VALUE!</v>
      </c>
      <c r="T59" s="220" t="str">
        <f>'TECH DATA ENTRY'!T87</f>
        <v>STD 2 Cal Unc</v>
      </c>
      <c r="U59" s="217">
        <v>1</v>
      </c>
      <c r="V59" s="218" t="e">
        <f t="shared" si="5"/>
        <v>#VALUE!</v>
      </c>
      <c r="W59" s="220" t="str">
        <f>'TECH DATA ENTRY'!U87</f>
        <v>Others 1</v>
      </c>
      <c r="X59" s="217">
        <v>1</v>
      </c>
      <c r="Y59" s="218" t="e">
        <f t="shared" si="6"/>
        <v>#VALUE!</v>
      </c>
      <c r="Z59" s="220" t="str">
        <f>'TECH DATA ENTRY'!V87</f>
        <v>Others 2</v>
      </c>
      <c r="AA59" s="217">
        <v>1</v>
      </c>
      <c r="AB59" s="218" t="e">
        <f t="shared" si="7"/>
        <v>#VALUE!</v>
      </c>
      <c r="AC59" s="220" t="str">
        <f>'TECH DATA ENTRY'!W87</f>
        <v>Others 3</v>
      </c>
      <c r="AD59" s="217">
        <v>1</v>
      </c>
      <c r="AE59" s="218" t="e">
        <f t="shared" si="8"/>
        <v>#VALUE!</v>
      </c>
      <c r="AF59" s="220" t="str">
        <f>'TECH DATA ENTRY'!X87</f>
        <v>Others 4</v>
      </c>
      <c r="AG59" s="217">
        <v>1</v>
      </c>
      <c r="AH59" s="218" t="e">
        <f t="shared" si="9"/>
        <v>#VALUE!</v>
      </c>
      <c r="AI59" s="219" t="e">
        <f t="shared" si="10"/>
        <v>#VALUE!</v>
      </c>
      <c r="AJ59" s="221">
        <f>'TECH DATA ENTRY'!K87</f>
        <v>0</v>
      </c>
      <c r="AK59" s="222" t="e">
        <f t="shared" si="11"/>
        <v>#VALUE!</v>
      </c>
      <c r="AL59" s="222" t="e">
        <f>VLOOKUP(AK59,'AUX TABLES'!A$2:B$29,2)</f>
        <v>#VALUE!</v>
      </c>
      <c r="AM59" s="223" t="e">
        <f>IF(OR(ISTEXT(B59)=TRUE,ISTEXT('TECH DATA ENTRY'!L87)=TRUE), "NA",AL59*AI59)</f>
        <v>#VALUE!</v>
      </c>
      <c r="AN59" s="79"/>
    </row>
    <row r="60" spans="1:40" s="80" customFormat="1" ht="20.149999999999999" customHeight="1">
      <c r="A60" s="216"/>
      <c r="B60" s="249">
        <f>'TECH DATA ENTRY'!B88</f>
        <v>100</v>
      </c>
      <c r="C60" s="217" t="str">
        <f>'TECH DATA ENTRY'!O88</f>
        <v/>
      </c>
      <c r="D60" s="217">
        <v>1</v>
      </c>
      <c r="E60" s="218" t="e">
        <f t="shared" si="0"/>
        <v>#VALUE!</v>
      </c>
      <c r="F60" s="217">
        <f>'TECH DATA ENTRY'!P88</f>
        <v>0</v>
      </c>
      <c r="G60" s="217">
        <v>1</v>
      </c>
      <c r="H60" s="218" t="e">
        <f t="shared" si="1"/>
        <v>#VALUE!</v>
      </c>
      <c r="I60" s="219">
        <f>'TECH DATA ENTRY'!Q88</f>
        <v>1E-4</v>
      </c>
      <c r="J60" s="219" t="str">
        <f>'TECH DATA ENTRY'!$G$26</f>
        <v>Digital</v>
      </c>
      <c r="K60" s="217">
        <v>1</v>
      </c>
      <c r="L60" s="218">
        <f t="shared" si="2"/>
        <v>2.8867513459481293E-5</v>
      </c>
      <c r="M60" s="219">
        <f>'TECH DATA ENTRY'!R88</f>
        <v>0</v>
      </c>
      <c r="N60" s="219" t="str">
        <f>'TECH DATA ENTRY'!$G$26</f>
        <v>Digital</v>
      </c>
      <c r="O60" s="217">
        <v>1</v>
      </c>
      <c r="P60" s="218">
        <f t="shared" si="3"/>
        <v>0</v>
      </c>
      <c r="Q60" s="220">
        <f>'TECH DATA ENTRY'!S88</f>
        <v>3.7000000000000005E-2</v>
      </c>
      <c r="R60" s="217">
        <v>1</v>
      </c>
      <c r="S60" s="218">
        <f t="shared" si="4"/>
        <v>1.8500000000000003E-2</v>
      </c>
      <c r="T60" s="220">
        <f>'TECH DATA ENTRY'!T88</f>
        <v>0</v>
      </c>
      <c r="U60" s="217">
        <v>1</v>
      </c>
      <c r="V60" s="218">
        <f t="shared" si="5"/>
        <v>0</v>
      </c>
      <c r="W60" s="220">
        <f>'TECH DATA ENTRY'!U88</f>
        <v>0</v>
      </c>
      <c r="X60" s="217">
        <v>1</v>
      </c>
      <c r="Y60" s="218">
        <f t="shared" si="6"/>
        <v>0</v>
      </c>
      <c r="Z60" s="220">
        <f>'TECH DATA ENTRY'!V88</f>
        <v>0</v>
      </c>
      <c r="AA60" s="217">
        <v>1</v>
      </c>
      <c r="AB60" s="218">
        <f t="shared" si="7"/>
        <v>0</v>
      </c>
      <c r="AC60" s="220">
        <f>'TECH DATA ENTRY'!W88</f>
        <v>0</v>
      </c>
      <c r="AD60" s="217">
        <v>1</v>
      </c>
      <c r="AE60" s="218">
        <f t="shared" si="8"/>
        <v>0</v>
      </c>
      <c r="AF60" s="220">
        <f>'TECH DATA ENTRY'!X88</f>
        <v>0</v>
      </c>
      <c r="AG60" s="217">
        <v>1</v>
      </c>
      <c r="AH60" s="218">
        <f t="shared" si="9"/>
        <v>0</v>
      </c>
      <c r="AI60" s="219" t="e">
        <f t="shared" si="10"/>
        <v>#VALUE!</v>
      </c>
      <c r="AJ60" s="221" t="str">
        <f>'TECH DATA ENTRY'!K88</f>
        <v/>
      </c>
      <c r="AK60" s="222" t="e">
        <f t="shared" si="11"/>
        <v>#VALUE!</v>
      </c>
      <c r="AL60" s="222" t="e">
        <f>VLOOKUP(AK60,'AUX TABLES'!A$2:B$29,2)</f>
        <v>#VALUE!</v>
      </c>
      <c r="AM60" s="223" t="str">
        <f>IF(OR(ISTEXT(B60)=TRUE,ISTEXT('TECH DATA ENTRY'!L88)=TRUE), "NA",AL60*AI60)</f>
        <v>NA</v>
      </c>
      <c r="AN60" s="79"/>
    </row>
    <row r="61" spans="1:40" s="80" customFormat="1" ht="20.149999999999999" customHeight="1">
      <c r="A61" s="216"/>
      <c r="B61" s="249">
        <f>'TECH DATA ENTRY'!B89</f>
        <v>100</v>
      </c>
      <c r="C61" s="217" t="str">
        <f>'TECH DATA ENTRY'!O89</f>
        <v/>
      </c>
      <c r="D61" s="217">
        <v>1</v>
      </c>
      <c r="E61" s="218" t="e">
        <f t="shared" si="0"/>
        <v>#VALUE!</v>
      </c>
      <c r="F61" s="217">
        <f>'TECH DATA ENTRY'!P89</f>
        <v>0</v>
      </c>
      <c r="G61" s="217">
        <v>1</v>
      </c>
      <c r="H61" s="218" t="e">
        <f t="shared" si="1"/>
        <v>#VALUE!</v>
      </c>
      <c r="I61" s="219">
        <f>'TECH DATA ENTRY'!Q89</f>
        <v>1E-4</v>
      </c>
      <c r="J61" s="219" t="str">
        <f>'TECH DATA ENTRY'!$G$26</f>
        <v>Digital</v>
      </c>
      <c r="K61" s="217">
        <v>1</v>
      </c>
      <c r="L61" s="218">
        <f t="shared" si="2"/>
        <v>2.8867513459481293E-5</v>
      </c>
      <c r="M61" s="219">
        <f>'TECH DATA ENTRY'!R89</f>
        <v>0</v>
      </c>
      <c r="N61" s="219" t="str">
        <f>'TECH DATA ENTRY'!$G$26</f>
        <v>Digital</v>
      </c>
      <c r="O61" s="217">
        <v>1</v>
      </c>
      <c r="P61" s="218">
        <f t="shared" si="3"/>
        <v>0</v>
      </c>
      <c r="Q61" s="220">
        <f>'TECH DATA ENTRY'!S89</f>
        <v>1.5599999999999999E-2</v>
      </c>
      <c r="R61" s="217">
        <v>1</v>
      </c>
      <c r="S61" s="218">
        <f t="shared" si="4"/>
        <v>7.7999999999999996E-3</v>
      </c>
      <c r="T61" s="220">
        <f>'TECH DATA ENTRY'!T89</f>
        <v>0</v>
      </c>
      <c r="U61" s="217">
        <v>1</v>
      </c>
      <c r="V61" s="218">
        <f t="shared" si="5"/>
        <v>0</v>
      </c>
      <c r="W61" s="220">
        <f>'TECH DATA ENTRY'!U89</f>
        <v>0</v>
      </c>
      <c r="X61" s="217">
        <v>1</v>
      </c>
      <c r="Y61" s="218">
        <f t="shared" si="6"/>
        <v>0</v>
      </c>
      <c r="Z61" s="220">
        <f>'TECH DATA ENTRY'!V89</f>
        <v>0</v>
      </c>
      <c r="AA61" s="217">
        <v>1</v>
      </c>
      <c r="AB61" s="218">
        <f t="shared" si="7"/>
        <v>0</v>
      </c>
      <c r="AC61" s="220">
        <f>'TECH DATA ENTRY'!W89</f>
        <v>0</v>
      </c>
      <c r="AD61" s="217">
        <v>1</v>
      </c>
      <c r="AE61" s="218">
        <f t="shared" si="8"/>
        <v>0</v>
      </c>
      <c r="AF61" s="220">
        <f>'TECH DATA ENTRY'!X89</f>
        <v>0</v>
      </c>
      <c r="AG61" s="217">
        <v>1</v>
      </c>
      <c r="AH61" s="218">
        <f t="shared" si="9"/>
        <v>0</v>
      </c>
      <c r="AI61" s="219" t="e">
        <f t="shared" si="10"/>
        <v>#VALUE!</v>
      </c>
      <c r="AJ61" s="221" t="str">
        <f>'TECH DATA ENTRY'!K89</f>
        <v/>
      </c>
      <c r="AK61" s="222" t="e">
        <f t="shared" si="11"/>
        <v>#VALUE!</v>
      </c>
      <c r="AL61" s="222" t="e">
        <f>VLOOKUP(AK61,'AUX TABLES'!A$2:B$29,2)</f>
        <v>#VALUE!</v>
      </c>
      <c r="AM61" s="223" t="str">
        <f>IF(OR(ISTEXT(B61)=TRUE,ISTEXT('TECH DATA ENTRY'!L89)=TRUE), "NA",AL61*AI61)</f>
        <v>NA</v>
      </c>
      <c r="AN61" s="79"/>
    </row>
    <row r="62" spans="1:40" s="80" customFormat="1" ht="20.149999999999999" customHeight="1">
      <c r="A62" s="216"/>
      <c r="B62" s="249">
        <f>'TECH DATA ENTRY'!B90</f>
        <v>100</v>
      </c>
      <c r="C62" s="217" t="str">
        <f>'TECH DATA ENTRY'!O90</f>
        <v/>
      </c>
      <c r="D62" s="217">
        <v>1</v>
      </c>
      <c r="E62" s="218" t="e">
        <f t="shared" si="0"/>
        <v>#VALUE!</v>
      </c>
      <c r="F62" s="217">
        <f>'TECH DATA ENTRY'!P90</f>
        <v>0</v>
      </c>
      <c r="G62" s="217">
        <v>1</v>
      </c>
      <c r="H62" s="218" t="e">
        <f t="shared" si="1"/>
        <v>#VALUE!</v>
      </c>
      <c r="I62" s="219">
        <f>'TECH DATA ENTRY'!Q90</f>
        <v>1E-4</v>
      </c>
      <c r="J62" s="219" t="str">
        <f>'TECH DATA ENTRY'!$G$26</f>
        <v>Digital</v>
      </c>
      <c r="K62" s="217">
        <v>1</v>
      </c>
      <c r="L62" s="218">
        <f t="shared" si="2"/>
        <v>2.8867513459481293E-5</v>
      </c>
      <c r="M62" s="219">
        <f>'TECH DATA ENTRY'!R90</f>
        <v>0</v>
      </c>
      <c r="N62" s="219" t="str">
        <f>'TECH DATA ENTRY'!$G$26</f>
        <v>Digital</v>
      </c>
      <c r="O62" s="217">
        <v>1</v>
      </c>
      <c r="P62" s="218">
        <f t="shared" si="3"/>
        <v>0</v>
      </c>
      <c r="Q62" s="220">
        <f>'TECH DATA ENTRY'!S90</f>
        <v>2.76E-2</v>
      </c>
      <c r="R62" s="217">
        <v>1</v>
      </c>
      <c r="S62" s="218">
        <f t="shared" si="4"/>
        <v>1.38E-2</v>
      </c>
      <c r="T62" s="220">
        <f>'TECH DATA ENTRY'!T90</f>
        <v>0</v>
      </c>
      <c r="U62" s="217">
        <v>1</v>
      </c>
      <c r="V62" s="218">
        <f t="shared" si="5"/>
        <v>0</v>
      </c>
      <c r="W62" s="220">
        <f>'TECH DATA ENTRY'!U90</f>
        <v>0</v>
      </c>
      <c r="X62" s="217">
        <v>1</v>
      </c>
      <c r="Y62" s="218">
        <f t="shared" si="6"/>
        <v>0</v>
      </c>
      <c r="Z62" s="220">
        <f>'TECH DATA ENTRY'!V90</f>
        <v>0</v>
      </c>
      <c r="AA62" s="217">
        <v>1</v>
      </c>
      <c r="AB62" s="218">
        <f t="shared" si="7"/>
        <v>0</v>
      </c>
      <c r="AC62" s="220">
        <f>'TECH DATA ENTRY'!W90</f>
        <v>0</v>
      </c>
      <c r="AD62" s="217">
        <v>1</v>
      </c>
      <c r="AE62" s="218">
        <f t="shared" si="8"/>
        <v>0</v>
      </c>
      <c r="AF62" s="220">
        <f>'TECH DATA ENTRY'!X90</f>
        <v>0</v>
      </c>
      <c r="AG62" s="217">
        <v>1</v>
      </c>
      <c r="AH62" s="218">
        <f t="shared" si="9"/>
        <v>0</v>
      </c>
      <c r="AI62" s="219" t="e">
        <f t="shared" si="10"/>
        <v>#VALUE!</v>
      </c>
      <c r="AJ62" s="221" t="str">
        <f>'TECH DATA ENTRY'!K90</f>
        <v/>
      </c>
      <c r="AK62" s="222" t="e">
        <f t="shared" si="11"/>
        <v>#VALUE!</v>
      </c>
      <c r="AL62" s="222" t="e">
        <f>VLOOKUP(AK62,'AUX TABLES'!A$2:B$29,2)</f>
        <v>#VALUE!</v>
      </c>
      <c r="AM62" s="223" t="str">
        <f>IF(OR(ISTEXT(B62)=TRUE,ISTEXT('TECH DATA ENTRY'!L90)=TRUE), "NA",AL62*AI62)</f>
        <v>NA</v>
      </c>
      <c r="AN62" s="79"/>
    </row>
    <row r="63" spans="1:40" s="80" customFormat="1" ht="20.149999999999999" customHeight="1">
      <c r="A63" s="216"/>
      <c r="B63" s="249">
        <f>'TECH DATA ENTRY'!B91</f>
        <v>100</v>
      </c>
      <c r="C63" s="217" t="str">
        <f>'TECH DATA ENTRY'!O91</f>
        <v/>
      </c>
      <c r="D63" s="217">
        <v>1</v>
      </c>
      <c r="E63" s="218" t="e">
        <f t="shared" si="0"/>
        <v>#VALUE!</v>
      </c>
      <c r="F63" s="217">
        <f>'TECH DATA ENTRY'!P91</f>
        <v>0</v>
      </c>
      <c r="G63" s="217">
        <v>1</v>
      </c>
      <c r="H63" s="218" t="e">
        <f t="shared" si="1"/>
        <v>#VALUE!</v>
      </c>
      <c r="I63" s="219">
        <f>'TECH DATA ENTRY'!Q91</f>
        <v>1E-4</v>
      </c>
      <c r="J63" s="219" t="str">
        <f>'TECH DATA ENTRY'!$G$26</f>
        <v>Digital</v>
      </c>
      <c r="K63" s="217">
        <v>1</v>
      </c>
      <c r="L63" s="218">
        <f t="shared" si="2"/>
        <v>2.8867513459481293E-5</v>
      </c>
      <c r="M63" s="219">
        <f>'TECH DATA ENTRY'!R91</f>
        <v>0</v>
      </c>
      <c r="N63" s="219" t="str">
        <f>'TECH DATA ENTRY'!$G$26</f>
        <v>Digital</v>
      </c>
      <c r="O63" s="217">
        <v>1</v>
      </c>
      <c r="P63" s="218">
        <f t="shared" si="3"/>
        <v>0</v>
      </c>
      <c r="Q63" s="220">
        <f>'TECH DATA ENTRY'!S91</f>
        <v>6.4799999999999996E-2</v>
      </c>
      <c r="R63" s="217">
        <v>1</v>
      </c>
      <c r="S63" s="218">
        <f t="shared" si="4"/>
        <v>3.2399999999999998E-2</v>
      </c>
      <c r="T63" s="220">
        <f>'TECH DATA ENTRY'!T91</f>
        <v>0</v>
      </c>
      <c r="U63" s="217">
        <v>1</v>
      </c>
      <c r="V63" s="218">
        <f t="shared" si="5"/>
        <v>0</v>
      </c>
      <c r="W63" s="220">
        <f>'TECH DATA ENTRY'!U91</f>
        <v>0</v>
      </c>
      <c r="X63" s="217">
        <v>1</v>
      </c>
      <c r="Y63" s="218">
        <f t="shared" si="6"/>
        <v>0</v>
      </c>
      <c r="Z63" s="220">
        <f>'TECH DATA ENTRY'!V91</f>
        <v>0</v>
      </c>
      <c r="AA63" s="217">
        <v>1</v>
      </c>
      <c r="AB63" s="218">
        <f t="shared" si="7"/>
        <v>0</v>
      </c>
      <c r="AC63" s="220">
        <f>'TECH DATA ENTRY'!W91</f>
        <v>0</v>
      </c>
      <c r="AD63" s="217">
        <v>1</v>
      </c>
      <c r="AE63" s="218">
        <f t="shared" si="8"/>
        <v>0</v>
      </c>
      <c r="AF63" s="220">
        <f>'TECH DATA ENTRY'!X91</f>
        <v>0</v>
      </c>
      <c r="AG63" s="217">
        <v>1</v>
      </c>
      <c r="AH63" s="218">
        <f t="shared" si="9"/>
        <v>0</v>
      </c>
      <c r="AI63" s="219" t="e">
        <f t="shared" si="10"/>
        <v>#VALUE!</v>
      </c>
      <c r="AJ63" s="221" t="str">
        <f>'TECH DATA ENTRY'!K91</f>
        <v/>
      </c>
      <c r="AK63" s="222" t="e">
        <f t="shared" si="11"/>
        <v>#VALUE!</v>
      </c>
      <c r="AL63" s="222" t="e">
        <f>VLOOKUP(AK63,'AUX TABLES'!A$2:B$29,2)</f>
        <v>#VALUE!</v>
      </c>
      <c r="AM63" s="223" t="str">
        <f>IF(OR(ISTEXT(B63)=TRUE,ISTEXT('TECH DATA ENTRY'!L91)=TRUE), "NA",AL63*AI63)</f>
        <v>NA</v>
      </c>
      <c r="AN63" s="79"/>
    </row>
    <row r="64" spans="1:40" s="80" customFormat="1" ht="20.149999999999999" customHeight="1">
      <c r="A64" s="216"/>
      <c r="B64" s="249">
        <f>'TECH DATA ENTRY'!B92</f>
        <v>100</v>
      </c>
      <c r="C64" s="217" t="str">
        <f>'TECH DATA ENTRY'!O92</f>
        <v/>
      </c>
      <c r="D64" s="217">
        <v>1</v>
      </c>
      <c r="E64" s="218" t="e">
        <f t="shared" si="0"/>
        <v>#VALUE!</v>
      </c>
      <c r="F64" s="217">
        <f>'TECH DATA ENTRY'!P92</f>
        <v>0</v>
      </c>
      <c r="G64" s="217">
        <v>1</v>
      </c>
      <c r="H64" s="218" t="e">
        <f t="shared" si="1"/>
        <v>#VALUE!</v>
      </c>
      <c r="I64" s="219">
        <f>'TECH DATA ENTRY'!Q92</f>
        <v>1E-4</v>
      </c>
      <c r="J64" s="219" t="str">
        <f>'TECH DATA ENTRY'!$G$26</f>
        <v>Digital</v>
      </c>
      <c r="K64" s="217">
        <v>1</v>
      </c>
      <c r="L64" s="218">
        <f t="shared" si="2"/>
        <v>2.8867513459481293E-5</v>
      </c>
      <c r="M64" s="219">
        <f>'TECH DATA ENTRY'!R92</f>
        <v>0</v>
      </c>
      <c r="N64" s="219" t="str">
        <f>'TECH DATA ENTRY'!$G$26</f>
        <v>Digital</v>
      </c>
      <c r="O64" s="217">
        <v>1</v>
      </c>
      <c r="P64" s="218">
        <f t="shared" si="3"/>
        <v>0</v>
      </c>
      <c r="Q64" s="220">
        <f>'TECH DATA ENTRY'!S92</f>
        <v>0.1053</v>
      </c>
      <c r="R64" s="217">
        <v>1</v>
      </c>
      <c r="S64" s="218">
        <f t="shared" si="4"/>
        <v>5.2650000000000002E-2</v>
      </c>
      <c r="T64" s="220">
        <f>'TECH DATA ENTRY'!T92</f>
        <v>0</v>
      </c>
      <c r="U64" s="217">
        <v>1</v>
      </c>
      <c r="V64" s="218">
        <f t="shared" si="5"/>
        <v>0</v>
      </c>
      <c r="W64" s="220">
        <f>'TECH DATA ENTRY'!U92</f>
        <v>0</v>
      </c>
      <c r="X64" s="217">
        <v>1</v>
      </c>
      <c r="Y64" s="218">
        <f t="shared" si="6"/>
        <v>0</v>
      </c>
      <c r="Z64" s="220">
        <f>'TECH DATA ENTRY'!V92</f>
        <v>0</v>
      </c>
      <c r="AA64" s="217">
        <v>1</v>
      </c>
      <c r="AB64" s="218">
        <f t="shared" si="7"/>
        <v>0</v>
      </c>
      <c r="AC64" s="220">
        <f>'TECH DATA ENTRY'!W92</f>
        <v>0</v>
      </c>
      <c r="AD64" s="217">
        <v>1</v>
      </c>
      <c r="AE64" s="218">
        <f t="shared" si="8"/>
        <v>0</v>
      </c>
      <c r="AF64" s="220">
        <f>'TECH DATA ENTRY'!X92</f>
        <v>0</v>
      </c>
      <c r="AG64" s="217">
        <v>1</v>
      </c>
      <c r="AH64" s="218">
        <f t="shared" si="9"/>
        <v>0</v>
      </c>
      <c r="AI64" s="219" t="e">
        <f t="shared" si="10"/>
        <v>#VALUE!</v>
      </c>
      <c r="AJ64" s="221" t="str">
        <f>'TECH DATA ENTRY'!K92</f>
        <v/>
      </c>
      <c r="AK64" s="222" t="e">
        <f t="shared" si="11"/>
        <v>#VALUE!</v>
      </c>
      <c r="AL64" s="222" t="e">
        <f>VLOOKUP(AK64,'AUX TABLES'!A$2:B$29,2)</f>
        <v>#VALUE!</v>
      </c>
      <c r="AM64" s="223" t="str">
        <f>IF(OR(ISTEXT(B64)=TRUE,ISTEXT('TECH DATA ENTRY'!L92)=TRUE), "NA",AL64*AI64)</f>
        <v>NA</v>
      </c>
      <c r="AN64" s="79"/>
    </row>
    <row r="65" spans="1:40" s="80" customFormat="1" ht="20.149999999999999" customHeight="1">
      <c r="A65" s="216"/>
      <c r="B65" s="249">
        <f>'TECH DATA ENTRY'!B93</f>
        <v>0</v>
      </c>
      <c r="C65" s="217">
        <f>'TECH DATA ENTRY'!O93</f>
        <v>0</v>
      </c>
      <c r="D65" s="217">
        <v>1</v>
      </c>
      <c r="E65" s="218" t="e">
        <f t="shared" si="0"/>
        <v>#DIV/0!</v>
      </c>
      <c r="F65" s="217">
        <f>'TECH DATA ENTRY'!P93</f>
        <v>0</v>
      </c>
      <c r="G65" s="217">
        <v>1</v>
      </c>
      <c r="H65" s="218" t="e">
        <f t="shared" si="1"/>
        <v>#DIV/0!</v>
      </c>
      <c r="I65" s="219">
        <f>'TECH DATA ENTRY'!Q93</f>
        <v>0</v>
      </c>
      <c r="J65" s="219" t="str">
        <f>'TECH DATA ENTRY'!$G$26</f>
        <v>Digital</v>
      </c>
      <c r="K65" s="217">
        <v>1</v>
      </c>
      <c r="L65" s="218">
        <f t="shared" si="2"/>
        <v>0</v>
      </c>
      <c r="M65" s="219">
        <f>'TECH DATA ENTRY'!R93</f>
        <v>0</v>
      </c>
      <c r="N65" s="219" t="str">
        <f>'TECH DATA ENTRY'!$G$26</f>
        <v>Digital</v>
      </c>
      <c r="O65" s="217">
        <v>1</v>
      </c>
      <c r="P65" s="218">
        <f t="shared" si="3"/>
        <v>0</v>
      </c>
      <c r="Q65" s="220">
        <f>'TECH DATA ENTRY'!S93</f>
        <v>0</v>
      </c>
      <c r="R65" s="217">
        <v>1</v>
      </c>
      <c r="S65" s="218">
        <f t="shared" si="4"/>
        <v>0</v>
      </c>
      <c r="T65" s="220">
        <f>'TECH DATA ENTRY'!T93</f>
        <v>0</v>
      </c>
      <c r="U65" s="217">
        <v>1</v>
      </c>
      <c r="V65" s="218">
        <f t="shared" si="5"/>
        <v>0</v>
      </c>
      <c r="W65" s="220">
        <f>'TECH DATA ENTRY'!U93</f>
        <v>0</v>
      </c>
      <c r="X65" s="217">
        <v>1</v>
      </c>
      <c r="Y65" s="218">
        <f t="shared" si="6"/>
        <v>0</v>
      </c>
      <c r="Z65" s="220">
        <f>'TECH DATA ENTRY'!V93</f>
        <v>0</v>
      </c>
      <c r="AA65" s="217">
        <v>1</v>
      </c>
      <c r="AB65" s="218">
        <f t="shared" si="7"/>
        <v>0</v>
      </c>
      <c r="AC65" s="220">
        <f>'TECH DATA ENTRY'!W93</f>
        <v>0</v>
      </c>
      <c r="AD65" s="217">
        <v>1</v>
      </c>
      <c r="AE65" s="218">
        <f t="shared" si="8"/>
        <v>0</v>
      </c>
      <c r="AF65" s="220">
        <f>'TECH DATA ENTRY'!X93</f>
        <v>0</v>
      </c>
      <c r="AG65" s="217">
        <v>1</v>
      </c>
      <c r="AH65" s="218">
        <f t="shared" si="9"/>
        <v>0</v>
      </c>
      <c r="AI65" s="219" t="e">
        <f t="shared" si="10"/>
        <v>#DIV/0!</v>
      </c>
      <c r="AJ65" s="221">
        <f>'TECH DATA ENTRY'!K93</f>
        <v>0</v>
      </c>
      <c r="AK65" s="222" t="e">
        <f t="shared" si="11"/>
        <v>#DIV/0!</v>
      </c>
      <c r="AL65" s="222" t="e">
        <f>VLOOKUP(AK65,'AUX TABLES'!A$2:B$29,2)</f>
        <v>#DIV/0!</v>
      </c>
      <c r="AM65" s="223" t="e">
        <f>IF(OR(ISTEXT(B65)=TRUE,ISTEXT('TECH DATA ENTRY'!L93)=TRUE), "NA",AL65*AI65)</f>
        <v>#DIV/0!</v>
      </c>
      <c r="AN65" s="79"/>
    </row>
    <row r="66" spans="1:40" s="80" customFormat="1" ht="20.149999999999999" customHeight="1">
      <c r="A66" s="216"/>
      <c r="B66" s="249">
        <f>'TECH DATA ENTRY'!B94</f>
        <v>0</v>
      </c>
      <c r="C66" s="217">
        <f>'TECH DATA ENTRY'!O94</f>
        <v>0</v>
      </c>
      <c r="D66" s="217">
        <v>1</v>
      </c>
      <c r="E66" s="218" t="e">
        <f t="shared" si="0"/>
        <v>#DIV/0!</v>
      </c>
      <c r="F66" s="217">
        <f>'TECH DATA ENTRY'!P94</f>
        <v>0</v>
      </c>
      <c r="G66" s="217">
        <v>1</v>
      </c>
      <c r="H66" s="218" t="e">
        <f t="shared" si="1"/>
        <v>#DIV/0!</v>
      </c>
      <c r="I66" s="219">
        <f>'TECH DATA ENTRY'!Q94</f>
        <v>0</v>
      </c>
      <c r="J66" s="219" t="str">
        <f>'TECH DATA ENTRY'!$G$26</f>
        <v>Digital</v>
      </c>
      <c r="K66" s="217">
        <v>1</v>
      </c>
      <c r="L66" s="218">
        <f t="shared" si="2"/>
        <v>0</v>
      </c>
      <c r="M66" s="219">
        <f>'TECH DATA ENTRY'!R94</f>
        <v>0</v>
      </c>
      <c r="N66" s="219" t="str">
        <f>'TECH DATA ENTRY'!$G$26</f>
        <v>Digital</v>
      </c>
      <c r="O66" s="217">
        <v>1</v>
      </c>
      <c r="P66" s="218">
        <f t="shared" si="3"/>
        <v>0</v>
      </c>
      <c r="Q66" s="220">
        <f>'TECH DATA ENTRY'!S94</f>
        <v>0</v>
      </c>
      <c r="R66" s="217">
        <v>1</v>
      </c>
      <c r="S66" s="218">
        <f t="shared" si="4"/>
        <v>0</v>
      </c>
      <c r="T66" s="220">
        <f>'TECH DATA ENTRY'!T94</f>
        <v>0</v>
      </c>
      <c r="U66" s="217">
        <v>1</v>
      </c>
      <c r="V66" s="218">
        <f t="shared" si="5"/>
        <v>0</v>
      </c>
      <c r="W66" s="220">
        <f>'TECH DATA ENTRY'!U94</f>
        <v>0</v>
      </c>
      <c r="X66" s="217">
        <v>1</v>
      </c>
      <c r="Y66" s="218">
        <f t="shared" si="6"/>
        <v>0</v>
      </c>
      <c r="Z66" s="220">
        <f>'TECH DATA ENTRY'!V94</f>
        <v>0</v>
      </c>
      <c r="AA66" s="217">
        <v>1</v>
      </c>
      <c r="AB66" s="218">
        <f t="shared" si="7"/>
        <v>0</v>
      </c>
      <c r="AC66" s="220">
        <f>'TECH DATA ENTRY'!W94</f>
        <v>0</v>
      </c>
      <c r="AD66" s="217">
        <v>1</v>
      </c>
      <c r="AE66" s="218">
        <f t="shared" si="8"/>
        <v>0</v>
      </c>
      <c r="AF66" s="220">
        <f>'TECH DATA ENTRY'!X94</f>
        <v>0</v>
      </c>
      <c r="AG66" s="217">
        <v>1</v>
      </c>
      <c r="AH66" s="218">
        <f t="shared" si="9"/>
        <v>0</v>
      </c>
      <c r="AI66" s="219" t="e">
        <f t="shared" si="10"/>
        <v>#DIV/0!</v>
      </c>
      <c r="AJ66" s="221">
        <f>'TECH DATA ENTRY'!K94</f>
        <v>0</v>
      </c>
      <c r="AK66" s="222" t="e">
        <f t="shared" si="11"/>
        <v>#DIV/0!</v>
      </c>
      <c r="AL66" s="222" t="e">
        <f>VLOOKUP(AK66,'AUX TABLES'!A$2:B$29,2)</f>
        <v>#DIV/0!</v>
      </c>
      <c r="AM66" s="223" t="e">
        <f>IF(OR(ISTEXT(B66)=TRUE,ISTEXT('TECH DATA ENTRY'!L94)=TRUE), "NA",AL66*AI66)</f>
        <v>#DIV/0!</v>
      </c>
      <c r="AN66" s="79"/>
    </row>
    <row r="67" spans="1:40" s="80" customFormat="1" ht="20.149999999999999" customHeight="1">
      <c r="A67" s="216"/>
      <c r="B67" s="249">
        <f>'TECH DATA ENTRY'!B95</f>
        <v>0</v>
      </c>
      <c r="C67" s="217">
        <f>'TECH DATA ENTRY'!O95</f>
        <v>0</v>
      </c>
      <c r="D67" s="217">
        <v>1</v>
      </c>
      <c r="E67" s="218" t="e">
        <f t="shared" si="0"/>
        <v>#DIV/0!</v>
      </c>
      <c r="F67" s="217">
        <f>'TECH DATA ENTRY'!P95</f>
        <v>0</v>
      </c>
      <c r="G67" s="217">
        <v>1</v>
      </c>
      <c r="H67" s="218" t="e">
        <f t="shared" si="1"/>
        <v>#DIV/0!</v>
      </c>
      <c r="I67" s="219">
        <f>'TECH DATA ENTRY'!Q95</f>
        <v>0</v>
      </c>
      <c r="J67" s="219" t="str">
        <f>'TECH DATA ENTRY'!$G$26</f>
        <v>Digital</v>
      </c>
      <c r="K67" s="217">
        <v>1</v>
      </c>
      <c r="L67" s="218">
        <f t="shared" si="2"/>
        <v>0</v>
      </c>
      <c r="M67" s="219">
        <f>'TECH DATA ENTRY'!R95</f>
        <v>0</v>
      </c>
      <c r="N67" s="219" t="str">
        <f>'TECH DATA ENTRY'!$G$26</f>
        <v>Digital</v>
      </c>
      <c r="O67" s="217">
        <v>1</v>
      </c>
      <c r="P67" s="218">
        <f t="shared" si="3"/>
        <v>0</v>
      </c>
      <c r="Q67" s="220">
        <f>'TECH DATA ENTRY'!S95</f>
        <v>0</v>
      </c>
      <c r="R67" s="217">
        <v>1</v>
      </c>
      <c r="S67" s="218">
        <f t="shared" si="4"/>
        <v>0</v>
      </c>
      <c r="T67" s="220">
        <f>'TECH DATA ENTRY'!T95</f>
        <v>0</v>
      </c>
      <c r="U67" s="217">
        <v>1</v>
      </c>
      <c r="V67" s="218">
        <f t="shared" si="5"/>
        <v>0</v>
      </c>
      <c r="W67" s="220">
        <f>'TECH DATA ENTRY'!U95</f>
        <v>0</v>
      </c>
      <c r="X67" s="217">
        <v>1</v>
      </c>
      <c r="Y67" s="218">
        <f t="shared" si="6"/>
        <v>0</v>
      </c>
      <c r="Z67" s="220">
        <f>'TECH DATA ENTRY'!V95</f>
        <v>0</v>
      </c>
      <c r="AA67" s="217">
        <v>1</v>
      </c>
      <c r="AB67" s="218">
        <f t="shared" si="7"/>
        <v>0</v>
      </c>
      <c r="AC67" s="220">
        <f>'TECH DATA ENTRY'!W95</f>
        <v>0</v>
      </c>
      <c r="AD67" s="217">
        <v>1</v>
      </c>
      <c r="AE67" s="218">
        <f t="shared" si="8"/>
        <v>0</v>
      </c>
      <c r="AF67" s="220">
        <f>'TECH DATA ENTRY'!X95</f>
        <v>0</v>
      </c>
      <c r="AG67" s="217">
        <v>1</v>
      </c>
      <c r="AH67" s="218">
        <f t="shared" si="9"/>
        <v>0</v>
      </c>
      <c r="AI67" s="219" t="e">
        <f t="shared" si="10"/>
        <v>#DIV/0!</v>
      </c>
      <c r="AJ67" s="221">
        <f>'TECH DATA ENTRY'!K95</f>
        <v>0</v>
      </c>
      <c r="AK67" s="222" t="e">
        <f t="shared" si="11"/>
        <v>#DIV/0!</v>
      </c>
      <c r="AL67" s="222" t="e">
        <f>VLOOKUP(AK67,'AUX TABLES'!A$2:B$29,2)</f>
        <v>#DIV/0!</v>
      </c>
      <c r="AM67" s="223" t="e">
        <f>IF(OR(ISTEXT(B67)=TRUE,ISTEXT('TECH DATA ENTRY'!L95)=TRUE), "NA",AL67*AI67)</f>
        <v>#DIV/0!</v>
      </c>
      <c r="AN67" s="79"/>
    </row>
    <row r="68" spans="1:40" s="80" customFormat="1" ht="20.149999999999999" customHeight="1">
      <c r="A68" s="216"/>
      <c r="B68" s="249" t="str">
        <f>'TECH DATA ENTRY'!B96</f>
        <v>Nominal</v>
      </c>
      <c r="C68" s="217" t="str">
        <f>'TECH DATA ENTRY'!O96</f>
        <v>Uncertainty Components</v>
      </c>
      <c r="D68" s="217">
        <v>1</v>
      </c>
      <c r="E68" s="218" t="e">
        <f t="shared" si="0"/>
        <v>#VALUE!</v>
      </c>
      <c r="F68" s="217">
        <f>'TECH DATA ENTRY'!P96</f>
        <v>0</v>
      </c>
      <c r="G68" s="217">
        <v>1</v>
      </c>
      <c r="H68" s="218" t="e">
        <f t="shared" si="1"/>
        <v>#VALUE!</v>
      </c>
      <c r="I68" s="219">
        <f>'TECH DATA ENTRY'!Q96</f>
        <v>0</v>
      </c>
      <c r="J68" s="219" t="str">
        <f>'TECH DATA ENTRY'!$G$26</f>
        <v>Digital</v>
      </c>
      <c r="K68" s="217">
        <v>1</v>
      </c>
      <c r="L68" s="218">
        <f t="shared" si="2"/>
        <v>0</v>
      </c>
      <c r="M68" s="219">
        <f>'TECH DATA ENTRY'!R96</f>
        <v>0</v>
      </c>
      <c r="N68" s="219" t="str">
        <f>'TECH DATA ENTRY'!$G$26</f>
        <v>Digital</v>
      </c>
      <c r="O68" s="217">
        <v>1</v>
      </c>
      <c r="P68" s="218">
        <f t="shared" si="3"/>
        <v>0</v>
      </c>
      <c r="Q68" s="220">
        <f>'TECH DATA ENTRY'!S96</f>
        <v>0</v>
      </c>
      <c r="R68" s="217">
        <v>1</v>
      </c>
      <c r="S68" s="218">
        <f t="shared" si="4"/>
        <v>0</v>
      </c>
      <c r="T68" s="220">
        <f>'TECH DATA ENTRY'!T96</f>
        <v>0</v>
      </c>
      <c r="U68" s="217">
        <v>1</v>
      </c>
      <c r="V68" s="218">
        <f t="shared" si="5"/>
        <v>0</v>
      </c>
      <c r="W68" s="220">
        <f>'TECH DATA ENTRY'!U96</f>
        <v>0</v>
      </c>
      <c r="X68" s="217">
        <v>1</v>
      </c>
      <c r="Y68" s="218">
        <f t="shared" si="6"/>
        <v>0</v>
      </c>
      <c r="Z68" s="220">
        <f>'TECH DATA ENTRY'!V96</f>
        <v>0</v>
      </c>
      <c r="AA68" s="217">
        <v>1</v>
      </c>
      <c r="AB68" s="218">
        <f t="shared" si="7"/>
        <v>0</v>
      </c>
      <c r="AC68" s="220">
        <f>'TECH DATA ENTRY'!W96</f>
        <v>0</v>
      </c>
      <c r="AD68" s="217">
        <v>1</v>
      </c>
      <c r="AE68" s="218">
        <f t="shared" si="8"/>
        <v>0</v>
      </c>
      <c r="AF68" s="220">
        <f>'TECH DATA ENTRY'!X96</f>
        <v>0</v>
      </c>
      <c r="AG68" s="217">
        <v>1</v>
      </c>
      <c r="AH68" s="218">
        <f t="shared" si="9"/>
        <v>0</v>
      </c>
      <c r="AI68" s="219" t="e">
        <f t="shared" si="10"/>
        <v>#VALUE!</v>
      </c>
      <c r="AJ68" s="221" t="str">
        <f>'TECH DATA ENTRY'!K96</f>
        <v>n</v>
      </c>
      <c r="AK68" s="222" t="e">
        <f t="shared" si="11"/>
        <v>#VALUE!</v>
      </c>
      <c r="AL68" s="222" t="e">
        <f>VLOOKUP(AK68,'AUX TABLES'!A$2:B$29,2)</f>
        <v>#VALUE!</v>
      </c>
      <c r="AM68" s="223" t="str">
        <f>IF(OR(ISTEXT(B68)=TRUE,ISTEXT('TECH DATA ENTRY'!L96)=TRUE), "NA",AL68*AI68)</f>
        <v>NA</v>
      </c>
      <c r="AN68" s="79"/>
    </row>
    <row r="69" spans="1:40" s="80" customFormat="1" ht="20.149999999999999" customHeight="1">
      <c r="A69" s="216"/>
      <c r="B69" s="249">
        <f>'TECH DATA ENTRY'!B97</f>
        <v>0</v>
      </c>
      <c r="C69" s="217" t="str">
        <f>'TECH DATA ENTRY'!O97</f>
        <v>Stdev 1</v>
      </c>
      <c r="D69" s="217">
        <v>1</v>
      </c>
      <c r="E69" s="218" t="e">
        <f t="shared" si="0"/>
        <v>#VALUE!</v>
      </c>
      <c r="F69" s="217" t="str">
        <f>'TECH DATA ENTRY'!P97</f>
        <v>Stdev 2</v>
      </c>
      <c r="G69" s="217">
        <v>1</v>
      </c>
      <c r="H69" s="218" t="e">
        <f t="shared" si="1"/>
        <v>#VALUE!</v>
      </c>
      <c r="I69" s="219" t="str">
        <f>'TECH DATA ENTRY'!Q97</f>
        <v>Resolution 1</v>
      </c>
      <c r="J69" s="219" t="str">
        <f>'TECH DATA ENTRY'!$G$26</f>
        <v>Digital</v>
      </c>
      <c r="K69" s="217">
        <v>1</v>
      </c>
      <c r="L69" s="218" t="e">
        <f t="shared" si="2"/>
        <v>#VALUE!</v>
      </c>
      <c r="M69" s="219" t="str">
        <f>'TECH DATA ENTRY'!R97</f>
        <v>Resolution 2</v>
      </c>
      <c r="N69" s="219" t="str">
        <f>'TECH DATA ENTRY'!$G$26</f>
        <v>Digital</v>
      </c>
      <c r="O69" s="217">
        <v>1</v>
      </c>
      <c r="P69" s="218" t="e">
        <f t="shared" si="3"/>
        <v>#VALUE!</v>
      </c>
      <c r="Q69" s="220" t="str">
        <f>'TECH DATA ENTRY'!S97</f>
        <v>Scope Uncertainty</v>
      </c>
      <c r="R69" s="217">
        <v>1</v>
      </c>
      <c r="S69" s="218" t="e">
        <f t="shared" si="4"/>
        <v>#VALUE!</v>
      </c>
      <c r="T69" s="220" t="str">
        <f>'TECH DATA ENTRY'!T97</f>
        <v>STD 2 Cal Unc</v>
      </c>
      <c r="U69" s="217">
        <v>1</v>
      </c>
      <c r="V69" s="218" t="e">
        <f t="shared" si="5"/>
        <v>#VALUE!</v>
      </c>
      <c r="W69" s="220" t="str">
        <f>'TECH DATA ENTRY'!U97</f>
        <v>Others 1</v>
      </c>
      <c r="X69" s="217">
        <v>1</v>
      </c>
      <c r="Y69" s="218" t="e">
        <f t="shared" si="6"/>
        <v>#VALUE!</v>
      </c>
      <c r="Z69" s="220" t="str">
        <f>'TECH DATA ENTRY'!V97</f>
        <v>Others 2</v>
      </c>
      <c r="AA69" s="217">
        <v>1</v>
      </c>
      <c r="AB69" s="218" t="e">
        <f t="shared" si="7"/>
        <v>#VALUE!</v>
      </c>
      <c r="AC69" s="220" t="str">
        <f>'TECH DATA ENTRY'!W97</f>
        <v>Others 3</v>
      </c>
      <c r="AD69" s="217">
        <v>1</v>
      </c>
      <c r="AE69" s="218" t="e">
        <f t="shared" si="8"/>
        <v>#VALUE!</v>
      </c>
      <c r="AF69" s="220" t="str">
        <f>'TECH DATA ENTRY'!X97</f>
        <v>Others 4</v>
      </c>
      <c r="AG69" s="217">
        <v>1</v>
      </c>
      <c r="AH69" s="218" t="e">
        <f t="shared" si="9"/>
        <v>#VALUE!</v>
      </c>
      <c r="AI69" s="219" t="e">
        <f t="shared" si="10"/>
        <v>#VALUE!</v>
      </c>
      <c r="AJ69" s="221">
        <f>'TECH DATA ENTRY'!K97</f>
        <v>0</v>
      </c>
      <c r="AK69" s="222" t="e">
        <f t="shared" si="11"/>
        <v>#VALUE!</v>
      </c>
      <c r="AL69" s="222" t="e">
        <f>VLOOKUP(AK69,'AUX TABLES'!A$2:B$29,2)</f>
        <v>#VALUE!</v>
      </c>
      <c r="AM69" s="223" t="e">
        <f>IF(OR(ISTEXT(B69)=TRUE,ISTEXT('TECH DATA ENTRY'!L97)=TRUE), "NA",AL69*AI69)</f>
        <v>#VALUE!</v>
      </c>
      <c r="AN69" s="79"/>
    </row>
    <row r="70" spans="1:40" s="80" customFormat="1" ht="20.149999999999999" customHeight="1">
      <c r="A70" s="216"/>
      <c r="B70" s="249">
        <f>'TECH DATA ENTRY'!B98</f>
        <v>1</v>
      </c>
      <c r="C70" s="217" t="str">
        <f>'TECH DATA ENTRY'!O98</f>
        <v/>
      </c>
      <c r="D70" s="217">
        <v>1</v>
      </c>
      <c r="E70" s="218" t="e">
        <f t="shared" si="0"/>
        <v>#VALUE!</v>
      </c>
      <c r="F70" s="217">
        <f>'TECH DATA ENTRY'!P98</f>
        <v>0</v>
      </c>
      <c r="G70" s="217">
        <v>1</v>
      </c>
      <c r="H70" s="218" t="e">
        <f t="shared" si="1"/>
        <v>#VALUE!</v>
      </c>
      <c r="I70" s="219">
        <f>'TECH DATA ENTRY'!Q98</f>
        <v>9.9999999999999995E-7</v>
      </c>
      <c r="J70" s="219" t="str">
        <f>'TECH DATA ENTRY'!$G$26</f>
        <v>Digital</v>
      </c>
      <c r="K70" s="217">
        <v>1</v>
      </c>
      <c r="L70" s="218">
        <f t="shared" si="2"/>
        <v>2.8867513459481289E-7</v>
      </c>
      <c r="M70" s="219">
        <f>'TECH DATA ENTRY'!R98</f>
        <v>0</v>
      </c>
      <c r="N70" s="219" t="str">
        <f>'TECH DATA ENTRY'!$G$26</f>
        <v>Digital</v>
      </c>
      <c r="O70" s="217">
        <v>1</v>
      </c>
      <c r="P70" s="218">
        <f t="shared" si="3"/>
        <v>0</v>
      </c>
      <c r="Q70" s="220">
        <f>'TECH DATA ENTRY'!S98</f>
        <v>2.92E-4</v>
      </c>
      <c r="R70" s="217">
        <v>1</v>
      </c>
      <c r="S70" s="218">
        <f t="shared" si="4"/>
        <v>1.46E-4</v>
      </c>
      <c r="T70" s="220">
        <f>'TECH DATA ENTRY'!T98</f>
        <v>0</v>
      </c>
      <c r="U70" s="217">
        <v>1</v>
      </c>
      <c r="V70" s="218">
        <f t="shared" si="5"/>
        <v>0</v>
      </c>
      <c r="W70" s="220">
        <f>'TECH DATA ENTRY'!U98</f>
        <v>0</v>
      </c>
      <c r="X70" s="217">
        <v>1</v>
      </c>
      <c r="Y70" s="218">
        <f t="shared" si="6"/>
        <v>0</v>
      </c>
      <c r="Z70" s="220">
        <f>'TECH DATA ENTRY'!V98</f>
        <v>0</v>
      </c>
      <c r="AA70" s="217">
        <v>1</v>
      </c>
      <c r="AB70" s="218">
        <f t="shared" si="7"/>
        <v>0</v>
      </c>
      <c r="AC70" s="220">
        <f>'TECH DATA ENTRY'!W98</f>
        <v>0</v>
      </c>
      <c r="AD70" s="217">
        <v>1</v>
      </c>
      <c r="AE70" s="218">
        <f t="shared" si="8"/>
        <v>0</v>
      </c>
      <c r="AF70" s="220">
        <f>'TECH DATA ENTRY'!X98</f>
        <v>0</v>
      </c>
      <c r="AG70" s="217">
        <v>1</v>
      </c>
      <c r="AH70" s="218">
        <f t="shared" si="9"/>
        <v>0</v>
      </c>
      <c r="AI70" s="219" t="e">
        <f t="shared" si="10"/>
        <v>#VALUE!</v>
      </c>
      <c r="AJ70" s="221" t="str">
        <f>'TECH DATA ENTRY'!K98</f>
        <v/>
      </c>
      <c r="AK70" s="222" t="e">
        <f t="shared" si="11"/>
        <v>#VALUE!</v>
      </c>
      <c r="AL70" s="222" t="e">
        <f>VLOOKUP(AK70,'AUX TABLES'!A$2:B$29,2)</f>
        <v>#VALUE!</v>
      </c>
      <c r="AM70" s="223" t="str">
        <f>IF(OR(ISTEXT(B70)=TRUE,ISTEXT('TECH DATA ENTRY'!L98)=TRUE), "NA",AL70*AI70)</f>
        <v>NA</v>
      </c>
      <c r="AN70" s="79"/>
    </row>
    <row r="71" spans="1:40" s="80" customFormat="1" ht="20.149999999999999" customHeight="1">
      <c r="A71" s="216"/>
      <c r="B71" s="249">
        <f>'TECH DATA ENTRY'!B99</f>
        <v>1</v>
      </c>
      <c r="C71" s="217" t="str">
        <f>'TECH DATA ENTRY'!O99</f>
        <v/>
      </c>
      <c r="D71" s="217">
        <v>1</v>
      </c>
      <c r="E71" s="218" t="e">
        <f t="shared" si="0"/>
        <v>#VALUE!</v>
      </c>
      <c r="F71" s="217">
        <f>'TECH DATA ENTRY'!P99</f>
        <v>0</v>
      </c>
      <c r="G71" s="217">
        <v>1</v>
      </c>
      <c r="H71" s="218" t="e">
        <f t="shared" si="1"/>
        <v>#VALUE!</v>
      </c>
      <c r="I71" s="219">
        <f>'TECH DATA ENTRY'!Q99</f>
        <v>9.9999999999999995E-7</v>
      </c>
      <c r="J71" s="219" t="str">
        <f>'TECH DATA ENTRY'!$G$26</f>
        <v>Digital</v>
      </c>
      <c r="K71" s="217">
        <v>1</v>
      </c>
      <c r="L71" s="218">
        <f t="shared" si="2"/>
        <v>2.8867513459481289E-7</v>
      </c>
      <c r="M71" s="219">
        <f>'TECH DATA ENTRY'!R99</f>
        <v>0</v>
      </c>
      <c r="N71" s="219" t="str">
        <f>'TECH DATA ENTRY'!$G$26</f>
        <v>Digital</v>
      </c>
      <c r="O71" s="217">
        <v>1</v>
      </c>
      <c r="P71" s="218">
        <f t="shared" si="3"/>
        <v>0</v>
      </c>
      <c r="Q71" s="220">
        <f>'TECH DATA ENTRY'!S99</f>
        <v>6.3E-5</v>
      </c>
      <c r="R71" s="217">
        <v>1</v>
      </c>
      <c r="S71" s="218">
        <f t="shared" si="4"/>
        <v>3.15E-5</v>
      </c>
      <c r="T71" s="220">
        <f>'TECH DATA ENTRY'!T99</f>
        <v>0</v>
      </c>
      <c r="U71" s="217">
        <v>1</v>
      </c>
      <c r="V71" s="218">
        <f t="shared" si="5"/>
        <v>0</v>
      </c>
      <c r="W71" s="220">
        <f>'TECH DATA ENTRY'!U99</f>
        <v>0</v>
      </c>
      <c r="X71" s="217">
        <v>1</v>
      </c>
      <c r="Y71" s="218">
        <f t="shared" si="6"/>
        <v>0</v>
      </c>
      <c r="Z71" s="220">
        <f>'TECH DATA ENTRY'!V99</f>
        <v>0</v>
      </c>
      <c r="AA71" s="217">
        <v>1</v>
      </c>
      <c r="AB71" s="218">
        <f t="shared" si="7"/>
        <v>0</v>
      </c>
      <c r="AC71" s="220">
        <f>'TECH DATA ENTRY'!W99</f>
        <v>0</v>
      </c>
      <c r="AD71" s="217">
        <v>1</v>
      </c>
      <c r="AE71" s="218">
        <f t="shared" si="8"/>
        <v>0</v>
      </c>
      <c r="AF71" s="220">
        <f>'TECH DATA ENTRY'!X99</f>
        <v>0</v>
      </c>
      <c r="AG71" s="217">
        <v>1</v>
      </c>
      <c r="AH71" s="218">
        <f t="shared" si="9"/>
        <v>0</v>
      </c>
      <c r="AI71" s="219" t="e">
        <f t="shared" si="10"/>
        <v>#VALUE!</v>
      </c>
      <c r="AJ71" s="221" t="str">
        <f>'TECH DATA ENTRY'!K99</f>
        <v/>
      </c>
      <c r="AK71" s="222" t="e">
        <f t="shared" si="11"/>
        <v>#VALUE!</v>
      </c>
      <c r="AL71" s="222" t="e">
        <f>VLOOKUP(AK71,'AUX TABLES'!A$2:B$29,2)</f>
        <v>#VALUE!</v>
      </c>
      <c r="AM71" s="223" t="str">
        <f>IF(OR(ISTEXT(B71)=TRUE,ISTEXT('TECH DATA ENTRY'!L99)=TRUE), "NA",AL71*AI71)</f>
        <v>NA</v>
      </c>
      <c r="AN71" s="79"/>
    </row>
    <row r="72" spans="1:40" s="80" customFormat="1" ht="20.149999999999999" customHeight="1">
      <c r="A72" s="216"/>
      <c r="B72" s="249">
        <f>'TECH DATA ENTRY'!B100</f>
        <v>1</v>
      </c>
      <c r="C72" s="217" t="str">
        <f>'TECH DATA ENTRY'!O100</f>
        <v/>
      </c>
      <c r="D72" s="217">
        <v>1</v>
      </c>
      <c r="E72" s="218" t="e">
        <f t="shared" si="0"/>
        <v>#VALUE!</v>
      </c>
      <c r="F72" s="217">
        <f>'TECH DATA ENTRY'!P100</f>
        <v>0</v>
      </c>
      <c r="G72" s="217">
        <v>1</v>
      </c>
      <c r="H72" s="218" t="e">
        <f t="shared" si="1"/>
        <v>#VALUE!</v>
      </c>
      <c r="I72" s="219">
        <f>'TECH DATA ENTRY'!Q100</f>
        <v>9.9999999999999995E-7</v>
      </c>
      <c r="J72" s="219" t="str">
        <f>'TECH DATA ENTRY'!$G$26</f>
        <v>Digital</v>
      </c>
      <c r="K72" s="217">
        <v>1</v>
      </c>
      <c r="L72" s="218">
        <f t="shared" si="2"/>
        <v>2.8867513459481289E-7</v>
      </c>
      <c r="M72" s="219">
        <f>'TECH DATA ENTRY'!R100</f>
        <v>0</v>
      </c>
      <c r="N72" s="219" t="str">
        <f>'TECH DATA ENTRY'!$G$26</f>
        <v>Digital</v>
      </c>
      <c r="O72" s="217">
        <v>1</v>
      </c>
      <c r="P72" s="218">
        <f t="shared" si="3"/>
        <v>0</v>
      </c>
      <c r="Q72" s="220">
        <f>'TECH DATA ENTRY'!S100</f>
        <v>9.5000000000000005E-5</v>
      </c>
      <c r="R72" s="217">
        <v>1</v>
      </c>
      <c r="S72" s="218">
        <f t="shared" si="4"/>
        <v>4.7500000000000003E-5</v>
      </c>
      <c r="T72" s="220">
        <f>'TECH DATA ENTRY'!T100</f>
        <v>0</v>
      </c>
      <c r="U72" s="217">
        <v>1</v>
      </c>
      <c r="V72" s="218">
        <f t="shared" si="5"/>
        <v>0</v>
      </c>
      <c r="W72" s="220">
        <f>'TECH DATA ENTRY'!U100</f>
        <v>0</v>
      </c>
      <c r="X72" s="217">
        <v>1</v>
      </c>
      <c r="Y72" s="218">
        <f t="shared" si="6"/>
        <v>0</v>
      </c>
      <c r="Z72" s="220">
        <f>'TECH DATA ENTRY'!V100</f>
        <v>0</v>
      </c>
      <c r="AA72" s="217">
        <v>1</v>
      </c>
      <c r="AB72" s="218">
        <f t="shared" si="7"/>
        <v>0</v>
      </c>
      <c r="AC72" s="220">
        <f>'TECH DATA ENTRY'!W100</f>
        <v>0</v>
      </c>
      <c r="AD72" s="217">
        <v>1</v>
      </c>
      <c r="AE72" s="218">
        <f t="shared" si="8"/>
        <v>0</v>
      </c>
      <c r="AF72" s="220">
        <f>'TECH DATA ENTRY'!X100</f>
        <v>0</v>
      </c>
      <c r="AG72" s="217">
        <v>1</v>
      </c>
      <c r="AH72" s="218">
        <f t="shared" si="9"/>
        <v>0</v>
      </c>
      <c r="AI72" s="219" t="e">
        <f t="shared" si="10"/>
        <v>#VALUE!</v>
      </c>
      <c r="AJ72" s="221" t="str">
        <f>'TECH DATA ENTRY'!K100</f>
        <v/>
      </c>
      <c r="AK72" s="222" t="e">
        <f t="shared" si="11"/>
        <v>#VALUE!</v>
      </c>
      <c r="AL72" s="222" t="e">
        <f>VLOOKUP(AK72,'AUX TABLES'!A$2:B$29,2)</f>
        <v>#VALUE!</v>
      </c>
      <c r="AM72" s="223" t="str">
        <f>IF(OR(ISTEXT(B72)=TRUE,ISTEXT('TECH DATA ENTRY'!L100)=TRUE), "NA",AL72*AI72)</f>
        <v>NA</v>
      </c>
      <c r="AN72" s="79"/>
    </row>
    <row r="73" spans="1:40" s="80" customFormat="1" ht="20.149999999999999" customHeight="1">
      <c r="A73" s="216"/>
      <c r="B73" s="249">
        <f>'TECH DATA ENTRY'!B101</f>
        <v>1</v>
      </c>
      <c r="C73" s="217" t="str">
        <f>'TECH DATA ENTRY'!O101</f>
        <v/>
      </c>
      <c r="D73" s="217">
        <v>1</v>
      </c>
      <c r="E73" s="218" t="e">
        <f t="shared" ref="E73:E136" si="12">D73*(C73/SQRT(AJ73))+0.00000000000001</f>
        <v>#VALUE!</v>
      </c>
      <c r="F73" s="217">
        <f>'TECH DATA ENTRY'!P101</f>
        <v>0</v>
      </c>
      <c r="G73" s="217">
        <v>1</v>
      </c>
      <c r="H73" s="218" t="e">
        <f t="shared" ref="H73:H136" si="13">G73*(F73/SQRT(AJ73))+0.00000000000001</f>
        <v>#VALUE!</v>
      </c>
      <c r="I73" s="219">
        <f>'TECH DATA ENTRY'!Q101</f>
        <v>9.9999999999999995E-7</v>
      </c>
      <c r="J73" s="219" t="str">
        <f>'TECH DATA ENTRY'!$G$26</f>
        <v>Digital</v>
      </c>
      <c r="K73" s="217">
        <v>1</v>
      </c>
      <c r="L73" s="218">
        <f t="shared" ref="L73:L136" si="14">IF(J73="Digital",I73/2/SQRT(3),I73/5/SQRT(3))*K73</f>
        <v>2.8867513459481289E-7</v>
      </c>
      <c r="M73" s="219">
        <f>'TECH DATA ENTRY'!R101</f>
        <v>0</v>
      </c>
      <c r="N73" s="219" t="str">
        <f>'TECH DATA ENTRY'!$G$26</f>
        <v>Digital</v>
      </c>
      <c r="O73" s="217">
        <v>1</v>
      </c>
      <c r="P73" s="218">
        <f t="shared" ref="P73:P136" si="15">IF(N73="Digital",M73/2/SQRT(3),M73/5/SQRT(3))*O73</f>
        <v>0</v>
      </c>
      <c r="Q73" s="220">
        <f>'TECH DATA ENTRY'!S101</f>
        <v>1.5300000000000001E-4</v>
      </c>
      <c r="R73" s="217">
        <v>1</v>
      </c>
      <c r="S73" s="218">
        <f t="shared" ref="S73:S136" si="16">Q73/IF(S$6="NORMAL", 2, IF(S$6="TRIANGULAR",SQRT(6),IF(S$6="U-SHAPED",SQRT(2),SQRT(3))))*R73</f>
        <v>7.6500000000000003E-5</v>
      </c>
      <c r="T73" s="220">
        <f>'TECH DATA ENTRY'!T101</f>
        <v>0</v>
      </c>
      <c r="U73" s="217">
        <v>1</v>
      </c>
      <c r="V73" s="218">
        <f t="shared" ref="V73:V136" si="17">T73/IF(V$6="NORMAL", 2, IF(V$6="TRIANGULAR",SQRT(6),IF(V$6="U-SHAPED",SQRT(2),SQRT(3))))*U73</f>
        <v>0</v>
      </c>
      <c r="W73" s="220">
        <f>'TECH DATA ENTRY'!U101</f>
        <v>0</v>
      </c>
      <c r="X73" s="217">
        <v>1</v>
      </c>
      <c r="Y73" s="218">
        <f t="shared" ref="Y73:Y136" si="18">W73/IF(Y$6="NORMAL", 2, IF(Y$6="TRIANGULAR",SQRT(6),IF(Y$6="U-SHAPED",SQRT(2),SQRT(3))))*X73</f>
        <v>0</v>
      </c>
      <c r="Z73" s="220">
        <f>'TECH DATA ENTRY'!V101</f>
        <v>0</v>
      </c>
      <c r="AA73" s="217">
        <v>1</v>
      </c>
      <c r="AB73" s="218">
        <f t="shared" ref="AB73:AB136" si="19">Z73/IF(AB$6="NORMAL", 2, IF(AB$6="TRIANGULAR",SQRT(6),IF(AB$6="U-SHAPED",SQRT(2),SQRT(3))))*AA73</f>
        <v>0</v>
      </c>
      <c r="AC73" s="220">
        <f>'TECH DATA ENTRY'!W101</f>
        <v>0</v>
      </c>
      <c r="AD73" s="217">
        <v>1</v>
      </c>
      <c r="AE73" s="218">
        <f t="shared" ref="AE73:AE136" si="20">AC73/IF(AE$6="NORMAL", 2, IF(AE$6="TRIANGULAR",SQRT(6),IF(AE$6="U-SHAPED",SQRT(2),SQRT(3))))*AD73</f>
        <v>0</v>
      </c>
      <c r="AF73" s="220">
        <f>'TECH DATA ENTRY'!X101</f>
        <v>0</v>
      </c>
      <c r="AG73" s="217">
        <v>1</v>
      </c>
      <c r="AH73" s="218">
        <f t="shared" ref="AH73:AH136" si="21">AF73/IF(AH$6="NORMAL", 2, IF(AH$6="TRIANGULAR",SQRT(6),IF(AH$6="U-SHAPED",SQRT(2),SQRT(3))))*AG73</f>
        <v>0</v>
      </c>
      <c r="AI73" s="219" t="e">
        <f t="shared" ref="AI73:AI136" si="22">SQRT(SUM(E73^2, H73^2,L73^2, P73^2,S73^2,V73^2,Y73^2,AB73^2,AE73^2,AH73^2))</f>
        <v>#VALUE!</v>
      </c>
      <c r="AJ73" s="221" t="str">
        <f>'TECH DATA ENTRY'!K101</f>
        <v/>
      </c>
      <c r="AK73" s="222" t="e">
        <f t="shared" ref="AK73:AK136" si="23">IF((AI73^4/(SUM(E73^4,H73^4)/(AJ73-1)))&gt;100,200,(AI73^4/(SUM(E73^4,H73^4)/(AJ73-1))))</f>
        <v>#VALUE!</v>
      </c>
      <c r="AL73" s="222" t="e">
        <f>VLOOKUP(AK73,'AUX TABLES'!A$2:B$29,2)</f>
        <v>#VALUE!</v>
      </c>
      <c r="AM73" s="223" t="str">
        <f>IF(OR(ISTEXT(B73)=TRUE,ISTEXT('TECH DATA ENTRY'!L101)=TRUE), "NA",AL73*AI73)</f>
        <v>NA</v>
      </c>
      <c r="AN73" s="79"/>
    </row>
    <row r="74" spans="1:40" s="80" customFormat="1" ht="20.149999999999999" customHeight="1">
      <c r="A74" s="216"/>
      <c r="B74" s="249">
        <f>'TECH DATA ENTRY'!B102</f>
        <v>1</v>
      </c>
      <c r="C74" s="217" t="str">
        <f>'TECH DATA ENTRY'!O102</f>
        <v/>
      </c>
      <c r="D74" s="217">
        <v>1</v>
      </c>
      <c r="E74" s="218" t="e">
        <f t="shared" si="12"/>
        <v>#VALUE!</v>
      </c>
      <c r="F74" s="217">
        <f>'TECH DATA ENTRY'!P102</f>
        <v>0</v>
      </c>
      <c r="G74" s="217">
        <v>1</v>
      </c>
      <c r="H74" s="218" t="e">
        <f t="shared" si="13"/>
        <v>#VALUE!</v>
      </c>
      <c r="I74" s="219">
        <f>'TECH DATA ENTRY'!Q102</f>
        <v>9.9999999999999995E-7</v>
      </c>
      <c r="J74" s="219" t="str">
        <f>'TECH DATA ENTRY'!$G$26</f>
        <v>Digital</v>
      </c>
      <c r="K74" s="217">
        <v>1</v>
      </c>
      <c r="L74" s="218">
        <f t="shared" si="14"/>
        <v>2.8867513459481289E-7</v>
      </c>
      <c r="M74" s="219">
        <f>'TECH DATA ENTRY'!R102</f>
        <v>0</v>
      </c>
      <c r="N74" s="219" t="str">
        <f>'TECH DATA ENTRY'!$G$26</f>
        <v>Digital</v>
      </c>
      <c r="O74" s="217">
        <v>1</v>
      </c>
      <c r="P74" s="218">
        <f t="shared" si="15"/>
        <v>0</v>
      </c>
      <c r="Q74" s="220">
        <f>'TECH DATA ENTRY'!S102</f>
        <v>4.66E-4</v>
      </c>
      <c r="R74" s="217">
        <v>1</v>
      </c>
      <c r="S74" s="218">
        <f t="shared" si="16"/>
        <v>2.33E-4</v>
      </c>
      <c r="T74" s="220">
        <f>'TECH DATA ENTRY'!T102</f>
        <v>0</v>
      </c>
      <c r="U74" s="217">
        <v>1</v>
      </c>
      <c r="V74" s="218">
        <f t="shared" si="17"/>
        <v>0</v>
      </c>
      <c r="W74" s="220">
        <f>'TECH DATA ENTRY'!U102</f>
        <v>0</v>
      </c>
      <c r="X74" s="217">
        <v>1</v>
      </c>
      <c r="Y74" s="218">
        <f t="shared" si="18"/>
        <v>0</v>
      </c>
      <c r="Z74" s="220">
        <f>'TECH DATA ENTRY'!V102</f>
        <v>0</v>
      </c>
      <c r="AA74" s="217">
        <v>1</v>
      </c>
      <c r="AB74" s="218">
        <f t="shared" si="19"/>
        <v>0</v>
      </c>
      <c r="AC74" s="220">
        <f>'TECH DATA ENTRY'!W102</f>
        <v>0</v>
      </c>
      <c r="AD74" s="217">
        <v>1</v>
      </c>
      <c r="AE74" s="218">
        <f t="shared" si="20"/>
        <v>0</v>
      </c>
      <c r="AF74" s="220">
        <f>'TECH DATA ENTRY'!X102</f>
        <v>0</v>
      </c>
      <c r="AG74" s="217">
        <v>1</v>
      </c>
      <c r="AH74" s="218">
        <f t="shared" si="21"/>
        <v>0</v>
      </c>
      <c r="AI74" s="219" t="e">
        <f t="shared" si="22"/>
        <v>#VALUE!</v>
      </c>
      <c r="AJ74" s="221" t="str">
        <f>'TECH DATA ENTRY'!K102</f>
        <v/>
      </c>
      <c r="AK74" s="222" t="e">
        <f t="shared" si="23"/>
        <v>#VALUE!</v>
      </c>
      <c r="AL74" s="222" t="e">
        <f>VLOOKUP(AK74,'AUX TABLES'!A$2:B$29,2)</f>
        <v>#VALUE!</v>
      </c>
      <c r="AM74" s="223" t="str">
        <f>IF(OR(ISTEXT(B74)=TRUE,ISTEXT('TECH DATA ENTRY'!L102)=TRUE), "NA",AL74*AI74)</f>
        <v>NA</v>
      </c>
      <c r="AN74" s="79"/>
    </row>
    <row r="75" spans="1:40" s="80" customFormat="1" ht="20.149999999999999" customHeight="1">
      <c r="A75" s="216"/>
      <c r="B75" s="249">
        <f>'TECH DATA ENTRY'!B103</f>
        <v>0</v>
      </c>
      <c r="C75" s="217">
        <f>'TECH DATA ENTRY'!O103</f>
        <v>0</v>
      </c>
      <c r="D75" s="217">
        <v>1</v>
      </c>
      <c r="E75" s="218" t="e">
        <f t="shared" si="12"/>
        <v>#DIV/0!</v>
      </c>
      <c r="F75" s="217">
        <f>'TECH DATA ENTRY'!P103</f>
        <v>0</v>
      </c>
      <c r="G75" s="217">
        <v>1</v>
      </c>
      <c r="H75" s="218" t="e">
        <f t="shared" si="13"/>
        <v>#DIV/0!</v>
      </c>
      <c r="I75" s="219">
        <f>'TECH DATA ENTRY'!Q103</f>
        <v>0</v>
      </c>
      <c r="J75" s="219" t="str">
        <f>'TECH DATA ENTRY'!$G$26</f>
        <v>Digital</v>
      </c>
      <c r="K75" s="217">
        <v>1</v>
      </c>
      <c r="L75" s="218">
        <f t="shared" si="14"/>
        <v>0</v>
      </c>
      <c r="M75" s="219">
        <f>'TECH DATA ENTRY'!R103</f>
        <v>0</v>
      </c>
      <c r="N75" s="219" t="str">
        <f>'TECH DATA ENTRY'!$G$26</f>
        <v>Digital</v>
      </c>
      <c r="O75" s="217">
        <v>1</v>
      </c>
      <c r="P75" s="218">
        <f t="shared" si="15"/>
        <v>0</v>
      </c>
      <c r="Q75" s="220">
        <f>'TECH DATA ENTRY'!S103</f>
        <v>0</v>
      </c>
      <c r="R75" s="217">
        <v>1</v>
      </c>
      <c r="S75" s="218">
        <f t="shared" si="16"/>
        <v>0</v>
      </c>
      <c r="T75" s="220">
        <f>'TECH DATA ENTRY'!T103</f>
        <v>0</v>
      </c>
      <c r="U75" s="217">
        <v>1</v>
      </c>
      <c r="V75" s="218">
        <f t="shared" si="17"/>
        <v>0</v>
      </c>
      <c r="W75" s="220">
        <f>'TECH DATA ENTRY'!U103</f>
        <v>0</v>
      </c>
      <c r="X75" s="217">
        <v>1</v>
      </c>
      <c r="Y75" s="218">
        <f t="shared" si="18"/>
        <v>0</v>
      </c>
      <c r="Z75" s="220">
        <f>'TECH DATA ENTRY'!V103</f>
        <v>0</v>
      </c>
      <c r="AA75" s="217">
        <v>1</v>
      </c>
      <c r="AB75" s="218">
        <f t="shared" si="19"/>
        <v>0</v>
      </c>
      <c r="AC75" s="220">
        <f>'TECH DATA ENTRY'!W103</f>
        <v>0</v>
      </c>
      <c r="AD75" s="217">
        <v>1</v>
      </c>
      <c r="AE75" s="218">
        <f t="shared" si="20"/>
        <v>0</v>
      </c>
      <c r="AF75" s="220">
        <f>'TECH DATA ENTRY'!X103</f>
        <v>0</v>
      </c>
      <c r="AG75" s="217">
        <v>1</v>
      </c>
      <c r="AH75" s="218">
        <f t="shared" si="21"/>
        <v>0</v>
      </c>
      <c r="AI75" s="219" t="e">
        <f t="shared" si="22"/>
        <v>#DIV/0!</v>
      </c>
      <c r="AJ75" s="221">
        <f>'TECH DATA ENTRY'!K103</f>
        <v>0</v>
      </c>
      <c r="AK75" s="222" t="e">
        <f t="shared" si="23"/>
        <v>#DIV/0!</v>
      </c>
      <c r="AL75" s="222" t="e">
        <f>VLOOKUP(AK75,'AUX TABLES'!A$2:B$29,2)</f>
        <v>#DIV/0!</v>
      </c>
      <c r="AM75" s="223" t="e">
        <f>IF(OR(ISTEXT(B75)=TRUE,ISTEXT('TECH DATA ENTRY'!L103)=TRUE), "NA",AL75*AI75)</f>
        <v>#DIV/0!</v>
      </c>
      <c r="AN75" s="79"/>
    </row>
    <row r="76" spans="1:40" s="80" customFormat="1" ht="20.149999999999999" customHeight="1">
      <c r="A76" s="216"/>
      <c r="B76" s="249">
        <f>'TECH DATA ENTRY'!B104</f>
        <v>0</v>
      </c>
      <c r="C76" s="217">
        <f>'TECH DATA ENTRY'!O104</f>
        <v>0</v>
      </c>
      <c r="D76" s="217">
        <v>1</v>
      </c>
      <c r="E76" s="218" t="e">
        <f t="shared" si="12"/>
        <v>#DIV/0!</v>
      </c>
      <c r="F76" s="217">
        <f>'TECH DATA ENTRY'!P104</f>
        <v>0</v>
      </c>
      <c r="G76" s="217">
        <v>1</v>
      </c>
      <c r="H76" s="218" t="e">
        <f t="shared" si="13"/>
        <v>#DIV/0!</v>
      </c>
      <c r="I76" s="219">
        <f>'TECH DATA ENTRY'!Q104</f>
        <v>0</v>
      </c>
      <c r="J76" s="219" t="str">
        <f>'TECH DATA ENTRY'!$G$26</f>
        <v>Digital</v>
      </c>
      <c r="K76" s="217">
        <v>1</v>
      </c>
      <c r="L76" s="218">
        <f t="shared" si="14"/>
        <v>0</v>
      </c>
      <c r="M76" s="219">
        <f>'TECH DATA ENTRY'!R104</f>
        <v>0</v>
      </c>
      <c r="N76" s="219" t="str">
        <f>'TECH DATA ENTRY'!$G$26</f>
        <v>Digital</v>
      </c>
      <c r="O76" s="217">
        <v>1</v>
      </c>
      <c r="P76" s="218">
        <f t="shared" si="15"/>
        <v>0</v>
      </c>
      <c r="Q76" s="220">
        <f>'TECH DATA ENTRY'!S104</f>
        <v>0</v>
      </c>
      <c r="R76" s="217">
        <v>1</v>
      </c>
      <c r="S76" s="218">
        <f t="shared" si="16"/>
        <v>0</v>
      </c>
      <c r="T76" s="220">
        <f>'TECH DATA ENTRY'!T104</f>
        <v>0</v>
      </c>
      <c r="U76" s="217">
        <v>1</v>
      </c>
      <c r="V76" s="218">
        <f t="shared" si="17"/>
        <v>0</v>
      </c>
      <c r="W76" s="220">
        <f>'TECH DATA ENTRY'!U104</f>
        <v>0</v>
      </c>
      <c r="X76" s="217">
        <v>1</v>
      </c>
      <c r="Y76" s="218">
        <f t="shared" si="18"/>
        <v>0</v>
      </c>
      <c r="Z76" s="220">
        <f>'TECH DATA ENTRY'!V104</f>
        <v>0</v>
      </c>
      <c r="AA76" s="217">
        <v>1</v>
      </c>
      <c r="AB76" s="218">
        <f t="shared" si="19"/>
        <v>0</v>
      </c>
      <c r="AC76" s="220">
        <f>'TECH DATA ENTRY'!W104</f>
        <v>0</v>
      </c>
      <c r="AD76" s="217">
        <v>1</v>
      </c>
      <c r="AE76" s="218">
        <f t="shared" si="20"/>
        <v>0</v>
      </c>
      <c r="AF76" s="220">
        <f>'TECH DATA ENTRY'!X104</f>
        <v>0</v>
      </c>
      <c r="AG76" s="217">
        <v>1</v>
      </c>
      <c r="AH76" s="218">
        <f t="shared" si="21"/>
        <v>0</v>
      </c>
      <c r="AI76" s="219" t="e">
        <f t="shared" si="22"/>
        <v>#DIV/0!</v>
      </c>
      <c r="AJ76" s="221">
        <f>'TECH DATA ENTRY'!K104</f>
        <v>0</v>
      </c>
      <c r="AK76" s="222" t="e">
        <f t="shared" si="23"/>
        <v>#DIV/0!</v>
      </c>
      <c r="AL76" s="222" t="e">
        <f>VLOOKUP(AK76,'AUX TABLES'!A$2:B$29,2)</f>
        <v>#DIV/0!</v>
      </c>
      <c r="AM76" s="223" t="e">
        <f>IF(OR(ISTEXT(B76)=TRUE,ISTEXT('TECH DATA ENTRY'!L104)=TRUE), "NA",AL76*AI76)</f>
        <v>#DIV/0!</v>
      </c>
      <c r="AN76" s="79"/>
    </row>
    <row r="77" spans="1:40" s="80" customFormat="1" ht="20.149999999999999" customHeight="1">
      <c r="A77" s="216"/>
      <c r="B77" s="249">
        <f>'TECH DATA ENTRY'!B105</f>
        <v>0</v>
      </c>
      <c r="C77" s="217">
        <f>'TECH DATA ENTRY'!O105</f>
        <v>0</v>
      </c>
      <c r="D77" s="217">
        <v>1</v>
      </c>
      <c r="E77" s="218" t="e">
        <f t="shared" si="12"/>
        <v>#DIV/0!</v>
      </c>
      <c r="F77" s="217">
        <f>'TECH DATA ENTRY'!P105</f>
        <v>0</v>
      </c>
      <c r="G77" s="217">
        <v>1</v>
      </c>
      <c r="H77" s="218" t="e">
        <f t="shared" si="13"/>
        <v>#DIV/0!</v>
      </c>
      <c r="I77" s="219">
        <f>'TECH DATA ENTRY'!Q105</f>
        <v>0</v>
      </c>
      <c r="J77" s="219" t="str">
        <f>'TECH DATA ENTRY'!$G$26</f>
        <v>Digital</v>
      </c>
      <c r="K77" s="217">
        <v>1</v>
      </c>
      <c r="L77" s="218">
        <f t="shared" si="14"/>
        <v>0</v>
      </c>
      <c r="M77" s="219">
        <f>'TECH DATA ENTRY'!R105</f>
        <v>0</v>
      </c>
      <c r="N77" s="219" t="str">
        <f>'TECH DATA ENTRY'!$G$26</f>
        <v>Digital</v>
      </c>
      <c r="O77" s="217">
        <v>1</v>
      </c>
      <c r="P77" s="218">
        <f t="shared" si="15"/>
        <v>0</v>
      </c>
      <c r="Q77" s="220">
        <f>'TECH DATA ENTRY'!S105</f>
        <v>0</v>
      </c>
      <c r="R77" s="217">
        <v>1</v>
      </c>
      <c r="S77" s="218">
        <f t="shared" si="16"/>
        <v>0</v>
      </c>
      <c r="T77" s="220">
        <f>'TECH DATA ENTRY'!T105</f>
        <v>0</v>
      </c>
      <c r="U77" s="217">
        <v>1</v>
      </c>
      <c r="V77" s="218">
        <f t="shared" si="17"/>
        <v>0</v>
      </c>
      <c r="W77" s="220">
        <f>'TECH DATA ENTRY'!U105</f>
        <v>0</v>
      </c>
      <c r="X77" s="217">
        <v>1</v>
      </c>
      <c r="Y77" s="218">
        <f t="shared" si="18"/>
        <v>0</v>
      </c>
      <c r="Z77" s="220">
        <f>'TECH DATA ENTRY'!V105</f>
        <v>0</v>
      </c>
      <c r="AA77" s="217">
        <v>1</v>
      </c>
      <c r="AB77" s="218">
        <f t="shared" si="19"/>
        <v>0</v>
      </c>
      <c r="AC77" s="220">
        <f>'TECH DATA ENTRY'!W105</f>
        <v>0</v>
      </c>
      <c r="AD77" s="217">
        <v>1</v>
      </c>
      <c r="AE77" s="218">
        <f t="shared" si="20"/>
        <v>0</v>
      </c>
      <c r="AF77" s="220">
        <f>'TECH DATA ENTRY'!X105</f>
        <v>0</v>
      </c>
      <c r="AG77" s="217">
        <v>1</v>
      </c>
      <c r="AH77" s="218">
        <f t="shared" si="21"/>
        <v>0</v>
      </c>
      <c r="AI77" s="219" t="e">
        <f t="shared" si="22"/>
        <v>#DIV/0!</v>
      </c>
      <c r="AJ77" s="221">
        <f>'TECH DATA ENTRY'!K105</f>
        <v>0</v>
      </c>
      <c r="AK77" s="222" t="e">
        <f t="shared" si="23"/>
        <v>#DIV/0!</v>
      </c>
      <c r="AL77" s="222" t="e">
        <f>VLOOKUP(AK77,'AUX TABLES'!A$2:B$29,2)</f>
        <v>#DIV/0!</v>
      </c>
      <c r="AM77" s="223" t="e">
        <f>IF(OR(ISTEXT(B77)=TRUE,ISTEXT('TECH DATA ENTRY'!L105)=TRUE), "NA",AL77*AI77)</f>
        <v>#DIV/0!</v>
      </c>
      <c r="AN77" s="79"/>
    </row>
    <row r="78" spans="1:40" s="80" customFormat="1" ht="20.149999999999999" customHeight="1">
      <c r="A78" s="216"/>
      <c r="B78" s="249" t="str">
        <f>'TECH DATA ENTRY'!B106</f>
        <v>Nominal</v>
      </c>
      <c r="C78" s="217" t="str">
        <f>'TECH DATA ENTRY'!O106</f>
        <v>Uncertainty Components</v>
      </c>
      <c r="D78" s="217">
        <v>1</v>
      </c>
      <c r="E78" s="218" t="e">
        <f t="shared" si="12"/>
        <v>#VALUE!</v>
      </c>
      <c r="F78" s="217">
        <f>'TECH DATA ENTRY'!P106</f>
        <v>0</v>
      </c>
      <c r="G78" s="217">
        <v>1</v>
      </c>
      <c r="H78" s="218" t="e">
        <f t="shared" si="13"/>
        <v>#VALUE!</v>
      </c>
      <c r="I78" s="219">
        <f>'TECH DATA ENTRY'!Q106</f>
        <v>0</v>
      </c>
      <c r="J78" s="219" t="str">
        <f>'TECH DATA ENTRY'!$G$26</f>
        <v>Digital</v>
      </c>
      <c r="K78" s="217">
        <v>1</v>
      </c>
      <c r="L78" s="218">
        <f t="shared" si="14"/>
        <v>0</v>
      </c>
      <c r="M78" s="219">
        <f>'TECH DATA ENTRY'!R106</f>
        <v>0</v>
      </c>
      <c r="N78" s="219" t="str">
        <f>'TECH DATA ENTRY'!$G$26</f>
        <v>Digital</v>
      </c>
      <c r="O78" s="217">
        <v>1</v>
      </c>
      <c r="P78" s="218">
        <f t="shared" si="15"/>
        <v>0</v>
      </c>
      <c r="Q78" s="220">
        <f>'TECH DATA ENTRY'!S106</f>
        <v>0</v>
      </c>
      <c r="R78" s="217">
        <v>1</v>
      </c>
      <c r="S78" s="218">
        <f t="shared" si="16"/>
        <v>0</v>
      </c>
      <c r="T78" s="220">
        <f>'TECH DATA ENTRY'!T106</f>
        <v>0</v>
      </c>
      <c r="U78" s="217">
        <v>1</v>
      </c>
      <c r="V78" s="218">
        <f t="shared" si="17"/>
        <v>0</v>
      </c>
      <c r="W78" s="220">
        <f>'TECH DATA ENTRY'!U106</f>
        <v>0</v>
      </c>
      <c r="X78" s="217">
        <v>1</v>
      </c>
      <c r="Y78" s="218">
        <f t="shared" si="18"/>
        <v>0</v>
      </c>
      <c r="Z78" s="220">
        <f>'TECH DATA ENTRY'!V106</f>
        <v>0</v>
      </c>
      <c r="AA78" s="217">
        <v>1</v>
      </c>
      <c r="AB78" s="218">
        <f t="shared" si="19"/>
        <v>0</v>
      </c>
      <c r="AC78" s="220">
        <f>'TECH DATA ENTRY'!W106</f>
        <v>0</v>
      </c>
      <c r="AD78" s="217">
        <v>1</v>
      </c>
      <c r="AE78" s="218">
        <f t="shared" si="20"/>
        <v>0</v>
      </c>
      <c r="AF78" s="220">
        <f>'TECH DATA ENTRY'!X106</f>
        <v>0</v>
      </c>
      <c r="AG78" s="217">
        <v>1</v>
      </c>
      <c r="AH78" s="218">
        <f t="shared" si="21"/>
        <v>0</v>
      </c>
      <c r="AI78" s="219" t="e">
        <f t="shared" si="22"/>
        <v>#VALUE!</v>
      </c>
      <c r="AJ78" s="221" t="str">
        <f>'TECH DATA ENTRY'!K106</f>
        <v>n</v>
      </c>
      <c r="AK78" s="222" t="e">
        <f t="shared" si="23"/>
        <v>#VALUE!</v>
      </c>
      <c r="AL78" s="222" t="e">
        <f>VLOOKUP(AK78,'AUX TABLES'!A$2:B$29,2)</f>
        <v>#VALUE!</v>
      </c>
      <c r="AM78" s="223" t="str">
        <f>IF(OR(ISTEXT(B78)=TRUE,ISTEXT('TECH DATA ENTRY'!L106)=TRUE), "NA",AL78*AI78)</f>
        <v>NA</v>
      </c>
      <c r="AN78" s="79"/>
    </row>
    <row r="79" spans="1:40" s="80" customFormat="1" ht="20.149999999999999" customHeight="1">
      <c r="A79" s="216"/>
      <c r="B79" s="249">
        <f>'TECH DATA ENTRY'!B107</f>
        <v>0</v>
      </c>
      <c r="C79" s="217" t="str">
        <f>'TECH DATA ENTRY'!O107</f>
        <v>Stdev 1</v>
      </c>
      <c r="D79" s="217">
        <v>1</v>
      </c>
      <c r="E79" s="218" t="e">
        <f t="shared" si="12"/>
        <v>#VALUE!</v>
      </c>
      <c r="F79" s="217" t="str">
        <f>'TECH DATA ENTRY'!P107</f>
        <v>Stdev 2</v>
      </c>
      <c r="G79" s="217">
        <v>1</v>
      </c>
      <c r="H79" s="218" t="e">
        <f t="shared" si="13"/>
        <v>#VALUE!</v>
      </c>
      <c r="I79" s="219" t="str">
        <f>'TECH DATA ENTRY'!Q107</f>
        <v>Resolution 1</v>
      </c>
      <c r="J79" s="219" t="str">
        <f>'TECH DATA ENTRY'!$G$26</f>
        <v>Digital</v>
      </c>
      <c r="K79" s="217">
        <v>1</v>
      </c>
      <c r="L79" s="218" t="e">
        <f t="shared" si="14"/>
        <v>#VALUE!</v>
      </c>
      <c r="M79" s="219" t="str">
        <f>'TECH DATA ENTRY'!R107</f>
        <v>Resolution 2</v>
      </c>
      <c r="N79" s="219" t="str">
        <f>'TECH DATA ENTRY'!$G$26</f>
        <v>Digital</v>
      </c>
      <c r="O79" s="217">
        <v>1</v>
      </c>
      <c r="P79" s="218" t="e">
        <f t="shared" si="15"/>
        <v>#VALUE!</v>
      </c>
      <c r="Q79" s="220" t="str">
        <f>'TECH DATA ENTRY'!S107</f>
        <v>Scope Uncertainty</v>
      </c>
      <c r="R79" s="217">
        <v>1</v>
      </c>
      <c r="S79" s="218" t="e">
        <f t="shared" si="16"/>
        <v>#VALUE!</v>
      </c>
      <c r="T79" s="220" t="str">
        <f>'TECH DATA ENTRY'!T107</f>
        <v>STD 2 Cal Unc</v>
      </c>
      <c r="U79" s="217">
        <v>1</v>
      </c>
      <c r="V79" s="218" t="e">
        <f t="shared" si="17"/>
        <v>#VALUE!</v>
      </c>
      <c r="W79" s="220" t="str">
        <f>'TECH DATA ENTRY'!U107</f>
        <v>Others 1</v>
      </c>
      <c r="X79" s="217">
        <v>1</v>
      </c>
      <c r="Y79" s="218" t="e">
        <f t="shared" si="18"/>
        <v>#VALUE!</v>
      </c>
      <c r="Z79" s="220" t="str">
        <f>'TECH DATA ENTRY'!V107</f>
        <v>Others 2</v>
      </c>
      <c r="AA79" s="217">
        <v>1</v>
      </c>
      <c r="AB79" s="218" t="e">
        <f t="shared" si="19"/>
        <v>#VALUE!</v>
      </c>
      <c r="AC79" s="220" t="str">
        <f>'TECH DATA ENTRY'!W107</f>
        <v>Others 3</v>
      </c>
      <c r="AD79" s="217">
        <v>1</v>
      </c>
      <c r="AE79" s="218" t="e">
        <f t="shared" si="20"/>
        <v>#VALUE!</v>
      </c>
      <c r="AF79" s="220" t="str">
        <f>'TECH DATA ENTRY'!X107</f>
        <v>Others 4</v>
      </c>
      <c r="AG79" s="217">
        <v>1</v>
      </c>
      <c r="AH79" s="218" t="e">
        <f t="shared" si="21"/>
        <v>#VALUE!</v>
      </c>
      <c r="AI79" s="219" t="e">
        <f t="shared" si="22"/>
        <v>#VALUE!</v>
      </c>
      <c r="AJ79" s="221">
        <f>'TECH DATA ENTRY'!K107</f>
        <v>0</v>
      </c>
      <c r="AK79" s="222" t="e">
        <f t="shared" si="23"/>
        <v>#VALUE!</v>
      </c>
      <c r="AL79" s="222" t="e">
        <f>VLOOKUP(AK79,'AUX TABLES'!A$2:B$29,2)</f>
        <v>#VALUE!</v>
      </c>
      <c r="AM79" s="223" t="e">
        <f>IF(OR(ISTEXT(B79)=TRUE,ISTEXT('TECH DATA ENTRY'!L107)=TRUE), "NA",AL79*AI79)</f>
        <v>#VALUE!</v>
      </c>
      <c r="AN79" s="79"/>
    </row>
    <row r="80" spans="1:40" s="80" customFormat="1" ht="20.149999999999999" customHeight="1">
      <c r="A80" s="216"/>
      <c r="B80" s="249">
        <f>'TECH DATA ENTRY'!B108</f>
        <v>10</v>
      </c>
      <c r="C80" s="217" t="str">
        <f>'TECH DATA ENTRY'!O108</f>
        <v/>
      </c>
      <c r="D80" s="217">
        <v>1</v>
      </c>
      <c r="E80" s="218" t="e">
        <f t="shared" si="12"/>
        <v>#VALUE!</v>
      </c>
      <c r="F80" s="217">
        <f>'TECH DATA ENTRY'!P108</f>
        <v>0</v>
      </c>
      <c r="G80" s="217">
        <v>1</v>
      </c>
      <c r="H80" s="218" t="e">
        <f t="shared" si="13"/>
        <v>#VALUE!</v>
      </c>
      <c r="I80" s="219">
        <f>'TECH DATA ENTRY'!Q108</f>
        <v>1.0000000000000001E-5</v>
      </c>
      <c r="J80" s="219" t="str">
        <f>'TECH DATA ENTRY'!$G$26</f>
        <v>Digital</v>
      </c>
      <c r="K80" s="217">
        <v>1</v>
      </c>
      <c r="L80" s="218">
        <f t="shared" si="14"/>
        <v>2.8867513459481293E-6</v>
      </c>
      <c r="M80" s="219">
        <f>'TECH DATA ENTRY'!R108</f>
        <v>0</v>
      </c>
      <c r="N80" s="219" t="str">
        <f>'TECH DATA ENTRY'!$G$26</f>
        <v>Digital</v>
      </c>
      <c r="O80" s="217">
        <v>1</v>
      </c>
      <c r="P80" s="218">
        <f t="shared" si="15"/>
        <v>0</v>
      </c>
      <c r="Q80" s="220">
        <f>'TECH DATA ENTRY'!S108</f>
        <v>2.9099999999999998E-3</v>
      </c>
      <c r="R80" s="217">
        <v>1</v>
      </c>
      <c r="S80" s="218">
        <f t="shared" si="16"/>
        <v>1.4549999999999999E-3</v>
      </c>
      <c r="T80" s="220">
        <f>'TECH DATA ENTRY'!T108</f>
        <v>0</v>
      </c>
      <c r="U80" s="217">
        <v>1</v>
      </c>
      <c r="V80" s="218">
        <f t="shared" si="17"/>
        <v>0</v>
      </c>
      <c r="W80" s="220">
        <f>'TECH DATA ENTRY'!U108</f>
        <v>0</v>
      </c>
      <c r="X80" s="217">
        <v>1</v>
      </c>
      <c r="Y80" s="218">
        <f t="shared" si="18"/>
        <v>0</v>
      </c>
      <c r="Z80" s="220">
        <f>'TECH DATA ENTRY'!V108</f>
        <v>0</v>
      </c>
      <c r="AA80" s="217">
        <v>1</v>
      </c>
      <c r="AB80" s="218">
        <f t="shared" si="19"/>
        <v>0</v>
      </c>
      <c r="AC80" s="220">
        <f>'TECH DATA ENTRY'!W108</f>
        <v>0</v>
      </c>
      <c r="AD80" s="217">
        <v>1</v>
      </c>
      <c r="AE80" s="218">
        <f t="shared" si="20"/>
        <v>0</v>
      </c>
      <c r="AF80" s="220">
        <f>'TECH DATA ENTRY'!X108</f>
        <v>0</v>
      </c>
      <c r="AG80" s="217">
        <v>1</v>
      </c>
      <c r="AH80" s="218">
        <f t="shared" si="21"/>
        <v>0</v>
      </c>
      <c r="AI80" s="219" t="e">
        <f t="shared" si="22"/>
        <v>#VALUE!</v>
      </c>
      <c r="AJ80" s="221" t="str">
        <f>'TECH DATA ENTRY'!K108</f>
        <v/>
      </c>
      <c r="AK80" s="222" t="e">
        <f t="shared" si="23"/>
        <v>#VALUE!</v>
      </c>
      <c r="AL80" s="222" t="e">
        <f>VLOOKUP(AK80,'AUX TABLES'!A$2:B$29,2)</f>
        <v>#VALUE!</v>
      </c>
      <c r="AM80" s="223" t="str">
        <f>IF(OR(ISTEXT(B80)=TRUE,ISTEXT('TECH DATA ENTRY'!L108)=TRUE), "NA",AL80*AI80)</f>
        <v>NA</v>
      </c>
      <c r="AN80" s="79"/>
    </row>
    <row r="81" spans="1:40" s="80" customFormat="1" ht="20.149999999999999" customHeight="1">
      <c r="A81" s="216"/>
      <c r="B81" s="249">
        <f>'TECH DATA ENTRY'!B109</f>
        <v>10</v>
      </c>
      <c r="C81" s="217" t="str">
        <f>'TECH DATA ENTRY'!O109</f>
        <v/>
      </c>
      <c r="D81" s="217">
        <v>1</v>
      </c>
      <c r="E81" s="218" t="e">
        <f t="shared" si="12"/>
        <v>#VALUE!</v>
      </c>
      <c r="F81" s="217">
        <f>'TECH DATA ENTRY'!P109</f>
        <v>0</v>
      </c>
      <c r="G81" s="217">
        <v>1</v>
      </c>
      <c r="H81" s="218" t="e">
        <f t="shared" si="13"/>
        <v>#VALUE!</v>
      </c>
      <c r="I81" s="219">
        <f>'TECH DATA ENTRY'!Q109</f>
        <v>1.0000000000000001E-5</v>
      </c>
      <c r="J81" s="219" t="str">
        <f>'TECH DATA ENTRY'!$G$26</f>
        <v>Digital</v>
      </c>
      <c r="K81" s="217">
        <v>1</v>
      </c>
      <c r="L81" s="218">
        <f t="shared" si="14"/>
        <v>2.8867513459481293E-6</v>
      </c>
      <c r="M81" s="219">
        <f>'TECH DATA ENTRY'!R109</f>
        <v>0</v>
      </c>
      <c r="N81" s="219" t="str">
        <f>'TECH DATA ENTRY'!$G$26</f>
        <v>Digital</v>
      </c>
      <c r="O81" s="217">
        <v>1</v>
      </c>
      <c r="P81" s="218">
        <f t="shared" si="15"/>
        <v>0</v>
      </c>
      <c r="Q81" s="220">
        <f>'TECH DATA ENTRY'!S109</f>
        <v>5.1999999999999995E-4</v>
      </c>
      <c r="R81" s="217">
        <v>1</v>
      </c>
      <c r="S81" s="218">
        <f t="shared" si="16"/>
        <v>2.5999999999999998E-4</v>
      </c>
      <c r="T81" s="220">
        <f>'TECH DATA ENTRY'!T109</f>
        <v>0</v>
      </c>
      <c r="U81" s="217">
        <v>1</v>
      </c>
      <c r="V81" s="218">
        <f t="shared" si="17"/>
        <v>0</v>
      </c>
      <c r="W81" s="220">
        <f>'TECH DATA ENTRY'!U109</f>
        <v>0</v>
      </c>
      <c r="X81" s="217">
        <v>1</v>
      </c>
      <c r="Y81" s="218">
        <f t="shared" si="18"/>
        <v>0</v>
      </c>
      <c r="Z81" s="220">
        <f>'TECH DATA ENTRY'!V109</f>
        <v>0</v>
      </c>
      <c r="AA81" s="217">
        <v>1</v>
      </c>
      <c r="AB81" s="218">
        <f t="shared" si="19"/>
        <v>0</v>
      </c>
      <c r="AC81" s="220">
        <f>'TECH DATA ENTRY'!W109</f>
        <v>0</v>
      </c>
      <c r="AD81" s="217">
        <v>1</v>
      </c>
      <c r="AE81" s="218">
        <f t="shared" si="20"/>
        <v>0</v>
      </c>
      <c r="AF81" s="220">
        <f>'TECH DATA ENTRY'!X109</f>
        <v>0</v>
      </c>
      <c r="AG81" s="217">
        <v>1</v>
      </c>
      <c r="AH81" s="218">
        <f t="shared" si="21"/>
        <v>0</v>
      </c>
      <c r="AI81" s="219" t="e">
        <f t="shared" si="22"/>
        <v>#VALUE!</v>
      </c>
      <c r="AJ81" s="221" t="str">
        <f>'TECH DATA ENTRY'!K109</f>
        <v/>
      </c>
      <c r="AK81" s="222" t="e">
        <f t="shared" si="23"/>
        <v>#VALUE!</v>
      </c>
      <c r="AL81" s="222" t="e">
        <f>VLOOKUP(AK81,'AUX TABLES'!A$2:B$29,2)</f>
        <v>#VALUE!</v>
      </c>
      <c r="AM81" s="223" t="str">
        <f>IF(OR(ISTEXT(B81)=TRUE,ISTEXT('TECH DATA ENTRY'!L109)=TRUE), "NA",AL81*AI81)</f>
        <v>NA</v>
      </c>
      <c r="AN81" s="79"/>
    </row>
    <row r="82" spans="1:40" s="80" customFormat="1" ht="20.149999999999999" customHeight="1">
      <c r="A82" s="216"/>
      <c r="B82" s="249">
        <f>'TECH DATA ENTRY'!B110</f>
        <v>10</v>
      </c>
      <c r="C82" s="217" t="str">
        <f>'TECH DATA ENTRY'!O110</f>
        <v/>
      </c>
      <c r="D82" s="217">
        <v>1</v>
      </c>
      <c r="E82" s="218" t="e">
        <f t="shared" si="12"/>
        <v>#VALUE!</v>
      </c>
      <c r="F82" s="217">
        <f>'TECH DATA ENTRY'!P110</f>
        <v>0</v>
      </c>
      <c r="G82" s="217">
        <v>1</v>
      </c>
      <c r="H82" s="218" t="e">
        <f t="shared" si="13"/>
        <v>#VALUE!</v>
      </c>
      <c r="I82" s="219">
        <f>'TECH DATA ENTRY'!Q110</f>
        <v>1.0000000000000001E-5</v>
      </c>
      <c r="J82" s="219" t="str">
        <f>'TECH DATA ENTRY'!$G$26</f>
        <v>Digital</v>
      </c>
      <c r="K82" s="217">
        <v>1</v>
      </c>
      <c r="L82" s="218">
        <f t="shared" si="14"/>
        <v>2.8867513459481293E-6</v>
      </c>
      <c r="M82" s="219">
        <f>'TECH DATA ENTRY'!R110</f>
        <v>0</v>
      </c>
      <c r="N82" s="219" t="str">
        <f>'TECH DATA ENTRY'!$G$26</f>
        <v>Digital</v>
      </c>
      <c r="O82" s="217">
        <v>1</v>
      </c>
      <c r="P82" s="218">
        <f t="shared" si="15"/>
        <v>0</v>
      </c>
      <c r="Q82" s="220">
        <f>'TECH DATA ENTRY'!S110</f>
        <v>9.0000000000000008E-4</v>
      </c>
      <c r="R82" s="217">
        <v>1</v>
      </c>
      <c r="S82" s="218">
        <f t="shared" si="16"/>
        <v>4.5000000000000004E-4</v>
      </c>
      <c r="T82" s="220">
        <f>'TECH DATA ENTRY'!T110</f>
        <v>0</v>
      </c>
      <c r="U82" s="217">
        <v>1</v>
      </c>
      <c r="V82" s="218">
        <f t="shared" si="17"/>
        <v>0</v>
      </c>
      <c r="W82" s="220">
        <f>'TECH DATA ENTRY'!U110</f>
        <v>0</v>
      </c>
      <c r="X82" s="217">
        <v>1</v>
      </c>
      <c r="Y82" s="218">
        <f t="shared" si="18"/>
        <v>0</v>
      </c>
      <c r="Z82" s="220">
        <f>'TECH DATA ENTRY'!V110</f>
        <v>0</v>
      </c>
      <c r="AA82" s="217">
        <v>1</v>
      </c>
      <c r="AB82" s="218">
        <f t="shared" si="19"/>
        <v>0</v>
      </c>
      <c r="AC82" s="220">
        <f>'TECH DATA ENTRY'!W110</f>
        <v>0</v>
      </c>
      <c r="AD82" s="217">
        <v>1</v>
      </c>
      <c r="AE82" s="218">
        <f t="shared" si="20"/>
        <v>0</v>
      </c>
      <c r="AF82" s="220">
        <f>'TECH DATA ENTRY'!X110</f>
        <v>0</v>
      </c>
      <c r="AG82" s="217">
        <v>1</v>
      </c>
      <c r="AH82" s="218">
        <f t="shared" si="21"/>
        <v>0</v>
      </c>
      <c r="AI82" s="219" t="e">
        <f t="shared" si="22"/>
        <v>#VALUE!</v>
      </c>
      <c r="AJ82" s="221" t="str">
        <f>'TECH DATA ENTRY'!K110</f>
        <v/>
      </c>
      <c r="AK82" s="222" t="e">
        <f t="shared" si="23"/>
        <v>#VALUE!</v>
      </c>
      <c r="AL82" s="222" t="e">
        <f>VLOOKUP(AK82,'AUX TABLES'!A$2:B$29,2)</f>
        <v>#VALUE!</v>
      </c>
      <c r="AM82" s="223" t="str">
        <f>IF(OR(ISTEXT(B82)=TRUE,ISTEXT('TECH DATA ENTRY'!L110)=TRUE), "NA",AL82*AI82)</f>
        <v>NA</v>
      </c>
      <c r="AN82" s="79"/>
    </row>
    <row r="83" spans="1:40" s="80" customFormat="1" ht="20.149999999999999" customHeight="1">
      <c r="A83" s="216"/>
      <c r="B83" s="249">
        <f>'TECH DATA ENTRY'!B111</f>
        <v>10</v>
      </c>
      <c r="C83" s="217" t="str">
        <f>'TECH DATA ENTRY'!O111</f>
        <v/>
      </c>
      <c r="D83" s="217">
        <v>1</v>
      </c>
      <c r="E83" s="218" t="e">
        <f t="shared" si="12"/>
        <v>#VALUE!</v>
      </c>
      <c r="F83" s="217">
        <f>'TECH DATA ENTRY'!P111</f>
        <v>0</v>
      </c>
      <c r="G83" s="217">
        <v>1</v>
      </c>
      <c r="H83" s="218" t="e">
        <f t="shared" si="13"/>
        <v>#VALUE!</v>
      </c>
      <c r="I83" s="219">
        <f>'TECH DATA ENTRY'!Q111</f>
        <v>1.0000000000000001E-5</v>
      </c>
      <c r="J83" s="219" t="str">
        <f>'TECH DATA ENTRY'!$G$26</f>
        <v>Digital</v>
      </c>
      <c r="K83" s="217">
        <v>1</v>
      </c>
      <c r="L83" s="218">
        <f t="shared" si="14"/>
        <v>2.8867513459481293E-6</v>
      </c>
      <c r="M83" s="219">
        <f>'TECH DATA ENTRY'!R111</f>
        <v>0</v>
      </c>
      <c r="N83" s="219" t="str">
        <f>'TECH DATA ENTRY'!$G$26</f>
        <v>Digital</v>
      </c>
      <c r="O83" s="217">
        <v>1</v>
      </c>
      <c r="P83" s="218">
        <f t="shared" si="15"/>
        <v>0</v>
      </c>
      <c r="Q83" s="220">
        <f>'TECH DATA ENTRY'!S111</f>
        <v>1.2900000000000001E-3</v>
      </c>
      <c r="R83" s="217">
        <v>1</v>
      </c>
      <c r="S83" s="218">
        <f t="shared" si="16"/>
        <v>6.4500000000000007E-4</v>
      </c>
      <c r="T83" s="220">
        <f>'TECH DATA ENTRY'!T111</f>
        <v>0</v>
      </c>
      <c r="U83" s="217">
        <v>1</v>
      </c>
      <c r="V83" s="218">
        <f t="shared" si="17"/>
        <v>0</v>
      </c>
      <c r="W83" s="220">
        <f>'TECH DATA ENTRY'!U111</f>
        <v>0</v>
      </c>
      <c r="X83" s="217">
        <v>1</v>
      </c>
      <c r="Y83" s="218">
        <f t="shared" si="18"/>
        <v>0</v>
      </c>
      <c r="Z83" s="220">
        <f>'TECH DATA ENTRY'!V111</f>
        <v>0</v>
      </c>
      <c r="AA83" s="217">
        <v>1</v>
      </c>
      <c r="AB83" s="218">
        <f t="shared" si="19"/>
        <v>0</v>
      </c>
      <c r="AC83" s="220">
        <f>'TECH DATA ENTRY'!W111</f>
        <v>0</v>
      </c>
      <c r="AD83" s="217">
        <v>1</v>
      </c>
      <c r="AE83" s="218">
        <f t="shared" si="20"/>
        <v>0</v>
      </c>
      <c r="AF83" s="220">
        <f>'TECH DATA ENTRY'!X111</f>
        <v>0</v>
      </c>
      <c r="AG83" s="217">
        <v>1</v>
      </c>
      <c r="AH83" s="218">
        <f t="shared" si="21"/>
        <v>0</v>
      </c>
      <c r="AI83" s="219" t="e">
        <f t="shared" si="22"/>
        <v>#VALUE!</v>
      </c>
      <c r="AJ83" s="221" t="str">
        <f>'TECH DATA ENTRY'!K111</f>
        <v/>
      </c>
      <c r="AK83" s="222" t="e">
        <f t="shared" si="23"/>
        <v>#VALUE!</v>
      </c>
      <c r="AL83" s="222" t="e">
        <f>VLOOKUP(AK83,'AUX TABLES'!A$2:B$29,2)</f>
        <v>#VALUE!</v>
      </c>
      <c r="AM83" s="223" t="str">
        <f>IF(OR(ISTEXT(B83)=TRUE,ISTEXT('TECH DATA ENTRY'!L111)=TRUE), "NA",AL83*AI83)</f>
        <v>NA</v>
      </c>
      <c r="AN83" s="79"/>
    </row>
    <row r="84" spans="1:40" s="80" customFormat="1" ht="20.149999999999999" customHeight="1">
      <c r="A84" s="216"/>
      <c r="B84" s="249">
        <f>'TECH DATA ENTRY'!B112</f>
        <v>3</v>
      </c>
      <c r="C84" s="217" t="str">
        <f>'TECH DATA ENTRY'!O112</f>
        <v/>
      </c>
      <c r="D84" s="217">
        <v>1</v>
      </c>
      <c r="E84" s="218" t="e">
        <f t="shared" si="12"/>
        <v>#VALUE!</v>
      </c>
      <c r="F84" s="217">
        <f>'TECH DATA ENTRY'!P112</f>
        <v>0</v>
      </c>
      <c r="G84" s="217">
        <v>1</v>
      </c>
      <c r="H84" s="218" t="e">
        <f t="shared" si="13"/>
        <v>#VALUE!</v>
      </c>
      <c r="I84" s="219">
        <f>'TECH DATA ENTRY'!Q112</f>
        <v>1.0000000000000001E-5</v>
      </c>
      <c r="J84" s="219" t="str">
        <f>'TECH DATA ENTRY'!$G$26</f>
        <v>Digital</v>
      </c>
      <c r="K84" s="217">
        <v>1</v>
      </c>
      <c r="L84" s="218">
        <f t="shared" si="14"/>
        <v>2.8867513459481293E-6</v>
      </c>
      <c r="M84" s="219">
        <f>'TECH DATA ENTRY'!R112</f>
        <v>0</v>
      </c>
      <c r="N84" s="219" t="str">
        <f>'TECH DATA ENTRY'!$G$26</f>
        <v>Digital</v>
      </c>
      <c r="O84" s="217">
        <v>1</v>
      </c>
      <c r="P84" s="218">
        <f t="shared" si="15"/>
        <v>0</v>
      </c>
      <c r="Q84" s="220">
        <f>'TECH DATA ENTRY'!S112</f>
        <v>1.485E-3</v>
      </c>
      <c r="R84" s="217">
        <v>1</v>
      </c>
      <c r="S84" s="218">
        <f t="shared" si="16"/>
        <v>7.425E-4</v>
      </c>
      <c r="T84" s="220">
        <f>'TECH DATA ENTRY'!T112</f>
        <v>0</v>
      </c>
      <c r="U84" s="217">
        <v>1</v>
      </c>
      <c r="V84" s="218">
        <f t="shared" si="17"/>
        <v>0</v>
      </c>
      <c r="W84" s="220">
        <f>'TECH DATA ENTRY'!U112</f>
        <v>0</v>
      </c>
      <c r="X84" s="217">
        <v>1</v>
      </c>
      <c r="Y84" s="218">
        <f t="shared" si="18"/>
        <v>0</v>
      </c>
      <c r="Z84" s="220">
        <f>'TECH DATA ENTRY'!V112</f>
        <v>0</v>
      </c>
      <c r="AA84" s="217">
        <v>1</v>
      </c>
      <c r="AB84" s="218">
        <f t="shared" si="19"/>
        <v>0</v>
      </c>
      <c r="AC84" s="220">
        <f>'TECH DATA ENTRY'!W112</f>
        <v>0</v>
      </c>
      <c r="AD84" s="217">
        <v>1</v>
      </c>
      <c r="AE84" s="218">
        <f t="shared" si="20"/>
        <v>0</v>
      </c>
      <c r="AF84" s="220">
        <f>'TECH DATA ENTRY'!X112</f>
        <v>0</v>
      </c>
      <c r="AG84" s="217">
        <v>1</v>
      </c>
      <c r="AH84" s="218">
        <f t="shared" si="21"/>
        <v>0</v>
      </c>
      <c r="AI84" s="219" t="e">
        <f t="shared" si="22"/>
        <v>#VALUE!</v>
      </c>
      <c r="AJ84" s="221" t="str">
        <f>'TECH DATA ENTRY'!K112</f>
        <v/>
      </c>
      <c r="AK84" s="222" t="e">
        <f t="shared" si="23"/>
        <v>#VALUE!</v>
      </c>
      <c r="AL84" s="222" t="e">
        <f>VLOOKUP(AK84,'AUX TABLES'!A$2:B$29,2)</f>
        <v>#VALUE!</v>
      </c>
      <c r="AM84" s="223" t="str">
        <f>IF(OR(ISTEXT(B84)=TRUE,ISTEXT('TECH DATA ENTRY'!L112)=TRUE), "NA",AL84*AI84)</f>
        <v>NA</v>
      </c>
      <c r="AN84" s="79"/>
    </row>
    <row r="85" spans="1:40" s="80" customFormat="1" ht="20.149999999999999" customHeight="1">
      <c r="A85" s="216"/>
      <c r="B85" s="249">
        <f>'TECH DATA ENTRY'!B113</f>
        <v>0</v>
      </c>
      <c r="C85" s="217">
        <f>'TECH DATA ENTRY'!O113</f>
        <v>0</v>
      </c>
      <c r="D85" s="217">
        <v>1</v>
      </c>
      <c r="E85" s="218" t="e">
        <f t="shared" si="12"/>
        <v>#DIV/0!</v>
      </c>
      <c r="F85" s="217">
        <f>'TECH DATA ENTRY'!P113</f>
        <v>0</v>
      </c>
      <c r="G85" s="217">
        <v>1</v>
      </c>
      <c r="H85" s="218" t="e">
        <f t="shared" si="13"/>
        <v>#DIV/0!</v>
      </c>
      <c r="I85" s="219">
        <f>'TECH DATA ENTRY'!Q113</f>
        <v>0</v>
      </c>
      <c r="J85" s="219" t="str">
        <f>'TECH DATA ENTRY'!$G$26</f>
        <v>Digital</v>
      </c>
      <c r="K85" s="217">
        <v>1</v>
      </c>
      <c r="L85" s="218">
        <f t="shared" si="14"/>
        <v>0</v>
      </c>
      <c r="M85" s="219">
        <f>'TECH DATA ENTRY'!R113</f>
        <v>0</v>
      </c>
      <c r="N85" s="219" t="str">
        <f>'TECH DATA ENTRY'!$G$26</f>
        <v>Digital</v>
      </c>
      <c r="O85" s="217">
        <v>1</v>
      </c>
      <c r="P85" s="218">
        <f t="shared" si="15"/>
        <v>0</v>
      </c>
      <c r="Q85" s="220">
        <f>'TECH DATA ENTRY'!S113</f>
        <v>0</v>
      </c>
      <c r="R85" s="217">
        <v>1</v>
      </c>
      <c r="S85" s="218">
        <f t="shared" si="16"/>
        <v>0</v>
      </c>
      <c r="T85" s="220">
        <f>'TECH DATA ENTRY'!T113</f>
        <v>0</v>
      </c>
      <c r="U85" s="217">
        <v>1</v>
      </c>
      <c r="V85" s="218">
        <f t="shared" si="17"/>
        <v>0</v>
      </c>
      <c r="W85" s="220">
        <f>'TECH DATA ENTRY'!U113</f>
        <v>0</v>
      </c>
      <c r="X85" s="217">
        <v>1</v>
      </c>
      <c r="Y85" s="218">
        <f t="shared" si="18"/>
        <v>0</v>
      </c>
      <c r="Z85" s="220">
        <f>'TECH DATA ENTRY'!V113</f>
        <v>0</v>
      </c>
      <c r="AA85" s="217">
        <v>1</v>
      </c>
      <c r="AB85" s="218">
        <f t="shared" si="19"/>
        <v>0</v>
      </c>
      <c r="AC85" s="220">
        <f>'TECH DATA ENTRY'!W113</f>
        <v>0</v>
      </c>
      <c r="AD85" s="217">
        <v>1</v>
      </c>
      <c r="AE85" s="218">
        <f t="shared" si="20"/>
        <v>0</v>
      </c>
      <c r="AF85" s="220">
        <f>'TECH DATA ENTRY'!X113</f>
        <v>0</v>
      </c>
      <c r="AG85" s="217">
        <v>1</v>
      </c>
      <c r="AH85" s="218">
        <f t="shared" si="21"/>
        <v>0</v>
      </c>
      <c r="AI85" s="219" t="e">
        <f t="shared" si="22"/>
        <v>#DIV/0!</v>
      </c>
      <c r="AJ85" s="221">
        <f>'TECH DATA ENTRY'!K113</f>
        <v>0</v>
      </c>
      <c r="AK85" s="222" t="e">
        <f t="shared" si="23"/>
        <v>#DIV/0!</v>
      </c>
      <c r="AL85" s="222" t="e">
        <f>VLOOKUP(AK85,'AUX TABLES'!A$2:B$29,2)</f>
        <v>#DIV/0!</v>
      </c>
      <c r="AM85" s="223" t="e">
        <f>IF(OR(ISTEXT(B85)=TRUE,ISTEXT('TECH DATA ENTRY'!L113)=TRUE), "NA",AL85*AI85)</f>
        <v>#DIV/0!</v>
      </c>
      <c r="AN85" s="79"/>
    </row>
    <row r="86" spans="1:40" s="80" customFormat="1" ht="20.149999999999999" customHeight="1">
      <c r="A86" s="216"/>
      <c r="B86" s="249">
        <f>'TECH DATA ENTRY'!B114</f>
        <v>0</v>
      </c>
      <c r="C86" s="217">
        <f>'TECH DATA ENTRY'!O114</f>
        <v>0</v>
      </c>
      <c r="D86" s="217">
        <v>1</v>
      </c>
      <c r="E86" s="218" t="e">
        <f t="shared" si="12"/>
        <v>#DIV/0!</v>
      </c>
      <c r="F86" s="217">
        <f>'TECH DATA ENTRY'!P114</f>
        <v>0</v>
      </c>
      <c r="G86" s="217">
        <v>1</v>
      </c>
      <c r="H86" s="218" t="e">
        <f t="shared" si="13"/>
        <v>#DIV/0!</v>
      </c>
      <c r="I86" s="219">
        <f>'TECH DATA ENTRY'!Q114</f>
        <v>0</v>
      </c>
      <c r="J86" s="219" t="str">
        <f>'TECH DATA ENTRY'!$G$26</f>
        <v>Digital</v>
      </c>
      <c r="K86" s="217">
        <v>1</v>
      </c>
      <c r="L86" s="218">
        <f t="shared" si="14"/>
        <v>0</v>
      </c>
      <c r="M86" s="219">
        <f>'TECH DATA ENTRY'!R114</f>
        <v>0</v>
      </c>
      <c r="N86" s="219" t="str">
        <f>'TECH DATA ENTRY'!$G$26</f>
        <v>Digital</v>
      </c>
      <c r="O86" s="217">
        <v>1</v>
      </c>
      <c r="P86" s="218">
        <f t="shared" si="15"/>
        <v>0</v>
      </c>
      <c r="Q86" s="220">
        <f>'TECH DATA ENTRY'!S114</f>
        <v>0</v>
      </c>
      <c r="R86" s="217">
        <v>1</v>
      </c>
      <c r="S86" s="218">
        <f t="shared" si="16"/>
        <v>0</v>
      </c>
      <c r="T86" s="220">
        <f>'TECH DATA ENTRY'!T114</f>
        <v>0</v>
      </c>
      <c r="U86" s="217">
        <v>1</v>
      </c>
      <c r="V86" s="218">
        <f t="shared" si="17"/>
        <v>0</v>
      </c>
      <c r="W86" s="220">
        <f>'TECH DATA ENTRY'!U114</f>
        <v>0</v>
      </c>
      <c r="X86" s="217">
        <v>1</v>
      </c>
      <c r="Y86" s="218">
        <f t="shared" si="18"/>
        <v>0</v>
      </c>
      <c r="Z86" s="220">
        <f>'TECH DATA ENTRY'!V114</f>
        <v>0</v>
      </c>
      <c r="AA86" s="217">
        <v>1</v>
      </c>
      <c r="AB86" s="218">
        <f t="shared" si="19"/>
        <v>0</v>
      </c>
      <c r="AC86" s="220">
        <f>'TECH DATA ENTRY'!W114</f>
        <v>0</v>
      </c>
      <c r="AD86" s="217">
        <v>1</v>
      </c>
      <c r="AE86" s="218">
        <f t="shared" si="20"/>
        <v>0</v>
      </c>
      <c r="AF86" s="220">
        <f>'TECH DATA ENTRY'!X114</f>
        <v>0</v>
      </c>
      <c r="AG86" s="217">
        <v>1</v>
      </c>
      <c r="AH86" s="218">
        <f t="shared" si="21"/>
        <v>0</v>
      </c>
      <c r="AI86" s="219" t="e">
        <f t="shared" si="22"/>
        <v>#DIV/0!</v>
      </c>
      <c r="AJ86" s="221">
        <f>'TECH DATA ENTRY'!K114</f>
        <v>0</v>
      </c>
      <c r="AK86" s="222" t="e">
        <f t="shared" si="23"/>
        <v>#DIV/0!</v>
      </c>
      <c r="AL86" s="222" t="e">
        <f>VLOOKUP(AK86,'AUX TABLES'!A$2:B$29,2)</f>
        <v>#DIV/0!</v>
      </c>
      <c r="AM86" s="223" t="e">
        <f>IF(OR(ISTEXT(B86)=TRUE,ISTEXT('TECH DATA ENTRY'!L114)=TRUE), "NA",AL86*AI86)</f>
        <v>#DIV/0!</v>
      </c>
      <c r="AN86" s="79"/>
    </row>
    <row r="87" spans="1:40" s="80" customFormat="1" ht="20.149999999999999" customHeight="1">
      <c r="A87" s="216"/>
      <c r="B87" s="249">
        <f>'TECH DATA ENTRY'!B115</f>
        <v>0</v>
      </c>
      <c r="C87" s="217">
        <f>'TECH DATA ENTRY'!O115</f>
        <v>0</v>
      </c>
      <c r="D87" s="217">
        <v>1</v>
      </c>
      <c r="E87" s="218" t="e">
        <f t="shared" si="12"/>
        <v>#DIV/0!</v>
      </c>
      <c r="F87" s="217">
        <f>'TECH DATA ENTRY'!P115</f>
        <v>0</v>
      </c>
      <c r="G87" s="217">
        <v>1</v>
      </c>
      <c r="H87" s="218" t="e">
        <f t="shared" si="13"/>
        <v>#DIV/0!</v>
      </c>
      <c r="I87" s="219">
        <f>'TECH DATA ENTRY'!Q115</f>
        <v>0</v>
      </c>
      <c r="J87" s="219" t="str">
        <f>'TECH DATA ENTRY'!$G$26</f>
        <v>Digital</v>
      </c>
      <c r="K87" s="217">
        <v>1</v>
      </c>
      <c r="L87" s="218">
        <f t="shared" si="14"/>
        <v>0</v>
      </c>
      <c r="M87" s="219">
        <f>'TECH DATA ENTRY'!R115</f>
        <v>0</v>
      </c>
      <c r="N87" s="219" t="str">
        <f>'TECH DATA ENTRY'!$G$26</f>
        <v>Digital</v>
      </c>
      <c r="O87" s="217">
        <v>1</v>
      </c>
      <c r="P87" s="218">
        <f t="shared" si="15"/>
        <v>0</v>
      </c>
      <c r="Q87" s="220">
        <f>'TECH DATA ENTRY'!S115</f>
        <v>0</v>
      </c>
      <c r="R87" s="217">
        <v>1</v>
      </c>
      <c r="S87" s="218">
        <f t="shared" si="16"/>
        <v>0</v>
      </c>
      <c r="T87" s="220">
        <f>'TECH DATA ENTRY'!T115</f>
        <v>0</v>
      </c>
      <c r="U87" s="217">
        <v>1</v>
      </c>
      <c r="V87" s="218">
        <f t="shared" si="17"/>
        <v>0</v>
      </c>
      <c r="W87" s="220">
        <f>'TECH DATA ENTRY'!U115</f>
        <v>0</v>
      </c>
      <c r="X87" s="217">
        <v>1</v>
      </c>
      <c r="Y87" s="218">
        <f t="shared" si="18"/>
        <v>0</v>
      </c>
      <c r="Z87" s="220">
        <f>'TECH DATA ENTRY'!V115</f>
        <v>0</v>
      </c>
      <c r="AA87" s="217">
        <v>1</v>
      </c>
      <c r="AB87" s="218">
        <f t="shared" si="19"/>
        <v>0</v>
      </c>
      <c r="AC87" s="220">
        <f>'TECH DATA ENTRY'!W115</f>
        <v>0</v>
      </c>
      <c r="AD87" s="217">
        <v>1</v>
      </c>
      <c r="AE87" s="218">
        <f t="shared" si="20"/>
        <v>0</v>
      </c>
      <c r="AF87" s="220">
        <f>'TECH DATA ENTRY'!X115</f>
        <v>0</v>
      </c>
      <c r="AG87" s="217">
        <v>1</v>
      </c>
      <c r="AH87" s="218">
        <f t="shared" si="21"/>
        <v>0</v>
      </c>
      <c r="AI87" s="219" t="e">
        <f t="shared" si="22"/>
        <v>#DIV/0!</v>
      </c>
      <c r="AJ87" s="221">
        <f>'TECH DATA ENTRY'!K115</f>
        <v>0</v>
      </c>
      <c r="AK87" s="222" t="e">
        <f t="shared" si="23"/>
        <v>#DIV/0!</v>
      </c>
      <c r="AL87" s="222" t="e">
        <f>VLOOKUP(AK87,'AUX TABLES'!A$2:B$29,2)</f>
        <v>#DIV/0!</v>
      </c>
      <c r="AM87" s="223" t="e">
        <f>IF(OR(ISTEXT(B87)=TRUE,ISTEXT('TECH DATA ENTRY'!L115)=TRUE), "NA",AL87*AI87)</f>
        <v>#DIV/0!</v>
      </c>
      <c r="AN87" s="79"/>
    </row>
    <row r="88" spans="1:40" s="80" customFormat="1" ht="20.149999999999999" customHeight="1">
      <c r="A88" s="216"/>
      <c r="B88" s="249" t="str">
        <f>'TECH DATA ENTRY'!B116</f>
        <v>Nominal</v>
      </c>
      <c r="C88" s="217" t="str">
        <f>'TECH DATA ENTRY'!O116</f>
        <v>Uncertainty Components</v>
      </c>
      <c r="D88" s="217">
        <v>1</v>
      </c>
      <c r="E88" s="218" t="e">
        <f t="shared" si="12"/>
        <v>#VALUE!</v>
      </c>
      <c r="F88" s="217">
        <f>'TECH DATA ENTRY'!P116</f>
        <v>0</v>
      </c>
      <c r="G88" s="217">
        <v>1</v>
      </c>
      <c r="H88" s="218" t="e">
        <f t="shared" si="13"/>
        <v>#VALUE!</v>
      </c>
      <c r="I88" s="219">
        <f>'TECH DATA ENTRY'!Q116</f>
        <v>0</v>
      </c>
      <c r="J88" s="219" t="str">
        <f>'TECH DATA ENTRY'!$G$26</f>
        <v>Digital</v>
      </c>
      <c r="K88" s="217">
        <v>1</v>
      </c>
      <c r="L88" s="218">
        <f t="shared" si="14"/>
        <v>0</v>
      </c>
      <c r="M88" s="219">
        <f>'TECH DATA ENTRY'!R116</f>
        <v>0</v>
      </c>
      <c r="N88" s="219" t="str">
        <f>'TECH DATA ENTRY'!$G$26</f>
        <v>Digital</v>
      </c>
      <c r="O88" s="217">
        <v>1</v>
      </c>
      <c r="P88" s="218">
        <f t="shared" si="15"/>
        <v>0</v>
      </c>
      <c r="Q88" s="220">
        <f>'TECH DATA ENTRY'!S116</f>
        <v>0</v>
      </c>
      <c r="R88" s="217">
        <v>1</v>
      </c>
      <c r="S88" s="218">
        <f t="shared" si="16"/>
        <v>0</v>
      </c>
      <c r="T88" s="220">
        <f>'TECH DATA ENTRY'!T116</f>
        <v>0</v>
      </c>
      <c r="U88" s="217">
        <v>1</v>
      </c>
      <c r="V88" s="218">
        <f t="shared" si="17"/>
        <v>0</v>
      </c>
      <c r="W88" s="220">
        <f>'TECH DATA ENTRY'!U116</f>
        <v>0</v>
      </c>
      <c r="X88" s="217">
        <v>1</v>
      </c>
      <c r="Y88" s="218">
        <f t="shared" si="18"/>
        <v>0</v>
      </c>
      <c r="Z88" s="220">
        <f>'TECH DATA ENTRY'!V116</f>
        <v>0</v>
      </c>
      <c r="AA88" s="217">
        <v>1</v>
      </c>
      <c r="AB88" s="218">
        <f t="shared" si="19"/>
        <v>0</v>
      </c>
      <c r="AC88" s="220">
        <f>'TECH DATA ENTRY'!W116</f>
        <v>0</v>
      </c>
      <c r="AD88" s="217">
        <v>1</v>
      </c>
      <c r="AE88" s="218">
        <f t="shared" si="20"/>
        <v>0</v>
      </c>
      <c r="AF88" s="220">
        <f>'TECH DATA ENTRY'!X116</f>
        <v>0</v>
      </c>
      <c r="AG88" s="217">
        <v>1</v>
      </c>
      <c r="AH88" s="218">
        <f t="shared" si="21"/>
        <v>0</v>
      </c>
      <c r="AI88" s="219" t="e">
        <f t="shared" si="22"/>
        <v>#VALUE!</v>
      </c>
      <c r="AJ88" s="221" t="str">
        <f>'TECH DATA ENTRY'!K116</f>
        <v>n</v>
      </c>
      <c r="AK88" s="222" t="e">
        <f t="shared" si="23"/>
        <v>#VALUE!</v>
      </c>
      <c r="AL88" s="222" t="e">
        <f>VLOOKUP(AK88,'AUX TABLES'!A$2:B$29,2)</f>
        <v>#VALUE!</v>
      </c>
      <c r="AM88" s="223" t="str">
        <f>IF(OR(ISTEXT(B88)=TRUE,ISTEXT('TECH DATA ENTRY'!L116)=TRUE), "NA",AL88*AI88)</f>
        <v>NA</v>
      </c>
      <c r="AN88" s="79"/>
    </row>
    <row r="89" spans="1:40" s="80" customFormat="1" ht="20.149999999999999" customHeight="1">
      <c r="A89" s="216"/>
      <c r="B89" s="249">
        <f>'TECH DATA ENTRY'!B117</f>
        <v>0</v>
      </c>
      <c r="C89" s="217" t="str">
        <f>'TECH DATA ENTRY'!O117</f>
        <v>Stdev 1</v>
      </c>
      <c r="D89" s="217">
        <v>1</v>
      </c>
      <c r="E89" s="218" t="e">
        <f t="shared" si="12"/>
        <v>#VALUE!</v>
      </c>
      <c r="F89" s="217" t="str">
        <f>'TECH DATA ENTRY'!P117</f>
        <v>Stdev 2</v>
      </c>
      <c r="G89" s="217">
        <v>1</v>
      </c>
      <c r="H89" s="218" t="e">
        <f t="shared" si="13"/>
        <v>#VALUE!</v>
      </c>
      <c r="I89" s="219" t="str">
        <f>'TECH DATA ENTRY'!Q117</f>
        <v>Resolution 1</v>
      </c>
      <c r="J89" s="219" t="str">
        <f>'TECH DATA ENTRY'!$G$26</f>
        <v>Digital</v>
      </c>
      <c r="K89" s="217">
        <v>1</v>
      </c>
      <c r="L89" s="218" t="e">
        <f t="shared" si="14"/>
        <v>#VALUE!</v>
      </c>
      <c r="M89" s="219" t="str">
        <f>'TECH DATA ENTRY'!R117</f>
        <v>Resolution 2</v>
      </c>
      <c r="N89" s="219" t="str">
        <f>'TECH DATA ENTRY'!$G$26</f>
        <v>Digital</v>
      </c>
      <c r="O89" s="217">
        <v>1</v>
      </c>
      <c r="P89" s="218" t="e">
        <f t="shared" si="15"/>
        <v>#VALUE!</v>
      </c>
      <c r="Q89" s="220" t="str">
        <f>'TECH DATA ENTRY'!S117</f>
        <v>Scope Uncertainty</v>
      </c>
      <c r="R89" s="217">
        <v>1</v>
      </c>
      <c r="S89" s="218" t="e">
        <f t="shared" si="16"/>
        <v>#VALUE!</v>
      </c>
      <c r="T89" s="220" t="str">
        <f>'TECH DATA ENTRY'!T117</f>
        <v>STD 2 Cal Unc</v>
      </c>
      <c r="U89" s="217">
        <v>1</v>
      </c>
      <c r="V89" s="218" t="e">
        <f t="shared" si="17"/>
        <v>#VALUE!</v>
      </c>
      <c r="W89" s="220" t="str">
        <f>'TECH DATA ENTRY'!U117</f>
        <v>Others 1</v>
      </c>
      <c r="X89" s="217">
        <v>1</v>
      </c>
      <c r="Y89" s="218" t="e">
        <f t="shared" si="18"/>
        <v>#VALUE!</v>
      </c>
      <c r="Z89" s="220" t="str">
        <f>'TECH DATA ENTRY'!V117</f>
        <v>Others 2</v>
      </c>
      <c r="AA89" s="217">
        <v>1</v>
      </c>
      <c r="AB89" s="218" t="e">
        <f t="shared" si="19"/>
        <v>#VALUE!</v>
      </c>
      <c r="AC89" s="220" t="str">
        <f>'TECH DATA ENTRY'!W117</f>
        <v>Others 3</v>
      </c>
      <c r="AD89" s="217">
        <v>1</v>
      </c>
      <c r="AE89" s="218" t="e">
        <f t="shared" si="20"/>
        <v>#VALUE!</v>
      </c>
      <c r="AF89" s="220" t="str">
        <f>'TECH DATA ENTRY'!X117</f>
        <v>Others 4</v>
      </c>
      <c r="AG89" s="217">
        <v>1</v>
      </c>
      <c r="AH89" s="218" t="e">
        <f t="shared" si="21"/>
        <v>#VALUE!</v>
      </c>
      <c r="AI89" s="219" t="e">
        <f t="shared" si="22"/>
        <v>#VALUE!</v>
      </c>
      <c r="AJ89" s="221">
        <f>'TECH DATA ENTRY'!K117</f>
        <v>0</v>
      </c>
      <c r="AK89" s="222" t="e">
        <f t="shared" si="23"/>
        <v>#VALUE!</v>
      </c>
      <c r="AL89" s="222" t="e">
        <f>VLOOKUP(AK89,'AUX TABLES'!A$2:B$29,2)</f>
        <v>#VALUE!</v>
      </c>
      <c r="AM89" s="223" t="e">
        <f>IF(OR(ISTEXT(B89)=TRUE,ISTEXT('TECH DATA ENTRY'!L117)=TRUE), "NA",AL89*AI89)</f>
        <v>#VALUE!</v>
      </c>
      <c r="AN89" s="79"/>
    </row>
    <row r="90" spans="1:40" s="80" customFormat="1" ht="20.149999999999999" customHeight="1">
      <c r="A90" s="216"/>
      <c r="B90" s="249">
        <f>'TECH DATA ENTRY'!B118</f>
        <v>100</v>
      </c>
      <c r="C90" s="217" t="str">
        <f>'TECH DATA ENTRY'!O118</f>
        <v/>
      </c>
      <c r="D90" s="217">
        <v>1</v>
      </c>
      <c r="E90" s="218" t="e">
        <f t="shared" si="12"/>
        <v>#VALUE!</v>
      </c>
      <c r="F90" s="217">
        <f>'TECH DATA ENTRY'!P118</f>
        <v>0</v>
      </c>
      <c r="G90" s="217">
        <v>1</v>
      </c>
      <c r="H90" s="218" t="e">
        <f t="shared" si="13"/>
        <v>#VALUE!</v>
      </c>
      <c r="I90" s="219">
        <f>'TECH DATA ENTRY'!Q118</f>
        <v>1E-4</v>
      </c>
      <c r="J90" s="219" t="str">
        <f>'TECH DATA ENTRY'!$G$26</f>
        <v>Digital</v>
      </c>
      <c r="K90" s="217">
        <v>1</v>
      </c>
      <c r="L90" s="218">
        <f t="shared" si="14"/>
        <v>2.8867513459481293E-5</v>
      </c>
      <c r="M90" s="219">
        <f>'TECH DATA ENTRY'!R118</f>
        <v>0</v>
      </c>
      <c r="N90" s="219" t="str">
        <f>'TECH DATA ENTRY'!$G$26</f>
        <v>Digital</v>
      </c>
      <c r="O90" s="217">
        <v>1</v>
      </c>
      <c r="P90" s="218">
        <f t="shared" si="15"/>
        <v>0</v>
      </c>
      <c r="Q90" s="220">
        <f>'TECH DATA ENTRY'!S118</f>
        <v>6.1000000000000004E-3</v>
      </c>
      <c r="R90" s="217">
        <v>1</v>
      </c>
      <c r="S90" s="218">
        <f t="shared" si="16"/>
        <v>3.0500000000000002E-3</v>
      </c>
      <c r="T90" s="220">
        <f>'TECH DATA ENTRY'!T118</f>
        <v>0</v>
      </c>
      <c r="U90" s="217">
        <v>1</v>
      </c>
      <c r="V90" s="218">
        <f t="shared" si="17"/>
        <v>0</v>
      </c>
      <c r="W90" s="220">
        <f>'TECH DATA ENTRY'!U118</f>
        <v>0</v>
      </c>
      <c r="X90" s="217">
        <v>1</v>
      </c>
      <c r="Y90" s="218">
        <f t="shared" si="18"/>
        <v>0</v>
      </c>
      <c r="Z90" s="220">
        <f>'TECH DATA ENTRY'!V118</f>
        <v>0</v>
      </c>
      <c r="AA90" s="217">
        <v>1</v>
      </c>
      <c r="AB90" s="218">
        <f t="shared" si="19"/>
        <v>0</v>
      </c>
      <c r="AC90" s="220">
        <f>'TECH DATA ENTRY'!W118</f>
        <v>0</v>
      </c>
      <c r="AD90" s="217">
        <v>1</v>
      </c>
      <c r="AE90" s="218">
        <f t="shared" si="20"/>
        <v>0</v>
      </c>
      <c r="AF90" s="220">
        <f>'TECH DATA ENTRY'!X118</f>
        <v>0</v>
      </c>
      <c r="AG90" s="217">
        <v>1</v>
      </c>
      <c r="AH90" s="218">
        <f t="shared" si="21"/>
        <v>0</v>
      </c>
      <c r="AI90" s="219" t="e">
        <f t="shared" si="22"/>
        <v>#VALUE!</v>
      </c>
      <c r="AJ90" s="221" t="str">
        <f>'TECH DATA ENTRY'!K118</f>
        <v/>
      </c>
      <c r="AK90" s="222" t="e">
        <f t="shared" si="23"/>
        <v>#VALUE!</v>
      </c>
      <c r="AL90" s="222" t="e">
        <f>VLOOKUP(AK90,'AUX TABLES'!A$2:B$29,2)</f>
        <v>#VALUE!</v>
      </c>
      <c r="AM90" s="223" t="str">
        <f>IF(OR(ISTEXT(B90)=TRUE,ISTEXT('TECH DATA ENTRY'!L118)=TRUE), "NA",AL90*AI90)</f>
        <v>NA</v>
      </c>
      <c r="AN90" s="79"/>
    </row>
    <row r="91" spans="1:40" s="80" customFormat="1" ht="20.149999999999999" customHeight="1">
      <c r="A91" s="216"/>
      <c r="B91" s="249">
        <f>'TECH DATA ENTRY'!B119</f>
        <v>100</v>
      </c>
      <c r="C91" s="217" t="str">
        <f>'TECH DATA ENTRY'!O119</f>
        <v/>
      </c>
      <c r="D91" s="217">
        <v>1</v>
      </c>
      <c r="E91" s="218" t="e">
        <f t="shared" si="12"/>
        <v>#VALUE!</v>
      </c>
      <c r="F91" s="217">
        <f>'TECH DATA ENTRY'!P119</f>
        <v>0</v>
      </c>
      <c r="G91" s="217">
        <v>1</v>
      </c>
      <c r="H91" s="218" t="e">
        <f t="shared" si="13"/>
        <v>#VALUE!</v>
      </c>
      <c r="I91" s="219">
        <f>'TECH DATA ENTRY'!Q119</f>
        <v>1E-4</v>
      </c>
      <c r="J91" s="219" t="str">
        <f>'TECH DATA ENTRY'!$G$26</f>
        <v>Digital</v>
      </c>
      <c r="K91" s="217">
        <v>1</v>
      </c>
      <c r="L91" s="218">
        <f t="shared" si="14"/>
        <v>2.8867513459481293E-5</v>
      </c>
      <c r="M91" s="219">
        <f>'TECH DATA ENTRY'!R119</f>
        <v>0</v>
      </c>
      <c r="N91" s="219" t="str">
        <f>'TECH DATA ENTRY'!$G$26</f>
        <v>Digital</v>
      </c>
      <c r="O91" s="217">
        <v>1</v>
      </c>
      <c r="P91" s="218">
        <f t="shared" si="15"/>
        <v>0</v>
      </c>
      <c r="Q91" s="220">
        <f>'TECH DATA ENTRY'!S119</f>
        <v>6.1000000000000004E-3</v>
      </c>
      <c r="R91" s="217">
        <v>1</v>
      </c>
      <c r="S91" s="218">
        <f t="shared" si="16"/>
        <v>3.0500000000000002E-3</v>
      </c>
      <c r="T91" s="220">
        <f>'TECH DATA ENTRY'!T119</f>
        <v>0</v>
      </c>
      <c r="U91" s="217">
        <v>1</v>
      </c>
      <c r="V91" s="218">
        <f t="shared" si="17"/>
        <v>0</v>
      </c>
      <c r="W91" s="220">
        <f>'TECH DATA ENTRY'!U119</f>
        <v>0</v>
      </c>
      <c r="X91" s="217">
        <v>1</v>
      </c>
      <c r="Y91" s="218">
        <f t="shared" si="18"/>
        <v>0</v>
      </c>
      <c r="Z91" s="220">
        <f>'TECH DATA ENTRY'!V119</f>
        <v>0</v>
      </c>
      <c r="AA91" s="217">
        <v>1</v>
      </c>
      <c r="AB91" s="218">
        <f t="shared" si="19"/>
        <v>0</v>
      </c>
      <c r="AC91" s="220">
        <f>'TECH DATA ENTRY'!W119</f>
        <v>0</v>
      </c>
      <c r="AD91" s="217">
        <v>1</v>
      </c>
      <c r="AE91" s="218">
        <f t="shared" si="20"/>
        <v>0</v>
      </c>
      <c r="AF91" s="220">
        <f>'TECH DATA ENTRY'!X119</f>
        <v>0</v>
      </c>
      <c r="AG91" s="217">
        <v>1</v>
      </c>
      <c r="AH91" s="218">
        <f t="shared" si="21"/>
        <v>0</v>
      </c>
      <c r="AI91" s="219" t="e">
        <f t="shared" si="22"/>
        <v>#VALUE!</v>
      </c>
      <c r="AJ91" s="221" t="str">
        <f>'TECH DATA ENTRY'!K119</f>
        <v/>
      </c>
      <c r="AK91" s="222" t="e">
        <f t="shared" si="23"/>
        <v>#VALUE!</v>
      </c>
      <c r="AL91" s="222" t="e">
        <f>VLOOKUP(AK91,'AUX TABLES'!A$2:B$29,2)</f>
        <v>#VALUE!</v>
      </c>
      <c r="AM91" s="223" t="str">
        <f>IF(OR(ISTEXT(B91)=TRUE,ISTEXT('TECH DATA ENTRY'!L119)=TRUE), "NA",AL91*AI91)</f>
        <v>NA</v>
      </c>
      <c r="AN91" s="79"/>
    </row>
    <row r="92" spans="1:40" s="80" customFormat="1" ht="20.149999999999999" customHeight="1">
      <c r="A92" s="216"/>
      <c r="B92" s="249">
        <f>'TECH DATA ENTRY'!B120</f>
        <v>100</v>
      </c>
      <c r="C92" s="217" t="str">
        <f>'TECH DATA ENTRY'!O120</f>
        <v/>
      </c>
      <c r="D92" s="217">
        <v>1</v>
      </c>
      <c r="E92" s="218" t="e">
        <f t="shared" si="12"/>
        <v>#VALUE!</v>
      </c>
      <c r="F92" s="217">
        <f>'TECH DATA ENTRY'!P120</f>
        <v>0</v>
      </c>
      <c r="G92" s="217">
        <v>1</v>
      </c>
      <c r="H92" s="218" t="e">
        <f t="shared" si="13"/>
        <v>#VALUE!</v>
      </c>
      <c r="I92" s="219">
        <f>'TECH DATA ENTRY'!Q120</f>
        <v>1E-4</v>
      </c>
      <c r="J92" s="219" t="str">
        <f>'TECH DATA ENTRY'!$G$26</f>
        <v>Digital</v>
      </c>
      <c r="K92" s="217">
        <v>1</v>
      </c>
      <c r="L92" s="218">
        <f t="shared" si="14"/>
        <v>2.8867513459481293E-5</v>
      </c>
      <c r="M92" s="219">
        <f>'TECH DATA ENTRY'!R120</f>
        <v>0</v>
      </c>
      <c r="N92" s="219" t="str">
        <f>'TECH DATA ENTRY'!$G$26</f>
        <v>Digital</v>
      </c>
      <c r="O92" s="217">
        <v>1</v>
      </c>
      <c r="P92" s="218">
        <f t="shared" si="15"/>
        <v>0</v>
      </c>
      <c r="Q92" s="220">
        <f>'TECH DATA ENTRY'!S120</f>
        <v>9.6000000000000009E-3</v>
      </c>
      <c r="R92" s="217">
        <v>1</v>
      </c>
      <c r="S92" s="218">
        <f t="shared" si="16"/>
        <v>4.8000000000000004E-3</v>
      </c>
      <c r="T92" s="220">
        <f>'TECH DATA ENTRY'!T120</f>
        <v>0</v>
      </c>
      <c r="U92" s="217">
        <v>1</v>
      </c>
      <c r="V92" s="218">
        <f t="shared" si="17"/>
        <v>0</v>
      </c>
      <c r="W92" s="220">
        <f>'TECH DATA ENTRY'!U120</f>
        <v>0</v>
      </c>
      <c r="X92" s="217">
        <v>1</v>
      </c>
      <c r="Y92" s="218">
        <f t="shared" si="18"/>
        <v>0</v>
      </c>
      <c r="Z92" s="220">
        <f>'TECH DATA ENTRY'!V120</f>
        <v>0</v>
      </c>
      <c r="AA92" s="217">
        <v>1</v>
      </c>
      <c r="AB92" s="218">
        <f t="shared" si="19"/>
        <v>0</v>
      </c>
      <c r="AC92" s="220">
        <f>'TECH DATA ENTRY'!W120</f>
        <v>0</v>
      </c>
      <c r="AD92" s="217">
        <v>1</v>
      </c>
      <c r="AE92" s="218">
        <f t="shared" si="20"/>
        <v>0</v>
      </c>
      <c r="AF92" s="220">
        <f>'TECH DATA ENTRY'!X120</f>
        <v>0</v>
      </c>
      <c r="AG92" s="217">
        <v>1</v>
      </c>
      <c r="AH92" s="218">
        <f t="shared" si="21"/>
        <v>0</v>
      </c>
      <c r="AI92" s="219" t="e">
        <f t="shared" si="22"/>
        <v>#VALUE!</v>
      </c>
      <c r="AJ92" s="221" t="str">
        <f>'TECH DATA ENTRY'!K120</f>
        <v/>
      </c>
      <c r="AK92" s="222" t="e">
        <f t="shared" si="23"/>
        <v>#VALUE!</v>
      </c>
      <c r="AL92" s="222" t="e">
        <f>VLOOKUP(AK92,'AUX TABLES'!A$2:B$29,2)</f>
        <v>#VALUE!</v>
      </c>
      <c r="AM92" s="223" t="str">
        <f>IF(OR(ISTEXT(B92)=TRUE,ISTEXT('TECH DATA ENTRY'!L120)=TRUE), "NA",AL92*AI92)</f>
        <v>NA</v>
      </c>
      <c r="AN92" s="79"/>
    </row>
    <row r="93" spans="1:40" s="80" customFormat="1" ht="20.149999999999999" customHeight="1">
      <c r="A93" s="216"/>
      <c r="B93" s="249">
        <f>'TECH DATA ENTRY'!B121</f>
        <v>100</v>
      </c>
      <c r="C93" s="217" t="str">
        <f>'TECH DATA ENTRY'!O121</f>
        <v/>
      </c>
      <c r="D93" s="217">
        <v>1</v>
      </c>
      <c r="E93" s="218" t="e">
        <f t="shared" si="12"/>
        <v>#VALUE!</v>
      </c>
      <c r="F93" s="217">
        <f>'TECH DATA ENTRY'!P121</f>
        <v>0</v>
      </c>
      <c r="G93" s="217">
        <v>1</v>
      </c>
      <c r="H93" s="218" t="e">
        <f t="shared" si="13"/>
        <v>#VALUE!</v>
      </c>
      <c r="I93" s="219">
        <f>'TECH DATA ENTRY'!Q121</f>
        <v>1E-4</v>
      </c>
      <c r="J93" s="219" t="str">
        <f>'TECH DATA ENTRY'!$G$26</f>
        <v>Digital</v>
      </c>
      <c r="K93" s="217">
        <v>1</v>
      </c>
      <c r="L93" s="218">
        <f t="shared" si="14"/>
        <v>2.8867513459481293E-5</v>
      </c>
      <c r="M93" s="219">
        <f>'TECH DATA ENTRY'!R121</f>
        <v>0</v>
      </c>
      <c r="N93" s="219" t="str">
        <f>'TECH DATA ENTRY'!$G$26</f>
        <v>Digital</v>
      </c>
      <c r="O93" s="217">
        <v>1</v>
      </c>
      <c r="P93" s="218">
        <f t="shared" si="15"/>
        <v>0</v>
      </c>
      <c r="Q93" s="220">
        <f>'TECH DATA ENTRY'!S121</f>
        <v>1.7399999999999999E-2</v>
      </c>
      <c r="R93" s="217">
        <v>1</v>
      </c>
      <c r="S93" s="218">
        <f t="shared" si="16"/>
        <v>8.6999999999999994E-3</v>
      </c>
      <c r="T93" s="220">
        <f>'TECH DATA ENTRY'!T121</f>
        <v>0</v>
      </c>
      <c r="U93" s="217">
        <v>1</v>
      </c>
      <c r="V93" s="218">
        <f t="shared" si="17"/>
        <v>0</v>
      </c>
      <c r="W93" s="220">
        <f>'TECH DATA ENTRY'!U121</f>
        <v>0</v>
      </c>
      <c r="X93" s="217">
        <v>1</v>
      </c>
      <c r="Y93" s="218">
        <f t="shared" si="18"/>
        <v>0</v>
      </c>
      <c r="Z93" s="220">
        <f>'TECH DATA ENTRY'!V121</f>
        <v>0</v>
      </c>
      <c r="AA93" s="217">
        <v>1</v>
      </c>
      <c r="AB93" s="218">
        <f t="shared" si="19"/>
        <v>0</v>
      </c>
      <c r="AC93" s="220">
        <f>'TECH DATA ENTRY'!W121</f>
        <v>0</v>
      </c>
      <c r="AD93" s="217">
        <v>1</v>
      </c>
      <c r="AE93" s="218">
        <f t="shared" si="20"/>
        <v>0</v>
      </c>
      <c r="AF93" s="220">
        <f>'TECH DATA ENTRY'!X121</f>
        <v>0</v>
      </c>
      <c r="AG93" s="217">
        <v>1</v>
      </c>
      <c r="AH93" s="218">
        <f t="shared" si="21"/>
        <v>0</v>
      </c>
      <c r="AI93" s="219" t="e">
        <f t="shared" si="22"/>
        <v>#VALUE!</v>
      </c>
      <c r="AJ93" s="221" t="str">
        <f>'TECH DATA ENTRY'!K121</f>
        <v/>
      </c>
      <c r="AK93" s="222" t="e">
        <f t="shared" si="23"/>
        <v>#VALUE!</v>
      </c>
      <c r="AL93" s="222" t="e">
        <f>VLOOKUP(AK93,'AUX TABLES'!A$2:B$29,2)</f>
        <v>#VALUE!</v>
      </c>
      <c r="AM93" s="223" t="str">
        <f>IF(OR(ISTEXT(B93)=TRUE,ISTEXT('TECH DATA ENTRY'!L121)=TRUE), "NA",AL93*AI93)</f>
        <v>NA</v>
      </c>
      <c r="AN93" s="79"/>
    </row>
    <row r="94" spans="1:40" s="80" customFormat="1" ht="20.149999999999999" customHeight="1">
      <c r="A94" s="216"/>
      <c r="B94" s="249">
        <f>'TECH DATA ENTRY'!B122</f>
        <v>0</v>
      </c>
      <c r="C94" s="217">
        <f>'TECH DATA ENTRY'!O122</f>
        <v>0</v>
      </c>
      <c r="D94" s="217">
        <v>1</v>
      </c>
      <c r="E94" s="218" t="e">
        <f t="shared" si="12"/>
        <v>#DIV/0!</v>
      </c>
      <c r="F94" s="217">
        <f>'TECH DATA ENTRY'!P122</f>
        <v>0</v>
      </c>
      <c r="G94" s="217">
        <v>1</v>
      </c>
      <c r="H94" s="218" t="e">
        <f t="shared" si="13"/>
        <v>#DIV/0!</v>
      </c>
      <c r="I94" s="219">
        <f>'TECH DATA ENTRY'!Q122</f>
        <v>0</v>
      </c>
      <c r="J94" s="219" t="str">
        <f>'TECH DATA ENTRY'!$G$26</f>
        <v>Digital</v>
      </c>
      <c r="K94" s="217">
        <v>1</v>
      </c>
      <c r="L94" s="218">
        <f t="shared" si="14"/>
        <v>0</v>
      </c>
      <c r="M94" s="219">
        <f>'TECH DATA ENTRY'!R122</f>
        <v>0</v>
      </c>
      <c r="N94" s="219" t="str">
        <f>'TECH DATA ENTRY'!$G$26</f>
        <v>Digital</v>
      </c>
      <c r="O94" s="217">
        <v>1</v>
      </c>
      <c r="P94" s="218">
        <f t="shared" si="15"/>
        <v>0</v>
      </c>
      <c r="Q94" s="220">
        <f>'TECH DATA ENTRY'!S122</f>
        <v>0</v>
      </c>
      <c r="R94" s="217">
        <v>1</v>
      </c>
      <c r="S94" s="218">
        <f t="shared" si="16"/>
        <v>0</v>
      </c>
      <c r="T94" s="220">
        <f>'TECH DATA ENTRY'!T122</f>
        <v>0</v>
      </c>
      <c r="U94" s="217">
        <v>1</v>
      </c>
      <c r="V94" s="218">
        <f t="shared" si="17"/>
        <v>0</v>
      </c>
      <c r="W94" s="220">
        <f>'TECH DATA ENTRY'!U122</f>
        <v>0</v>
      </c>
      <c r="X94" s="217">
        <v>1</v>
      </c>
      <c r="Y94" s="218">
        <f t="shared" si="18"/>
        <v>0</v>
      </c>
      <c r="Z94" s="220">
        <f>'TECH DATA ENTRY'!V122</f>
        <v>0</v>
      </c>
      <c r="AA94" s="217">
        <v>1</v>
      </c>
      <c r="AB94" s="218">
        <f t="shared" si="19"/>
        <v>0</v>
      </c>
      <c r="AC94" s="220">
        <f>'TECH DATA ENTRY'!W122</f>
        <v>0</v>
      </c>
      <c r="AD94" s="217">
        <v>1</v>
      </c>
      <c r="AE94" s="218">
        <f t="shared" si="20"/>
        <v>0</v>
      </c>
      <c r="AF94" s="220">
        <f>'TECH DATA ENTRY'!X122</f>
        <v>0</v>
      </c>
      <c r="AG94" s="217">
        <v>1</v>
      </c>
      <c r="AH94" s="218">
        <f t="shared" si="21"/>
        <v>0</v>
      </c>
      <c r="AI94" s="219" t="e">
        <f t="shared" si="22"/>
        <v>#DIV/0!</v>
      </c>
      <c r="AJ94" s="221">
        <f>'TECH DATA ENTRY'!K122</f>
        <v>0</v>
      </c>
      <c r="AK94" s="222" t="e">
        <f t="shared" si="23"/>
        <v>#DIV/0!</v>
      </c>
      <c r="AL94" s="222" t="e">
        <f>VLOOKUP(AK94,'AUX TABLES'!A$2:B$29,2)</f>
        <v>#DIV/0!</v>
      </c>
      <c r="AM94" s="223" t="e">
        <f>IF(OR(ISTEXT(B94)=TRUE,ISTEXT('TECH DATA ENTRY'!L122)=TRUE), "NA",AL94*AI94)</f>
        <v>#DIV/0!</v>
      </c>
      <c r="AN94" s="79"/>
    </row>
    <row r="95" spans="1:40" s="80" customFormat="1" ht="20.149999999999999" customHeight="1">
      <c r="A95" s="216"/>
      <c r="B95" s="249">
        <f>'TECH DATA ENTRY'!B123</f>
        <v>0</v>
      </c>
      <c r="C95" s="217">
        <f>'TECH DATA ENTRY'!O123</f>
        <v>0</v>
      </c>
      <c r="D95" s="217">
        <v>1</v>
      </c>
      <c r="E95" s="218" t="e">
        <f t="shared" si="12"/>
        <v>#DIV/0!</v>
      </c>
      <c r="F95" s="217">
        <f>'TECH DATA ENTRY'!P123</f>
        <v>0</v>
      </c>
      <c r="G95" s="217">
        <v>1</v>
      </c>
      <c r="H95" s="218" t="e">
        <f t="shared" si="13"/>
        <v>#DIV/0!</v>
      </c>
      <c r="I95" s="219">
        <f>'TECH DATA ENTRY'!Q123</f>
        <v>0</v>
      </c>
      <c r="J95" s="219" t="str">
        <f>'TECH DATA ENTRY'!$G$26</f>
        <v>Digital</v>
      </c>
      <c r="K95" s="217">
        <v>1</v>
      </c>
      <c r="L95" s="218">
        <f t="shared" si="14"/>
        <v>0</v>
      </c>
      <c r="M95" s="219">
        <f>'TECH DATA ENTRY'!R123</f>
        <v>0</v>
      </c>
      <c r="N95" s="219" t="str">
        <f>'TECH DATA ENTRY'!$G$26</f>
        <v>Digital</v>
      </c>
      <c r="O95" s="217">
        <v>1</v>
      </c>
      <c r="P95" s="218">
        <f t="shared" si="15"/>
        <v>0</v>
      </c>
      <c r="Q95" s="220">
        <f>'TECH DATA ENTRY'!S123</f>
        <v>0</v>
      </c>
      <c r="R95" s="217">
        <v>1</v>
      </c>
      <c r="S95" s="218">
        <f t="shared" si="16"/>
        <v>0</v>
      </c>
      <c r="T95" s="220">
        <f>'TECH DATA ENTRY'!T123</f>
        <v>0</v>
      </c>
      <c r="U95" s="217">
        <v>1</v>
      </c>
      <c r="V95" s="218">
        <f t="shared" si="17"/>
        <v>0</v>
      </c>
      <c r="W95" s="220">
        <f>'TECH DATA ENTRY'!U123</f>
        <v>0</v>
      </c>
      <c r="X95" s="217">
        <v>1</v>
      </c>
      <c r="Y95" s="218">
        <f t="shared" si="18"/>
        <v>0</v>
      </c>
      <c r="Z95" s="220">
        <f>'TECH DATA ENTRY'!V123</f>
        <v>0</v>
      </c>
      <c r="AA95" s="217">
        <v>1</v>
      </c>
      <c r="AB95" s="218">
        <f t="shared" si="19"/>
        <v>0</v>
      </c>
      <c r="AC95" s="220">
        <f>'TECH DATA ENTRY'!W123</f>
        <v>0</v>
      </c>
      <c r="AD95" s="217">
        <v>1</v>
      </c>
      <c r="AE95" s="218">
        <f t="shared" si="20"/>
        <v>0</v>
      </c>
      <c r="AF95" s="220">
        <f>'TECH DATA ENTRY'!X123</f>
        <v>0</v>
      </c>
      <c r="AG95" s="217">
        <v>1</v>
      </c>
      <c r="AH95" s="218">
        <f t="shared" si="21"/>
        <v>0</v>
      </c>
      <c r="AI95" s="219" t="e">
        <f t="shared" si="22"/>
        <v>#DIV/0!</v>
      </c>
      <c r="AJ95" s="221">
        <f>'TECH DATA ENTRY'!K123</f>
        <v>0</v>
      </c>
      <c r="AK95" s="222" t="e">
        <f t="shared" si="23"/>
        <v>#DIV/0!</v>
      </c>
      <c r="AL95" s="222" t="e">
        <f>VLOOKUP(AK95,'AUX TABLES'!A$2:B$29,2)</f>
        <v>#DIV/0!</v>
      </c>
      <c r="AM95" s="223" t="e">
        <f>IF(OR(ISTEXT(B95)=TRUE,ISTEXT('TECH DATA ENTRY'!L123)=TRUE), "NA",AL95*AI95)</f>
        <v>#DIV/0!</v>
      </c>
      <c r="AN95" s="79"/>
    </row>
    <row r="96" spans="1:40" s="80" customFormat="1" ht="20.149999999999999" customHeight="1">
      <c r="A96" s="216"/>
      <c r="B96" s="249">
        <f>'TECH DATA ENTRY'!B124</f>
        <v>0</v>
      </c>
      <c r="C96" s="217">
        <f>'TECH DATA ENTRY'!O124</f>
        <v>0</v>
      </c>
      <c r="D96" s="217">
        <v>1</v>
      </c>
      <c r="E96" s="218" t="e">
        <f t="shared" si="12"/>
        <v>#DIV/0!</v>
      </c>
      <c r="F96" s="217">
        <f>'TECH DATA ENTRY'!P124</f>
        <v>0</v>
      </c>
      <c r="G96" s="217">
        <v>1</v>
      </c>
      <c r="H96" s="218" t="e">
        <f t="shared" si="13"/>
        <v>#DIV/0!</v>
      </c>
      <c r="I96" s="219">
        <f>'TECH DATA ENTRY'!Q124</f>
        <v>0</v>
      </c>
      <c r="J96" s="219" t="str">
        <f>'TECH DATA ENTRY'!$G$26</f>
        <v>Digital</v>
      </c>
      <c r="K96" s="217">
        <v>1</v>
      </c>
      <c r="L96" s="218">
        <f t="shared" si="14"/>
        <v>0</v>
      </c>
      <c r="M96" s="219">
        <f>'TECH DATA ENTRY'!R124</f>
        <v>0</v>
      </c>
      <c r="N96" s="219" t="str">
        <f>'TECH DATA ENTRY'!$G$26</f>
        <v>Digital</v>
      </c>
      <c r="O96" s="217">
        <v>1</v>
      </c>
      <c r="P96" s="218">
        <f t="shared" si="15"/>
        <v>0</v>
      </c>
      <c r="Q96" s="220">
        <f>'TECH DATA ENTRY'!S124</f>
        <v>0</v>
      </c>
      <c r="R96" s="217">
        <v>1</v>
      </c>
      <c r="S96" s="218">
        <f t="shared" si="16"/>
        <v>0</v>
      </c>
      <c r="T96" s="220">
        <f>'TECH DATA ENTRY'!T124</f>
        <v>0</v>
      </c>
      <c r="U96" s="217">
        <v>1</v>
      </c>
      <c r="V96" s="218">
        <f t="shared" si="17"/>
        <v>0</v>
      </c>
      <c r="W96" s="220">
        <f>'TECH DATA ENTRY'!U124</f>
        <v>0</v>
      </c>
      <c r="X96" s="217">
        <v>1</v>
      </c>
      <c r="Y96" s="218">
        <f t="shared" si="18"/>
        <v>0</v>
      </c>
      <c r="Z96" s="220">
        <f>'TECH DATA ENTRY'!V124</f>
        <v>0</v>
      </c>
      <c r="AA96" s="217">
        <v>1</v>
      </c>
      <c r="AB96" s="218">
        <f t="shared" si="19"/>
        <v>0</v>
      </c>
      <c r="AC96" s="220">
        <f>'TECH DATA ENTRY'!W124</f>
        <v>0</v>
      </c>
      <c r="AD96" s="217">
        <v>1</v>
      </c>
      <c r="AE96" s="218">
        <f t="shared" si="20"/>
        <v>0</v>
      </c>
      <c r="AF96" s="220">
        <f>'TECH DATA ENTRY'!X124</f>
        <v>0</v>
      </c>
      <c r="AG96" s="217">
        <v>1</v>
      </c>
      <c r="AH96" s="218">
        <f t="shared" si="21"/>
        <v>0</v>
      </c>
      <c r="AI96" s="219" t="e">
        <f t="shared" si="22"/>
        <v>#DIV/0!</v>
      </c>
      <c r="AJ96" s="221">
        <f>'TECH DATA ENTRY'!K124</f>
        <v>0</v>
      </c>
      <c r="AK96" s="222" t="e">
        <f t="shared" si="23"/>
        <v>#DIV/0!</v>
      </c>
      <c r="AL96" s="222" t="e">
        <f>VLOOKUP(AK96,'AUX TABLES'!A$2:B$29,2)</f>
        <v>#DIV/0!</v>
      </c>
      <c r="AM96" s="223" t="e">
        <f>IF(OR(ISTEXT(B96)=TRUE,ISTEXT('TECH DATA ENTRY'!L124)=TRUE), "NA",AL96*AI96)</f>
        <v>#DIV/0!</v>
      </c>
      <c r="AN96" s="79"/>
    </row>
    <row r="97" spans="1:40" s="80" customFormat="1" ht="20.149999999999999" customHeight="1">
      <c r="A97" s="216"/>
      <c r="B97" s="249" t="str">
        <f>'TECH DATA ENTRY'!B125</f>
        <v>Nominal</v>
      </c>
      <c r="C97" s="217" t="str">
        <f>'TECH DATA ENTRY'!O125</f>
        <v>Uncertainty Components</v>
      </c>
      <c r="D97" s="217">
        <v>1</v>
      </c>
      <c r="E97" s="218" t="e">
        <f t="shared" si="12"/>
        <v>#VALUE!</v>
      </c>
      <c r="F97" s="217">
        <f>'TECH DATA ENTRY'!P125</f>
        <v>0</v>
      </c>
      <c r="G97" s="217">
        <v>1</v>
      </c>
      <c r="H97" s="218" t="e">
        <f t="shared" si="13"/>
        <v>#VALUE!</v>
      </c>
      <c r="I97" s="219">
        <f>'TECH DATA ENTRY'!Q125</f>
        <v>0</v>
      </c>
      <c r="J97" s="219" t="str">
        <f>'TECH DATA ENTRY'!$G$26</f>
        <v>Digital</v>
      </c>
      <c r="K97" s="217">
        <v>1</v>
      </c>
      <c r="L97" s="218">
        <f t="shared" si="14"/>
        <v>0</v>
      </c>
      <c r="M97" s="219">
        <f>'TECH DATA ENTRY'!R125</f>
        <v>0</v>
      </c>
      <c r="N97" s="219" t="str">
        <f>'TECH DATA ENTRY'!$G$26</f>
        <v>Digital</v>
      </c>
      <c r="O97" s="217">
        <v>1</v>
      </c>
      <c r="P97" s="218">
        <f t="shared" si="15"/>
        <v>0</v>
      </c>
      <c r="Q97" s="220">
        <f>'TECH DATA ENTRY'!S125</f>
        <v>0</v>
      </c>
      <c r="R97" s="217">
        <v>1</v>
      </c>
      <c r="S97" s="218">
        <f t="shared" si="16"/>
        <v>0</v>
      </c>
      <c r="T97" s="220">
        <f>'TECH DATA ENTRY'!T125</f>
        <v>0</v>
      </c>
      <c r="U97" s="217">
        <v>1</v>
      </c>
      <c r="V97" s="218">
        <f t="shared" si="17"/>
        <v>0</v>
      </c>
      <c r="W97" s="220">
        <f>'TECH DATA ENTRY'!U125</f>
        <v>0</v>
      </c>
      <c r="X97" s="217">
        <v>1</v>
      </c>
      <c r="Y97" s="218">
        <f t="shared" si="18"/>
        <v>0</v>
      </c>
      <c r="Z97" s="220">
        <f>'TECH DATA ENTRY'!V125</f>
        <v>0</v>
      </c>
      <c r="AA97" s="217">
        <v>1</v>
      </c>
      <c r="AB97" s="218">
        <f t="shared" si="19"/>
        <v>0</v>
      </c>
      <c r="AC97" s="220">
        <f>'TECH DATA ENTRY'!W125</f>
        <v>0</v>
      </c>
      <c r="AD97" s="217">
        <v>1</v>
      </c>
      <c r="AE97" s="218">
        <f t="shared" si="20"/>
        <v>0</v>
      </c>
      <c r="AF97" s="220">
        <f>'TECH DATA ENTRY'!X125</f>
        <v>0</v>
      </c>
      <c r="AG97" s="217">
        <v>1</v>
      </c>
      <c r="AH97" s="218">
        <f t="shared" si="21"/>
        <v>0</v>
      </c>
      <c r="AI97" s="219" t="e">
        <f t="shared" si="22"/>
        <v>#VALUE!</v>
      </c>
      <c r="AJ97" s="221" t="str">
        <f>'TECH DATA ENTRY'!K125</f>
        <v>n</v>
      </c>
      <c r="AK97" s="222" t="e">
        <f t="shared" si="23"/>
        <v>#VALUE!</v>
      </c>
      <c r="AL97" s="222" t="e">
        <f>VLOOKUP(AK97,'AUX TABLES'!A$2:B$29,2)</f>
        <v>#VALUE!</v>
      </c>
      <c r="AM97" s="223" t="str">
        <f>IF(OR(ISTEXT(B97)=TRUE,ISTEXT('TECH DATA ENTRY'!L125)=TRUE), "NA",AL97*AI97)</f>
        <v>NA</v>
      </c>
      <c r="AN97" s="79"/>
    </row>
    <row r="98" spans="1:40" s="80" customFormat="1" ht="20.149999999999999" customHeight="1">
      <c r="A98" s="216"/>
      <c r="B98" s="249">
        <f>'TECH DATA ENTRY'!B126</f>
        <v>0</v>
      </c>
      <c r="C98" s="217" t="str">
        <f>'TECH DATA ENTRY'!O126</f>
        <v>Stdev 1</v>
      </c>
      <c r="D98" s="217">
        <v>1</v>
      </c>
      <c r="E98" s="218" t="e">
        <f t="shared" si="12"/>
        <v>#VALUE!</v>
      </c>
      <c r="F98" s="217" t="str">
        <f>'TECH DATA ENTRY'!P126</f>
        <v>Stdev 2</v>
      </c>
      <c r="G98" s="217">
        <v>1</v>
      </c>
      <c r="H98" s="218" t="e">
        <f t="shared" si="13"/>
        <v>#VALUE!</v>
      </c>
      <c r="I98" s="219" t="str">
        <f>'TECH DATA ENTRY'!Q126</f>
        <v>Resolution 1</v>
      </c>
      <c r="J98" s="219" t="str">
        <f>'TECH DATA ENTRY'!$G$26</f>
        <v>Digital</v>
      </c>
      <c r="K98" s="217">
        <v>1</v>
      </c>
      <c r="L98" s="218" t="e">
        <f t="shared" si="14"/>
        <v>#VALUE!</v>
      </c>
      <c r="M98" s="219" t="str">
        <f>'TECH DATA ENTRY'!R126</f>
        <v>Resolution 2</v>
      </c>
      <c r="N98" s="219" t="str">
        <f>'TECH DATA ENTRY'!$G$26</f>
        <v>Digital</v>
      </c>
      <c r="O98" s="217">
        <v>1</v>
      </c>
      <c r="P98" s="218" t="e">
        <f t="shared" si="15"/>
        <v>#VALUE!</v>
      </c>
      <c r="Q98" s="220" t="str">
        <f>'TECH DATA ENTRY'!S126</f>
        <v>Scope Uncertainty</v>
      </c>
      <c r="R98" s="217">
        <v>1</v>
      </c>
      <c r="S98" s="218" t="e">
        <f t="shared" si="16"/>
        <v>#VALUE!</v>
      </c>
      <c r="T98" s="220" t="str">
        <f>'TECH DATA ENTRY'!T126</f>
        <v>STD 2 Cal Unc</v>
      </c>
      <c r="U98" s="217">
        <v>1</v>
      </c>
      <c r="V98" s="218" t="e">
        <f t="shared" si="17"/>
        <v>#VALUE!</v>
      </c>
      <c r="W98" s="220" t="str">
        <f>'TECH DATA ENTRY'!U126</f>
        <v>Others 1</v>
      </c>
      <c r="X98" s="217">
        <v>1</v>
      </c>
      <c r="Y98" s="218" t="e">
        <f t="shared" si="18"/>
        <v>#VALUE!</v>
      </c>
      <c r="Z98" s="220" t="str">
        <f>'TECH DATA ENTRY'!V126</f>
        <v>Others 2</v>
      </c>
      <c r="AA98" s="217">
        <v>1</v>
      </c>
      <c r="AB98" s="218" t="e">
        <f t="shared" si="19"/>
        <v>#VALUE!</v>
      </c>
      <c r="AC98" s="220" t="str">
        <f>'TECH DATA ENTRY'!W126</f>
        <v>Others 3</v>
      </c>
      <c r="AD98" s="217">
        <v>1</v>
      </c>
      <c r="AE98" s="218" t="e">
        <f t="shared" si="20"/>
        <v>#VALUE!</v>
      </c>
      <c r="AF98" s="220" t="str">
        <f>'TECH DATA ENTRY'!X126</f>
        <v>Others 4</v>
      </c>
      <c r="AG98" s="217">
        <v>1</v>
      </c>
      <c r="AH98" s="218" t="e">
        <f t="shared" si="21"/>
        <v>#VALUE!</v>
      </c>
      <c r="AI98" s="219" t="e">
        <f t="shared" si="22"/>
        <v>#VALUE!</v>
      </c>
      <c r="AJ98" s="221">
        <f>'TECH DATA ENTRY'!K126</f>
        <v>0</v>
      </c>
      <c r="AK98" s="222" t="e">
        <f t="shared" si="23"/>
        <v>#VALUE!</v>
      </c>
      <c r="AL98" s="222" t="e">
        <f>VLOOKUP(AK98,'AUX TABLES'!A$2:B$29,2)</f>
        <v>#VALUE!</v>
      </c>
      <c r="AM98" s="223" t="e">
        <f>IF(OR(ISTEXT(B98)=TRUE,ISTEXT('TECH DATA ENTRY'!L126)=TRUE), "NA",AL98*AI98)</f>
        <v>#VALUE!</v>
      </c>
      <c r="AN98" s="79"/>
    </row>
    <row r="99" spans="1:40" s="80" customFormat="1" ht="20.149999999999999" customHeight="1">
      <c r="A99" s="216"/>
      <c r="B99" s="249">
        <f>'TECH DATA ENTRY'!B127</f>
        <v>1000</v>
      </c>
      <c r="C99" s="217" t="str">
        <f>'TECH DATA ENTRY'!O127</f>
        <v/>
      </c>
      <c r="D99" s="217">
        <v>1</v>
      </c>
      <c r="E99" s="218" t="e">
        <f t="shared" si="12"/>
        <v>#VALUE!</v>
      </c>
      <c r="F99" s="217">
        <f>'TECH DATA ENTRY'!P127</f>
        <v>0</v>
      </c>
      <c r="G99" s="217">
        <v>1</v>
      </c>
      <c r="H99" s="218" t="e">
        <f t="shared" si="13"/>
        <v>#VALUE!</v>
      </c>
      <c r="I99" s="219">
        <f>'TECH DATA ENTRY'!Q127</f>
        <v>1E-3</v>
      </c>
      <c r="J99" s="219" t="str">
        <f>'TECH DATA ENTRY'!$G$26</f>
        <v>Digital</v>
      </c>
      <c r="K99" s="217">
        <v>1</v>
      </c>
      <c r="L99" s="218">
        <f t="shared" si="14"/>
        <v>2.886751345948129E-4</v>
      </c>
      <c r="M99" s="219">
        <f>'TECH DATA ENTRY'!R127</f>
        <v>0</v>
      </c>
      <c r="N99" s="219" t="str">
        <f>'TECH DATA ENTRY'!$G$26</f>
        <v>Digital</v>
      </c>
      <c r="O99" s="217">
        <v>1</v>
      </c>
      <c r="P99" s="218">
        <f t="shared" si="15"/>
        <v>0</v>
      </c>
      <c r="Q99" s="220">
        <f>'TECH DATA ENTRY'!S127</f>
        <v>7.3499999999999996E-2</v>
      </c>
      <c r="R99" s="217">
        <v>1</v>
      </c>
      <c r="S99" s="218">
        <f t="shared" si="16"/>
        <v>3.6749999999999998E-2</v>
      </c>
      <c r="T99" s="220">
        <f>'TECH DATA ENTRY'!T127</f>
        <v>0</v>
      </c>
      <c r="U99" s="217">
        <v>1</v>
      </c>
      <c r="V99" s="218">
        <f t="shared" si="17"/>
        <v>0</v>
      </c>
      <c r="W99" s="220">
        <f>'TECH DATA ENTRY'!U127</f>
        <v>0</v>
      </c>
      <c r="X99" s="217">
        <v>1</v>
      </c>
      <c r="Y99" s="218">
        <f t="shared" si="18"/>
        <v>0</v>
      </c>
      <c r="Z99" s="220">
        <f>'TECH DATA ENTRY'!V127</f>
        <v>0</v>
      </c>
      <c r="AA99" s="217">
        <v>1</v>
      </c>
      <c r="AB99" s="218">
        <f t="shared" si="19"/>
        <v>0</v>
      </c>
      <c r="AC99" s="220">
        <f>'TECH DATA ENTRY'!W127</f>
        <v>0</v>
      </c>
      <c r="AD99" s="217">
        <v>1</v>
      </c>
      <c r="AE99" s="218">
        <f t="shared" si="20"/>
        <v>0</v>
      </c>
      <c r="AF99" s="220">
        <f>'TECH DATA ENTRY'!X127</f>
        <v>0</v>
      </c>
      <c r="AG99" s="217">
        <v>1</v>
      </c>
      <c r="AH99" s="218">
        <f t="shared" si="21"/>
        <v>0</v>
      </c>
      <c r="AI99" s="219" t="e">
        <f t="shared" si="22"/>
        <v>#VALUE!</v>
      </c>
      <c r="AJ99" s="221" t="str">
        <f>'TECH DATA ENTRY'!K127</f>
        <v/>
      </c>
      <c r="AK99" s="222" t="e">
        <f t="shared" si="23"/>
        <v>#VALUE!</v>
      </c>
      <c r="AL99" s="222" t="e">
        <f>VLOOKUP(AK99,'AUX TABLES'!A$2:B$29,2)</f>
        <v>#VALUE!</v>
      </c>
      <c r="AM99" s="223" t="str">
        <f>IF(OR(ISTEXT(B99)=TRUE,ISTEXT('TECH DATA ENTRY'!L127)=TRUE), "NA",AL99*AI99)</f>
        <v>NA</v>
      </c>
      <c r="AN99" s="79"/>
    </row>
    <row r="100" spans="1:40" s="80" customFormat="1" ht="20.149999999999999" customHeight="1">
      <c r="A100" s="216"/>
      <c r="B100" s="249">
        <f>'TECH DATA ENTRY'!B128</f>
        <v>1000</v>
      </c>
      <c r="C100" s="217" t="str">
        <f>'TECH DATA ENTRY'!O128</f>
        <v/>
      </c>
      <c r="D100" s="217">
        <v>1</v>
      </c>
      <c r="E100" s="218" t="e">
        <f t="shared" si="12"/>
        <v>#VALUE!</v>
      </c>
      <c r="F100" s="217">
        <f>'TECH DATA ENTRY'!P128</f>
        <v>0</v>
      </c>
      <c r="G100" s="217">
        <v>1</v>
      </c>
      <c r="H100" s="218" t="e">
        <f t="shared" si="13"/>
        <v>#VALUE!</v>
      </c>
      <c r="I100" s="219">
        <f>'TECH DATA ENTRY'!Q128</f>
        <v>1E-3</v>
      </c>
      <c r="J100" s="219" t="str">
        <f>'TECH DATA ENTRY'!$G$26</f>
        <v>Digital</v>
      </c>
      <c r="K100" s="217">
        <v>1</v>
      </c>
      <c r="L100" s="218">
        <f t="shared" si="14"/>
        <v>2.886751345948129E-4</v>
      </c>
      <c r="M100" s="219">
        <f>'TECH DATA ENTRY'!R128</f>
        <v>0</v>
      </c>
      <c r="N100" s="219" t="str">
        <f>'TECH DATA ENTRY'!$G$26</f>
        <v>Digital</v>
      </c>
      <c r="O100" s="217">
        <v>1</v>
      </c>
      <c r="P100" s="218">
        <f t="shared" si="15"/>
        <v>0</v>
      </c>
      <c r="Q100" s="220">
        <f>'TECH DATA ENTRY'!S128</f>
        <v>7.3499999999999996E-2</v>
      </c>
      <c r="R100" s="217">
        <v>1</v>
      </c>
      <c r="S100" s="218">
        <f t="shared" si="16"/>
        <v>3.6749999999999998E-2</v>
      </c>
      <c r="T100" s="220">
        <f>'TECH DATA ENTRY'!T128</f>
        <v>0</v>
      </c>
      <c r="U100" s="217">
        <v>1</v>
      </c>
      <c r="V100" s="218">
        <f t="shared" si="17"/>
        <v>0</v>
      </c>
      <c r="W100" s="220">
        <f>'TECH DATA ENTRY'!U128</f>
        <v>0</v>
      </c>
      <c r="X100" s="217">
        <v>1</v>
      </c>
      <c r="Y100" s="218">
        <f t="shared" si="18"/>
        <v>0</v>
      </c>
      <c r="Z100" s="220">
        <f>'TECH DATA ENTRY'!V128</f>
        <v>0</v>
      </c>
      <c r="AA100" s="217">
        <v>1</v>
      </c>
      <c r="AB100" s="218">
        <f t="shared" si="19"/>
        <v>0</v>
      </c>
      <c r="AC100" s="220">
        <f>'TECH DATA ENTRY'!W128</f>
        <v>0</v>
      </c>
      <c r="AD100" s="217">
        <v>1</v>
      </c>
      <c r="AE100" s="218">
        <f t="shared" si="20"/>
        <v>0</v>
      </c>
      <c r="AF100" s="220">
        <f>'TECH DATA ENTRY'!X128</f>
        <v>0</v>
      </c>
      <c r="AG100" s="217">
        <v>1</v>
      </c>
      <c r="AH100" s="218">
        <f t="shared" si="21"/>
        <v>0</v>
      </c>
      <c r="AI100" s="219" t="e">
        <f t="shared" si="22"/>
        <v>#VALUE!</v>
      </c>
      <c r="AJ100" s="221" t="str">
        <f>'TECH DATA ENTRY'!K128</f>
        <v/>
      </c>
      <c r="AK100" s="222" t="e">
        <f t="shared" si="23"/>
        <v>#VALUE!</v>
      </c>
      <c r="AL100" s="222" t="e">
        <f>VLOOKUP(AK100,'AUX TABLES'!A$2:B$29,2)</f>
        <v>#VALUE!</v>
      </c>
      <c r="AM100" s="223" t="str">
        <f>IF(OR(ISTEXT(B100)=TRUE,ISTEXT('TECH DATA ENTRY'!L128)=TRUE), "NA",AL100*AI100)</f>
        <v>NA</v>
      </c>
      <c r="AN100" s="79"/>
    </row>
    <row r="101" spans="1:40" s="80" customFormat="1" ht="20.149999999999999" customHeight="1">
      <c r="A101" s="216"/>
      <c r="B101" s="249">
        <f>'TECH DATA ENTRY'!B129</f>
        <v>1000</v>
      </c>
      <c r="C101" s="217" t="str">
        <f>'TECH DATA ENTRY'!O129</f>
        <v/>
      </c>
      <c r="D101" s="217">
        <v>1</v>
      </c>
      <c r="E101" s="218" t="e">
        <f t="shared" si="12"/>
        <v>#VALUE!</v>
      </c>
      <c r="F101" s="217">
        <f>'TECH DATA ENTRY'!P129</f>
        <v>0</v>
      </c>
      <c r="G101" s="217">
        <v>1</v>
      </c>
      <c r="H101" s="218" t="e">
        <f t="shared" si="13"/>
        <v>#VALUE!</v>
      </c>
      <c r="I101" s="219">
        <f>'TECH DATA ENTRY'!Q129</f>
        <v>1E-3</v>
      </c>
      <c r="J101" s="219" t="str">
        <f>'TECH DATA ENTRY'!$G$26</f>
        <v>Digital</v>
      </c>
      <c r="K101" s="217">
        <v>1</v>
      </c>
      <c r="L101" s="218">
        <f t="shared" si="14"/>
        <v>2.886751345948129E-4</v>
      </c>
      <c r="M101" s="219">
        <f>'TECH DATA ENTRY'!R129</f>
        <v>0</v>
      </c>
      <c r="N101" s="219" t="str">
        <f>'TECH DATA ENTRY'!$G$26</f>
        <v>Digital</v>
      </c>
      <c r="O101" s="217">
        <v>1</v>
      </c>
      <c r="P101" s="218">
        <f t="shared" si="15"/>
        <v>0</v>
      </c>
      <c r="Q101" s="220">
        <f>'TECH DATA ENTRY'!S129</f>
        <v>0.156</v>
      </c>
      <c r="R101" s="217">
        <v>1</v>
      </c>
      <c r="S101" s="218">
        <f t="shared" si="16"/>
        <v>7.8E-2</v>
      </c>
      <c r="T101" s="220">
        <f>'TECH DATA ENTRY'!T129</f>
        <v>0</v>
      </c>
      <c r="U101" s="217">
        <v>1</v>
      </c>
      <c r="V101" s="218">
        <f t="shared" si="17"/>
        <v>0</v>
      </c>
      <c r="W101" s="220">
        <f>'TECH DATA ENTRY'!U129</f>
        <v>0</v>
      </c>
      <c r="X101" s="217">
        <v>1</v>
      </c>
      <c r="Y101" s="218">
        <f t="shared" si="18"/>
        <v>0</v>
      </c>
      <c r="Z101" s="220">
        <f>'TECH DATA ENTRY'!V129</f>
        <v>0</v>
      </c>
      <c r="AA101" s="217">
        <v>1</v>
      </c>
      <c r="AB101" s="218">
        <f t="shared" si="19"/>
        <v>0</v>
      </c>
      <c r="AC101" s="220">
        <f>'TECH DATA ENTRY'!W129</f>
        <v>0</v>
      </c>
      <c r="AD101" s="217">
        <v>1</v>
      </c>
      <c r="AE101" s="218">
        <f t="shared" si="20"/>
        <v>0</v>
      </c>
      <c r="AF101" s="220">
        <f>'TECH DATA ENTRY'!X129</f>
        <v>0</v>
      </c>
      <c r="AG101" s="217">
        <v>1</v>
      </c>
      <c r="AH101" s="218">
        <f t="shared" si="21"/>
        <v>0</v>
      </c>
      <c r="AI101" s="219" t="e">
        <f t="shared" si="22"/>
        <v>#VALUE!</v>
      </c>
      <c r="AJ101" s="221" t="str">
        <f>'TECH DATA ENTRY'!K129</f>
        <v/>
      </c>
      <c r="AK101" s="222" t="e">
        <f t="shared" si="23"/>
        <v>#VALUE!</v>
      </c>
      <c r="AL101" s="222" t="e">
        <f>VLOOKUP(AK101,'AUX TABLES'!A$2:B$29,2)</f>
        <v>#VALUE!</v>
      </c>
      <c r="AM101" s="223" t="str">
        <f>IF(OR(ISTEXT(B101)=TRUE,ISTEXT('TECH DATA ENTRY'!L129)=TRUE), "NA",AL101*AI101)</f>
        <v>NA</v>
      </c>
      <c r="AN101" s="79"/>
    </row>
    <row r="102" spans="1:40" s="80" customFormat="1" ht="20.149999999999999" customHeight="1">
      <c r="A102" s="216"/>
      <c r="B102" s="249">
        <f>'TECH DATA ENTRY'!B130</f>
        <v>320</v>
      </c>
      <c r="C102" s="217" t="str">
        <f>'TECH DATA ENTRY'!O130</f>
        <v/>
      </c>
      <c r="D102" s="217">
        <v>1</v>
      </c>
      <c r="E102" s="218" t="e">
        <f t="shared" si="12"/>
        <v>#VALUE!</v>
      </c>
      <c r="F102" s="217">
        <f>'TECH DATA ENTRY'!P130</f>
        <v>0</v>
      </c>
      <c r="G102" s="217">
        <v>1</v>
      </c>
      <c r="H102" s="218" t="e">
        <f t="shared" si="13"/>
        <v>#VALUE!</v>
      </c>
      <c r="I102" s="219">
        <f>'TECH DATA ENTRY'!Q130</f>
        <v>1E-3</v>
      </c>
      <c r="J102" s="219" t="str">
        <f>'TECH DATA ENTRY'!$G$26</f>
        <v>Digital</v>
      </c>
      <c r="K102" s="217">
        <v>1</v>
      </c>
      <c r="L102" s="218">
        <f t="shared" si="14"/>
        <v>2.886751345948129E-4</v>
      </c>
      <c r="M102" s="219">
        <f>'TECH DATA ENTRY'!R130</f>
        <v>0</v>
      </c>
      <c r="N102" s="219" t="str">
        <f>'TECH DATA ENTRY'!$G$26</f>
        <v>Digital</v>
      </c>
      <c r="O102" s="217">
        <v>1</v>
      </c>
      <c r="P102" s="218">
        <f t="shared" si="15"/>
        <v>0</v>
      </c>
      <c r="Q102" s="220">
        <f>'TECH DATA ENTRY'!S130</f>
        <v>5.3999999999999992E-2</v>
      </c>
      <c r="R102" s="217">
        <v>1</v>
      </c>
      <c r="S102" s="218">
        <f t="shared" si="16"/>
        <v>2.6999999999999996E-2</v>
      </c>
      <c r="T102" s="220">
        <f>'TECH DATA ENTRY'!T130</f>
        <v>0</v>
      </c>
      <c r="U102" s="217">
        <v>1</v>
      </c>
      <c r="V102" s="218">
        <f t="shared" si="17"/>
        <v>0</v>
      </c>
      <c r="W102" s="220">
        <f>'TECH DATA ENTRY'!U130</f>
        <v>0</v>
      </c>
      <c r="X102" s="217">
        <v>1</v>
      </c>
      <c r="Y102" s="218">
        <f t="shared" si="18"/>
        <v>0</v>
      </c>
      <c r="Z102" s="220">
        <f>'TECH DATA ENTRY'!V130</f>
        <v>0</v>
      </c>
      <c r="AA102" s="217">
        <v>1</v>
      </c>
      <c r="AB102" s="218">
        <f t="shared" si="19"/>
        <v>0</v>
      </c>
      <c r="AC102" s="220">
        <f>'TECH DATA ENTRY'!W130</f>
        <v>0</v>
      </c>
      <c r="AD102" s="217">
        <v>1</v>
      </c>
      <c r="AE102" s="218">
        <f t="shared" si="20"/>
        <v>0</v>
      </c>
      <c r="AF102" s="220">
        <f>'TECH DATA ENTRY'!X130</f>
        <v>0</v>
      </c>
      <c r="AG102" s="217">
        <v>1</v>
      </c>
      <c r="AH102" s="218">
        <f t="shared" si="21"/>
        <v>0</v>
      </c>
      <c r="AI102" s="219" t="e">
        <f t="shared" si="22"/>
        <v>#VALUE!</v>
      </c>
      <c r="AJ102" s="221" t="str">
        <f>'TECH DATA ENTRY'!K130</f>
        <v/>
      </c>
      <c r="AK102" s="222" t="e">
        <f t="shared" si="23"/>
        <v>#VALUE!</v>
      </c>
      <c r="AL102" s="222" t="e">
        <f>VLOOKUP(AK102,'AUX TABLES'!A$2:B$29,2)</f>
        <v>#VALUE!</v>
      </c>
      <c r="AM102" s="223" t="str">
        <f>IF(OR(ISTEXT(B102)=TRUE,ISTEXT('TECH DATA ENTRY'!L130)=TRUE), "NA",AL102*AI102)</f>
        <v>NA</v>
      </c>
      <c r="AN102" s="79"/>
    </row>
    <row r="103" spans="1:40" s="80" customFormat="1" ht="20.149999999999999" customHeight="1">
      <c r="A103" s="216"/>
      <c r="B103" s="249">
        <f>'TECH DATA ENTRY'!B131</f>
        <v>320</v>
      </c>
      <c r="C103" s="217" t="str">
        <f>'TECH DATA ENTRY'!O131</f>
        <v/>
      </c>
      <c r="D103" s="217">
        <v>1</v>
      </c>
      <c r="E103" s="218" t="e">
        <f t="shared" si="12"/>
        <v>#VALUE!</v>
      </c>
      <c r="F103" s="217">
        <f>'TECH DATA ENTRY'!P131</f>
        <v>0</v>
      </c>
      <c r="G103" s="217">
        <v>1</v>
      </c>
      <c r="H103" s="218" t="e">
        <f t="shared" si="13"/>
        <v>#VALUE!</v>
      </c>
      <c r="I103" s="219">
        <f>'TECH DATA ENTRY'!Q131</f>
        <v>1E-3</v>
      </c>
      <c r="J103" s="219" t="str">
        <f>'TECH DATA ENTRY'!$G$26</f>
        <v>Digital</v>
      </c>
      <c r="K103" s="217">
        <v>1</v>
      </c>
      <c r="L103" s="218">
        <f t="shared" si="14"/>
        <v>2.886751345948129E-4</v>
      </c>
      <c r="M103" s="219">
        <f>'TECH DATA ENTRY'!R131</f>
        <v>0</v>
      </c>
      <c r="N103" s="219" t="str">
        <f>'TECH DATA ENTRY'!$G$26</f>
        <v>Digital</v>
      </c>
      <c r="O103" s="217">
        <v>1</v>
      </c>
      <c r="P103" s="218">
        <f t="shared" si="15"/>
        <v>0</v>
      </c>
      <c r="Q103" s="220">
        <f>'TECH DATA ENTRY'!S131</f>
        <v>0.15084</v>
      </c>
      <c r="R103" s="217">
        <v>1</v>
      </c>
      <c r="S103" s="218">
        <f t="shared" si="16"/>
        <v>7.5420000000000001E-2</v>
      </c>
      <c r="T103" s="220">
        <f>'TECH DATA ENTRY'!T131</f>
        <v>0.12620000000000001</v>
      </c>
      <c r="U103" s="217">
        <v>1</v>
      </c>
      <c r="V103" s="218">
        <f t="shared" si="17"/>
        <v>7.2861603971730776E-2</v>
      </c>
      <c r="W103" s="220">
        <f>'TECH DATA ENTRY'!U131</f>
        <v>0</v>
      </c>
      <c r="X103" s="217">
        <v>1</v>
      </c>
      <c r="Y103" s="218">
        <f t="shared" si="18"/>
        <v>0</v>
      </c>
      <c r="Z103" s="220">
        <f>'TECH DATA ENTRY'!V131</f>
        <v>0</v>
      </c>
      <c r="AA103" s="217">
        <v>1</v>
      </c>
      <c r="AB103" s="218">
        <f t="shared" si="19"/>
        <v>0</v>
      </c>
      <c r="AC103" s="220">
        <f>'TECH DATA ENTRY'!W131</f>
        <v>0</v>
      </c>
      <c r="AD103" s="217">
        <v>1</v>
      </c>
      <c r="AE103" s="218">
        <f t="shared" si="20"/>
        <v>0</v>
      </c>
      <c r="AF103" s="220">
        <f>'TECH DATA ENTRY'!X131</f>
        <v>0</v>
      </c>
      <c r="AG103" s="217">
        <v>1</v>
      </c>
      <c r="AH103" s="218">
        <f t="shared" si="21"/>
        <v>0</v>
      </c>
      <c r="AI103" s="219" t="e">
        <f t="shared" si="22"/>
        <v>#VALUE!</v>
      </c>
      <c r="AJ103" s="221" t="str">
        <f>'TECH DATA ENTRY'!K131</f>
        <v/>
      </c>
      <c r="AK103" s="222" t="e">
        <f t="shared" si="23"/>
        <v>#VALUE!</v>
      </c>
      <c r="AL103" s="222" t="e">
        <f>VLOOKUP(AK103,'AUX TABLES'!A$2:B$29,2)</f>
        <v>#VALUE!</v>
      </c>
      <c r="AM103" s="223" t="str">
        <f>IF(OR(ISTEXT(B103)=TRUE,ISTEXT('TECH DATA ENTRY'!L131)=TRUE), "NA",AL103*AI103)</f>
        <v>NA</v>
      </c>
      <c r="AN103" s="79"/>
    </row>
    <row r="104" spans="1:40" s="80" customFormat="1" ht="20.149999999999999" customHeight="1">
      <c r="A104" s="216"/>
      <c r="B104" s="249">
        <f>'TECH DATA ENTRY'!B132</f>
        <v>320</v>
      </c>
      <c r="C104" s="217" t="str">
        <f>'TECH DATA ENTRY'!O132</f>
        <v/>
      </c>
      <c r="D104" s="217">
        <v>1</v>
      </c>
      <c r="E104" s="218" t="e">
        <f t="shared" si="12"/>
        <v>#VALUE!</v>
      </c>
      <c r="F104" s="217">
        <f>'TECH DATA ENTRY'!P132</f>
        <v>0</v>
      </c>
      <c r="G104" s="217">
        <v>1</v>
      </c>
      <c r="H104" s="218" t="e">
        <f t="shared" si="13"/>
        <v>#VALUE!</v>
      </c>
      <c r="I104" s="219">
        <f>'TECH DATA ENTRY'!Q132</f>
        <v>1E-3</v>
      </c>
      <c r="J104" s="219" t="str">
        <f>'TECH DATA ENTRY'!$G$26</f>
        <v>Digital</v>
      </c>
      <c r="K104" s="217">
        <v>1</v>
      </c>
      <c r="L104" s="218">
        <f t="shared" si="14"/>
        <v>2.886751345948129E-4</v>
      </c>
      <c r="M104" s="219">
        <f>'TECH DATA ENTRY'!R132</f>
        <v>0</v>
      </c>
      <c r="N104" s="219" t="str">
        <f>'TECH DATA ENTRY'!$G$26</f>
        <v>Digital</v>
      </c>
      <c r="O104" s="217">
        <v>1</v>
      </c>
      <c r="P104" s="218">
        <f t="shared" si="15"/>
        <v>0</v>
      </c>
      <c r="Q104" s="220">
        <f>'TECH DATA ENTRY'!S132</f>
        <v>0.55700000000000005</v>
      </c>
      <c r="R104" s="217">
        <v>1</v>
      </c>
      <c r="S104" s="218">
        <f t="shared" si="16"/>
        <v>0.27850000000000003</v>
      </c>
      <c r="T104" s="220">
        <f>'TECH DATA ENTRY'!T132</f>
        <v>0.12620000000000001</v>
      </c>
      <c r="U104" s="217">
        <v>1</v>
      </c>
      <c r="V104" s="218">
        <f t="shared" si="17"/>
        <v>7.2861603971730776E-2</v>
      </c>
      <c r="W104" s="220">
        <f>'TECH DATA ENTRY'!U132</f>
        <v>0</v>
      </c>
      <c r="X104" s="217">
        <v>1</v>
      </c>
      <c r="Y104" s="218">
        <f t="shared" si="18"/>
        <v>0</v>
      </c>
      <c r="Z104" s="220">
        <f>'TECH DATA ENTRY'!V132</f>
        <v>0</v>
      </c>
      <c r="AA104" s="217">
        <v>1</v>
      </c>
      <c r="AB104" s="218">
        <f t="shared" si="19"/>
        <v>0</v>
      </c>
      <c r="AC104" s="220">
        <f>'TECH DATA ENTRY'!W132</f>
        <v>0</v>
      </c>
      <c r="AD104" s="217">
        <v>1</v>
      </c>
      <c r="AE104" s="218">
        <f t="shared" si="20"/>
        <v>0</v>
      </c>
      <c r="AF104" s="220">
        <f>'TECH DATA ENTRY'!X132</f>
        <v>0</v>
      </c>
      <c r="AG104" s="217">
        <v>1</v>
      </c>
      <c r="AH104" s="218">
        <f t="shared" si="21"/>
        <v>0</v>
      </c>
      <c r="AI104" s="219" t="e">
        <f t="shared" si="22"/>
        <v>#VALUE!</v>
      </c>
      <c r="AJ104" s="221" t="str">
        <f>'TECH DATA ENTRY'!K132</f>
        <v/>
      </c>
      <c r="AK104" s="222" t="e">
        <f t="shared" si="23"/>
        <v>#VALUE!</v>
      </c>
      <c r="AL104" s="222" t="e">
        <f>VLOOKUP(AK104,'AUX TABLES'!A$2:B$29,2)</f>
        <v>#VALUE!</v>
      </c>
      <c r="AM104" s="223" t="str">
        <f>IF(OR(ISTEXT(B104)=TRUE,ISTEXT('TECH DATA ENTRY'!L132)=TRUE), "NA",AL104*AI104)</f>
        <v>NA</v>
      </c>
      <c r="AN104" s="79"/>
    </row>
    <row r="105" spans="1:40" s="80" customFormat="1" ht="20.149999999999999" customHeight="1">
      <c r="A105" s="216"/>
      <c r="B105" s="249">
        <f>'TECH DATA ENTRY'!B133</f>
        <v>0</v>
      </c>
      <c r="C105" s="217">
        <f>'TECH DATA ENTRY'!O133</f>
        <v>0</v>
      </c>
      <c r="D105" s="217">
        <v>1</v>
      </c>
      <c r="E105" s="218" t="e">
        <f t="shared" si="12"/>
        <v>#DIV/0!</v>
      </c>
      <c r="F105" s="217">
        <f>'TECH DATA ENTRY'!P133</f>
        <v>0</v>
      </c>
      <c r="G105" s="217">
        <v>1</v>
      </c>
      <c r="H105" s="218" t="e">
        <f t="shared" si="13"/>
        <v>#DIV/0!</v>
      </c>
      <c r="I105" s="219">
        <f>'TECH DATA ENTRY'!Q133</f>
        <v>0</v>
      </c>
      <c r="J105" s="219" t="str">
        <f>'TECH DATA ENTRY'!$G$26</f>
        <v>Digital</v>
      </c>
      <c r="K105" s="217">
        <v>1</v>
      </c>
      <c r="L105" s="218">
        <f t="shared" si="14"/>
        <v>0</v>
      </c>
      <c r="M105" s="219">
        <f>'TECH DATA ENTRY'!R133</f>
        <v>0</v>
      </c>
      <c r="N105" s="219" t="str">
        <f>'TECH DATA ENTRY'!$G$26</f>
        <v>Digital</v>
      </c>
      <c r="O105" s="217">
        <v>1</v>
      </c>
      <c r="P105" s="218">
        <f t="shared" si="15"/>
        <v>0</v>
      </c>
      <c r="Q105" s="220">
        <f>'TECH DATA ENTRY'!S133</f>
        <v>0</v>
      </c>
      <c r="R105" s="217">
        <v>1</v>
      </c>
      <c r="S105" s="218">
        <f t="shared" si="16"/>
        <v>0</v>
      </c>
      <c r="T105" s="220">
        <f>'TECH DATA ENTRY'!T133</f>
        <v>0</v>
      </c>
      <c r="U105" s="217">
        <v>1</v>
      </c>
      <c r="V105" s="218">
        <f t="shared" si="17"/>
        <v>0</v>
      </c>
      <c r="W105" s="220">
        <f>'TECH DATA ENTRY'!U133</f>
        <v>0</v>
      </c>
      <c r="X105" s="217">
        <v>1</v>
      </c>
      <c r="Y105" s="218">
        <f t="shared" si="18"/>
        <v>0</v>
      </c>
      <c r="Z105" s="220">
        <f>'TECH DATA ENTRY'!V133</f>
        <v>0</v>
      </c>
      <c r="AA105" s="217">
        <v>1</v>
      </c>
      <c r="AB105" s="218">
        <f t="shared" si="19"/>
        <v>0</v>
      </c>
      <c r="AC105" s="220">
        <f>'TECH DATA ENTRY'!W133</f>
        <v>0</v>
      </c>
      <c r="AD105" s="217">
        <v>1</v>
      </c>
      <c r="AE105" s="218">
        <f t="shared" si="20"/>
        <v>0</v>
      </c>
      <c r="AF105" s="220">
        <f>'TECH DATA ENTRY'!X133</f>
        <v>0</v>
      </c>
      <c r="AG105" s="217">
        <v>1</v>
      </c>
      <c r="AH105" s="218">
        <f t="shared" si="21"/>
        <v>0</v>
      </c>
      <c r="AI105" s="219" t="e">
        <f t="shared" si="22"/>
        <v>#DIV/0!</v>
      </c>
      <c r="AJ105" s="221">
        <f>'TECH DATA ENTRY'!K133</f>
        <v>0</v>
      </c>
      <c r="AK105" s="222" t="e">
        <f t="shared" si="23"/>
        <v>#DIV/0!</v>
      </c>
      <c r="AL105" s="222" t="e">
        <f>VLOOKUP(AK105,'AUX TABLES'!A$2:B$29,2)</f>
        <v>#DIV/0!</v>
      </c>
      <c r="AM105" s="223" t="e">
        <f>IF(OR(ISTEXT(B105)=TRUE,ISTEXT('TECH DATA ENTRY'!L133)=TRUE), "NA",AL105*AI105)</f>
        <v>#DIV/0!</v>
      </c>
      <c r="AN105" s="79"/>
    </row>
    <row r="106" spans="1:40" s="80" customFormat="1" ht="20.149999999999999" customHeight="1">
      <c r="A106" s="216"/>
      <c r="B106" s="249">
        <f>'TECH DATA ENTRY'!B134</f>
        <v>0</v>
      </c>
      <c r="C106" s="217">
        <f>'TECH DATA ENTRY'!O134</f>
        <v>0</v>
      </c>
      <c r="D106" s="217">
        <v>1</v>
      </c>
      <c r="E106" s="218" t="e">
        <f t="shared" si="12"/>
        <v>#DIV/0!</v>
      </c>
      <c r="F106" s="217">
        <f>'TECH DATA ENTRY'!P134</f>
        <v>0</v>
      </c>
      <c r="G106" s="217">
        <v>1</v>
      </c>
      <c r="H106" s="218" t="e">
        <f t="shared" si="13"/>
        <v>#DIV/0!</v>
      </c>
      <c r="I106" s="219">
        <f>'TECH DATA ENTRY'!Q134</f>
        <v>0</v>
      </c>
      <c r="J106" s="219" t="str">
        <f>'TECH DATA ENTRY'!$G$26</f>
        <v>Digital</v>
      </c>
      <c r="K106" s="217">
        <v>1</v>
      </c>
      <c r="L106" s="218">
        <f t="shared" si="14"/>
        <v>0</v>
      </c>
      <c r="M106" s="219">
        <f>'TECH DATA ENTRY'!R134</f>
        <v>0</v>
      </c>
      <c r="N106" s="219" t="str">
        <f>'TECH DATA ENTRY'!$G$26</f>
        <v>Digital</v>
      </c>
      <c r="O106" s="217">
        <v>1</v>
      </c>
      <c r="P106" s="218">
        <f t="shared" si="15"/>
        <v>0</v>
      </c>
      <c r="Q106" s="220">
        <f>'TECH DATA ENTRY'!S134</f>
        <v>0</v>
      </c>
      <c r="R106" s="217">
        <v>1</v>
      </c>
      <c r="S106" s="218">
        <f t="shared" si="16"/>
        <v>0</v>
      </c>
      <c r="T106" s="220">
        <f>'TECH DATA ENTRY'!T134</f>
        <v>0</v>
      </c>
      <c r="U106" s="217">
        <v>1</v>
      </c>
      <c r="V106" s="218">
        <f t="shared" si="17"/>
        <v>0</v>
      </c>
      <c r="W106" s="220">
        <f>'TECH DATA ENTRY'!U134</f>
        <v>0</v>
      </c>
      <c r="X106" s="217">
        <v>1</v>
      </c>
      <c r="Y106" s="218">
        <f t="shared" si="18"/>
        <v>0</v>
      </c>
      <c r="Z106" s="220">
        <f>'TECH DATA ENTRY'!V134</f>
        <v>0</v>
      </c>
      <c r="AA106" s="217">
        <v>1</v>
      </c>
      <c r="AB106" s="218">
        <f t="shared" si="19"/>
        <v>0</v>
      </c>
      <c r="AC106" s="220">
        <f>'TECH DATA ENTRY'!W134</f>
        <v>0</v>
      </c>
      <c r="AD106" s="217">
        <v>1</v>
      </c>
      <c r="AE106" s="218">
        <f t="shared" si="20"/>
        <v>0</v>
      </c>
      <c r="AF106" s="220">
        <f>'TECH DATA ENTRY'!X134</f>
        <v>0</v>
      </c>
      <c r="AG106" s="217">
        <v>1</v>
      </c>
      <c r="AH106" s="218">
        <f t="shared" si="21"/>
        <v>0</v>
      </c>
      <c r="AI106" s="219" t="e">
        <f t="shared" si="22"/>
        <v>#DIV/0!</v>
      </c>
      <c r="AJ106" s="221">
        <f>'TECH DATA ENTRY'!K134</f>
        <v>0</v>
      </c>
      <c r="AK106" s="222" t="e">
        <f t="shared" si="23"/>
        <v>#DIV/0!</v>
      </c>
      <c r="AL106" s="222" t="e">
        <f>VLOOKUP(AK106,'AUX TABLES'!A$2:B$29,2)</f>
        <v>#DIV/0!</v>
      </c>
      <c r="AM106" s="223" t="e">
        <f>IF(OR(ISTEXT(B106)=TRUE,ISTEXT('TECH DATA ENTRY'!L134)=TRUE), "NA",AL106*AI106)</f>
        <v>#DIV/0!</v>
      </c>
      <c r="AN106" s="79"/>
    </row>
    <row r="107" spans="1:40" s="80" customFormat="1" ht="20.149999999999999" customHeight="1">
      <c r="A107" s="216"/>
      <c r="B107" s="249">
        <f>'TECH DATA ENTRY'!B135</f>
        <v>0</v>
      </c>
      <c r="C107" s="217">
        <f>'TECH DATA ENTRY'!O135</f>
        <v>0</v>
      </c>
      <c r="D107" s="217">
        <v>1</v>
      </c>
      <c r="E107" s="218" t="e">
        <f t="shared" si="12"/>
        <v>#DIV/0!</v>
      </c>
      <c r="F107" s="217">
        <f>'TECH DATA ENTRY'!P135</f>
        <v>0</v>
      </c>
      <c r="G107" s="217">
        <v>1</v>
      </c>
      <c r="H107" s="218" t="e">
        <f t="shared" si="13"/>
        <v>#DIV/0!</v>
      </c>
      <c r="I107" s="219">
        <f>'TECH DATA ENTRY'!Q135</f>
        <v>0</v>
      </c>
      <c r="J107" s="219" t="str">
        <f>'TECH DATA ENTRY'!$G$26</f>
        <v>Digital</v>
      </c>
      <c r="K107" s="217">
        <v>1</v>
      </c>
      <c r="L107" s="218">
        <f t="shared" si="14"/>
        <v>0</v>
      </c>
      <c r="M107" s="219">
        <f>'TECH DATA ENTRY'!R135</f>
        <v>0</v>
      </c>
      <c r="N107" s="219" t="str">
        <f>'TECH DATA ENTRY'!$G$26</f>
        <v>Digital</v>
      </c>
      <c r="O107" s="217">
        <v>1</v>
      </c>
      <c r="P107" s="218">
        <f t="shared" si="15"/>
        <v>0</v>
      </c>
      <c r="Q107" s="220">
        <f>'TECH DATA ENTRY'!S135</f>
        <v>0</v>
      </c>
      <c r="R107" s="217">
        <v>1</v>
      </c>
      <c r="S107" s="218">
        <f t="shared" si="16"/>
        <v>0</v>
      </c>
      <c r="T107" s="220">
        <f>'TECH DATA ENTRY'!T135</f>
        <v>0</v>
      </c>
      <c r="U107" s="217">
        <v>1</v>
      </c>
      <c r="V107" s="218">
        <f t="shared" si="17"/>
        <v>0</v>
      </c>
      <c r="W107" s="220">
        <f>'TECH DATA ENTRY'!U135</f>
        <v>0</v>
      </c>
      <c r="X107" s="217">
        <v>1</v>
      </c>
      <c r="Y107" s="218">
        <f t="shared" si="18"/>
        <v>0</v>
      </c>
      <c r="Z107" s="220">
        <f>'TECH DATA ENTRY'!V135</f>
        <v>0</v>
      </c>
      <c r="AA107" s="217">
        <v>1</v>
      </c>
      <c r="AB107" s="218">
        <f t="shared" si="19"/>
        <v>0</v>
      </c>
      <c r="AC107" s="220">
        <f>'TECH DATA ENTRY'!W135</f>
        <v>0</v>
      </c>
      <c r="AD107" s="217">
        <v>1</v>
      </c>
      <c r="AE107" s="218">
        <f t="shared" si="20"/>
        <v>0</v>
      </c>
      <c r="AF107" s="220">
        <f>'TECH DATA ENTRY'!X135</f>
        <v>0</v>
      </c>
      <c r="AG107" s="217">
        <v>1</v>
      </c>
      <c r="AH107" s="218">
        <f t="shared" si="21"/>
        <v>0</v>
      </c>
      <c r="AI107" s="219" t="e">
        <f t="shared" si="22"/>
        <v>#DIV/0!</v>
      </c>
      <c r="AJ107" s="221">
        <f>'TECH DATA ENTRY'!K135</f>
        <v>0</v>
      </c>
      <c r="AK107" s="222" t="e">
        <f t="shared" si="23"/>
        <v>#DIV/0!</v>
      </c>
      <c r="AL107" s="222" t="e">
        <f>VLOOKUP(AK107,'AUX TABLES'!A$2:B$29,2)</f>
        <v>#DIV/0!</v>
      </c>
      <c r="AM107" s="223" t="e">
        <f>IF(OR(ISTEXT(B107)=TRUE,ISTEXT('TECH DATA ENTRY'!L135)=TRUE), "NA",AL107*AI107)</f>
        <v>#DIV/0!</v>
      </c>
      <c r="AN107" s="79"/>
    </row>
    <row r="108" spans="1:40" s="80" customFormat="1" ht="20.149999999999999" customHeight="1">
      <c r="A108" s="216"/>
      <c r="B108" s="249">
        <f>'TECH DATA ENTRY'!B136</f>
        <v>0</v>
      </c>
      <c r="C108" s="217">
        <f>'TECH DATA ENTRY'!O136</f>
        <v>0</v>
      </c>
      <c r="D108" s="217">
        <v>1</v>
      </c>
      <c r="E108" s="218" t="e">
        <f t="shared" si="12"/>
        <v>#DIV/0!</v>
      </c>
      <c r="F108" s="217">
        <f>'TECH DATA ENTRY'!P136</f>
        <v>0</v>
      </c>
      <c r="G108" s="217">
        <v>1</v>
      </c>
      <c r="H108" s="218" t="e">
        <f t="shared" si="13"/>
        <v>#DIV/0!</v>
      </c>
      <c r="I108" s="219">
        <f>'TECH DATA ENTRY'!Q136</f>
        <v>0</v>
      </c>
      <c r="J108" s="219" t="str">
        <f>'TECH DATA ENTRY'!$G$26</f>
        <v>Digital</v>
      </c>
      <c r="K108" s="217">
        <v>1</v>
      </c>
      <c r="L108" s="218">
        <f t="shared" si="14"/>
        <v>0</v>
      </c>
      <c r="M108" s="219">
        <f>'TECH DATA ENTRY'!R136</f>
        <v>0</v>
      </c>
      <c r="N108" s="219" t="str">
        <f>'TECH DATA ENTRY'!$G$26</f>
        <v>Digital</v>
      </c>
      <c r="O108" s="217">
        <v>1</v>
      </c>
      <c r="P108" s="218">
        <f t="shared" si="15"/>
        <v>0</v>
      </c>
      <c r="Q108" s="220">
        <f>'TECH DATA ENTRY'!S136</f>
        <v>0</v>
      </c>
      <c r="R108" s="217">
        <v>1</v>
      </c>
      <c r="S108" s="218">
        <f t="shared" si="16"/>
        <v>0</v>
      </c>
      <c r="T108" s="220">
        <f>'TECH DATA ENTRY'!T136</f>
        <v>0</v>
      </c>
      <c r="U108" s="217">
        <v>1</v>
      </c>
      <c r="V108" s="218">
        <f t="shared" si="17"/>
        <v>0</v>
      </c>
      <c r="W108" s="220">
        <f>'TECH DATA ENTRY'!U136</f>
        <v>0</v>
      </c>
      <c r="X108" s="217">
        <v>1</v>
      </c>
      <c r="Y108" s="218">
        <f t="shared" si="18"/>
        <v>0</v>
      </c>
      <c r="Z108" s="220">
        <f>'TECH DATA ENTRY'!V136</f>
        <v>0</v>
      </c>
      <c r="AA108" s="217">
        <v>1</v>
      </c>
      <c r="AB108" s="218">
        <f t="shared" si="19"/>
        <v>0</v>
      </c>
      <c r="AC108" s="220">
        <f>'TECH DATA ENTRY'!W136</f>
        <v>0</v>
      </c>
      <c r="AD108" s="217">
        <v>1</v>
      </c>
      <c r="AE108" s="218">
        <f t="shared" si="20"/>
        <v>0</v>
      </c>
      <c r="AF108" s="220">
        <f>'TECH DATA ENTRY'!X136</f>
        <v>0</v>
      </c>
      <c r="AG108" s="217">
        <v>1</v>
      </c>
      <c r="AH108" s="218">
        <f t="shared" si="21"/>
        <v>0</v>
      </c>
      <c r="AI108" s="219" t="e">
        <f t="shared" si="22"/>
        <v>#DIV/0!</v>
      </c>
      <c r="AJ108" s="221">
        <f>'TECH DATA ENTRY'!K136</f>
        <v>0</v>
      </c>
      <c r="AK108" s="222" t="e">
        <f t="shared" si="23"/>
        <v>#DIV/0!</v>
      </c>
      <c r="AL108" s="222" t="e">
        <f>VLOOKUP(AK108,'AUX TABLES'!A$2:B$29,2)</f>
        <v>#DIV/0!</v>
      </c>
      <c r="AM108" s="223" t="e">
        <f>IF(OR(ISTEXT(B108)=TRUE,ISTEXT('TECH DATA ENTRY'!L136)=TRUE), "NA",AL108*AI108)</f>
        <v>#DIV/0!</v>
      </c>
      <c r="AN108" s="79"/>
    </row>
    <row r="109" spans="1:40" s="80" customFormat="1" ht="20.149999999999999" customHeight="1">
      <c r="A109" s="216"/>
      <c r="B109" s="249" t="str">
        <f>'TECH DATA ENTRY'!B137</f>
        <v>Nominal</v>
      </c>
      <c r="C109" s="217" t="str">
        <f>'TECH DATA ENTRY'!O137</f>
        <v>Uncertainty Components</v>
      </c>
      <c r="D109" s="217">
        <v>1</v>
      </c>
      <c r="E109" s="218" t="e">
        <f t="shared" si="12"/>
        <v>#VALUE!</v>
      </c>
      <c r="F109" s="217">
        <f>'TECH DATA ENTRY'!P137</f>
        <v>0</v>
      </c>
      <c r="G109" s="217">
        <v>1</v>
      </c>
      <c r="H109" s="218" t="e">
        <f t="shared" si="13"/>
        <v>#VALUE!</v>
      </c>
      <c r="I109" s="219">
        <f>'TECH DATA ENTRY'!Q137</f>
        <v>0</v>
      </c>
      <c r="J109" s="219" t="str">
        <f>'TECH DATA ENTRY'!$G$26</f>
        <v>Digital</v>
      </c>
      <c r="K109" s="217">
        <v>1</v>
      </c>
      <c r="L109" s="218">
        <f t="shared" si="14"/>
        <v>0</v>
      </c>
      <c r="M109" s="219">
        <f>'TECH DATA ENTRY'!R137</f>
        <v>0</v>
      </c>
      <c r="N109" s="219" t="str">
        <f>'TECH DATA ENTRY'!$G$26</f>
        <v>Digital</v>
      </c>
      <c r="O109" s="217">
        <v>1</v>
      </c>
      <c r="P109" s="218">
        <f t="shared" si="15"/>
        <v>0</v>
      </c>
      <c r="Q109" s="220">
        <f>'TECH DATA ENTRY'!S137</f>
        <v>0</v>
      </c>
      <c r="R109" s="217">
        <v>1</v>
      </c>
      <c r="S109" s="218">
        <f t="shared" si="16"/>
        <v>0</v>
      </c>
      <c r="T109" s="220">
        <f>'TECH DATA ENTRY'!T137</f>
        <v>0</v>
      </c>
      <c r="U109" s="217">
        <v>1</v>
      </c>
      <c r="V109" s="218">
        <f t="shared" si="17"/>
        <v>0</v>
      </c>
      <c r="W109" s="220">
        <f>'TECH DATA ENTRY'!U137</f>
        <v>0</v>
      </c>
      <c r="X109" s="217">
        <v>1</v>
      </c>
      <c r="Y109" s="218">
        <f t="shared" si="18"/>
        <v>0</v>
      </c>
      <c r="Z109" s="220">
        <f>'TECH DATA ENTRY'!V137</f>
        <v>0</v>
      </c>
      <c r="AA109" s="217">
        <v>1</v>
      </c>
      <c r="AB109" s="218">
        <f t="shared" si="19"/>
        <v>0</v>
      </c>
      <c r="AC109" s="220">
        <f>'TECH DATA ENTRY'!W137</f>
        <v>0</v>
      </c>
      <c r="AD109" s="217">
        <v>1</v>
      </c>
      <c r="AE109" s="218">
        <f t="shared" si="20"/>
        <v>0</v>
      </c>
      <c r="AF109" s="220">
        <f>'TECH DATA ENTRY'!X137</f>
        <v>0</v>
      </c>
      <c r="AG109" s="217">
        <v>1</v>
      </c>
      <c r="AH109" s="218">
        <f t="shared" si="21"/>
        <v>0</v>
      </c>
      <c r="AI109" s="219" t="e">
        <f t="shared" si="22"/>
        <v>#VALUE!</v>
      </c>
      <c r="AJ109" s="221" t="str">
        <f>'TECH DATA ENTRY'!K137</f>
        <v>n</v>
      </c>
      <c r="AK109" s="222" t="e">
        <f t="shared" si="23"/>
        <v>#VALUE!</v>
      </c>
      <c r="AL109" s="222" t="e">
        <f>VLOOKUP(AK109,'AUX TABLES'!A$2:B$29,2)</f>
        <v>#VALUE!</v>
      </c>
      <c r="AM109" s="223" t="str">
        <f>IF(OR(ISTEXT(B109)=TRUE,ISTEXT('TECH DATA ENTRY'!L137)=TRUE), "NA",AL109*AI109)</f>
        <v>NA</v>
      </c>
      <c r="AN109" s="79"/>
    </row>
    <row r="110" spans="1:40" s="80" customFormat="1" ht="20.149999999999999" customHeight="1">
      <c r="A110" s="216"/>
      <c r="B110" s="249">
        <f>'TECH DATA ENTRY'!B138</f>
        <v>0</v>
      </c>
      <c r="C110" s="217" t="str">
        <f>'TECH DATA ENTRY'!O138</f>
        <v>Stdev 1</v>
      </c>
      <c r="D110" s="217">
        <v>1</v>
      </c>
      <c r="E110" s="218" t="e">
        <f t="shared" si="12"/>
        <v>#VALUE!</v>
      </c>
      <c r="F110" s="217" t="str">
        <f>'TECH DATA ENTRY'!P138</f>
        <v>Stdev 2</v>
      </c>
      <c r="G110" s="217">
        <v>1</v>
      </c>
      <c r="H110" s="218" t="e">
        <f t="shared" si="13"/>
        <v>#VALUE!</v>
      </c>
      <c r="I110" s="219" t="str">
        <f>'TECH DATA ENTRY'!Q138</f>
        <v>Resolution 1</v>
      </c>
      <c r="J110" s="219" t="str">
        <f>'TECH DATA ENTRY'!$G$26</f>
        <v>Digital</v>
      </c>
      <c r="K110" s="217">
        <v>1</v>
      </c>
      <c r="L110" s="218" t="e">
        <f t="shared" si="14"/>
        <v>#VALUE!</v>
      </c>
      <c r="M110" s="219" t="str">
        <f>'TECH DATA ENTRY'!R138</f>
        <v>Resolution 2</v>
      </c>
      <c r="N110" s="219" t="str">
        <f>'TECH DATA ENTRY'!$G$26</f>
        <v>Digital</v>
      </c>
      <c r="O110" s="217">
        <v>1</v>
      </c>
      <c r="P110" s="218" t="e">
        <f t="shared" si="15"/>
        <v>#VALUE!</v>
      </c>
      <c r="Q110" s="220" t="str">
        <f>'TECH DATA ENTRY'!S138</f>
        <v>Scope Uncertainty</v>
      </c>
      <c r="R110" s="217">
        <v>1</v>
      </c>
      <c r="S110" s="218" t="e">
        <f t="shared" si="16"/>
        <v>#VALUE!</v>
      </c>
      <c r="T110" s="220" t="str">
        <f>'TECH DATA ENTRY'!T138</f>
        <v>STD 2 Cal Unc</v>
      </c>
      <c r="U110" s="217">
        <v>1</v>
      </c>
      <c r="V110" s="218" t="e">
        <f t="shared" si="17"/>
        <v>#VALUE!</v>
      </c>
      <c r="W110" s="220" t="str">
        <f>'TECH DATA ENTRY'!U138</f>
        <v>Others 1</v>
      </c>
      <c r="X110" s="217">
        <v>1</v>
      </c>
      <c r="Y110" s="218" t="e">
        <f t="shared" si="18"/>
        <v>#VALUE!</v>
      </c>
      <c r="Z110" s="220" t="str">
        <f>'TECH DATA ENTRY'!V138</f>
        <v>Others 2</v>
      </c>
      <c r="AA110" s="217">
        <v>1</v>
      </c>
      <c r="AB110" s="218" t="e">
        <f t="shared" si="19"/>
        <v>#VALUE!</v>
      </c>
      <c r="AC110" s="220" t="str">
        <f>'TECH DATA ENTRY'!W138</f>
        <v>Others 3</v>
      </c>
      <c r="AD110" s="217">
        <v>1</v>
      </c>
      <c r="AE110" s="218" t="e">
        <f t="shared" si="20"/>
        <v>#VALUE!</v>
      </c>
      <c r="AF110" s="220" t="str">
        <f>'TECH DATA ENTRY'!X138</f>
        <v>Others 4</v>
      </c>
      <c r="AG110" s="217">
        <v>1</v>
      </c>
      <c r="AH110" s="218" t="e">
        <f t="shared" si="21"/>
        <v>#VALUE!</v>
      </c>
      <c r="AI110" s="219" t="e">
        <f t="shared" si="22"/>
        <v>#VALUE!</v>
      </c>
      <c r="AJ110" s="221">
        <f>'TECH DATA ENTRY'!K138</f>
        <v>0</v>
      </c>
      <c r="AK110" s="222" t="e">
        <f t="shared" si="23"/>
        <v>#VALUE!</v>
      </c>
      <c r="AL110" s="222" t="e">
        <f>VLOOKUP(AK110,'AUX TABLES'!A$2:B$29,2)</f>
        <v>#VALUE!</v>
      </c>
      <c r="AM110" s="223" t="e">
        <f>IF(OR(ISTEXT(B110)=TRUE,ISTEXT('TECH DATA ENTRY'!L138)=TRUE), "NA",AL110*AI110)</f>
        <v>#VALUE!</v>
      </c>
      <c r="AN110" s="79"/>
    </row>
    <row r="111" spans="1:40" s="80" customFormat="1" ht="20.149999999999999" customHeight="1">
      <c r="A111" s="216"/>
      <c r="B111" s="249">
        <f>'TECH DATA ENTRY'!B139</f>
        <v>10</v>
      </c>
      <c r="C111" s="217" t="str">
        <f>'TECH DATA ENTRY'!O139</f>
        <v/>
      </c>
      <c r="D111" s="217">
        <v>1</v>
      </c>
      <c r="E111" s="218" t="e">
        <f t="shared" si="12"/>
        <v>#VALUE!</v>
      </c>
      <c r="F111" s="217">
        <f>'TECH DATA ENTRY'!P139</f>
        <v>0</v>
      </c>
      <c r="G111" s="217">
        <v>1</v>
      </c>
      <c r="H111" s="218" t="e">
        <f t="shared" si="13"/>
        <v>#VALUE!</v>
      </c>
      <c r="I111" s="219">
        <f>'TECH DATA ENTRY'!Q139</f>
        <v>1.0000000000000001E-5</v>
      </c>
      <c r="J111" s="219" t="str">
        <f>'TECH DATA ENTRY'!$G$26</f>
        <v>Digital</v>
      </c>
      <c r="K111" s="217">
        <v>1</v>
      </c>
      <c r="L111" s="218">
        <f t="shared" si="14"/>
        <v>2.8867513459481293E-6</v>
      </c>
      <c r="M111" s="219">
        <f>'TECH DATA ENTRY'!R139</f>
        <v>0</v>
      </c>
      <c r="N111" s="219" t="str">
        <f>'TECH DATA ENTRY'!$G$26</f>
        <v>Digital</v>
      </c>
      <c r="O111" s="217">
        <v>1</v>
      </c>
      <c r="P111" s="218">
        <f t="shared" si="15"/>
        <v>0</v>
      </c>
      <c r="Q111" s="220">
        <f>'TECH DATA ENTRY'!S139</f>
        <v>1.1000000000000001E-6</v>
      </c>
      <c r="R111" s="217">
        <v>1</v>
      </c>
      <c r="S111" s="218">
        <f t="shared" si="16"/>
        <v>5.5000000000000003E-7</v>
      </c>
      <c r="T111" s="220">
        <f>'TECH DATA ENTRY'!T139</f>
        <v>0</v>
      </c>
      <c r="U111" s="217">
        <v>1</v>
      </c>
      <c r="V111" s="218">
        <f t="shared" si="17"/>
        <v>0</v>
      </c>
      <c r="W111" s="220">
        <f>'TECH DATA ENTRY'!U139</f>
        <v>0</v>
      </c>
      <c r="X111" s="217">
        <v>1</v>
      </c>
      <c r="Y111" s="218">
        <f t="shared" si="18"/>
        <v>0</v>
      </c>
      <c r="Z111" s="220">
        <f>'TECH DATA ENTRY'!V139</f>
        <v>0</v>
      </c>
      <c r="AA111" s="217">
        <v>1</v>
      </c>
      <c r="AB111" s="218">
        <f t="shared" si="19"/>
        <v>0</v>
      </c>
      <c r="AC111" s="220">
        <f>'TECH DATA ENTRY'!W139</f>
        <v>0</v>
      </c>
      <c r="AD111" s="217">
        <v>1</v>
      </c>
      <c r="AE111" s="218">
        <f t="shared" si="20"/>
        <v>0</v>
      </c>
      <c r="AF111" s="220">
        <f>'TECH DATA ENTRY'!X139</f>
        <v>0</v>
      </c>
      <c r="AG111" s="217">
        <v>1</v>
      </c>
      <c r="AH111" s="218">
        <f t="shared" si="21"/>
        <v>0</v>
      </c>
      <c r="AI111" s="219" t="e">
        <f t="shared" si="22"/>
        <v>#VALUE!</v>
      </c>
      <c r="AJ111" s="221" t="str">
        <f>'TECH DATA ENTRY'!K139</f>
        <v/>
      </c>
      <c r="AK111" s="222" t="e">
        <f t="shared" si="23"/>
        <v>#VALUE!</v>
      </c>
      <c r="AL111" s="222" t="e">
        <f>VLOOKUP(AK111,'AUX TABLES'!A$2:B$29,2)</f>
        <v>#VALUE!</v>
      </c>
      <c r="AM111" s="223" t="str">
        <f>IF(OR(ISTEXT(B111)=TRUE,ISTEXT('TECH DATA ENTRY'!L139)=TRUE), "NA",AL111*AI111)</f>
        <v>NA</v>
      </c>
      <c r="AN111" s="79"/>
    </row>
    <row r="112" spans="1:40" s="80" customFormat="1" ht="20.149999999999999" customHeight="1">
      <c r="A112" s="216"/>
      <c r="B112" s="249">
        <f>'TECH DATA ENTRY'!B140</f>
        <v>40</v>
      </c>
      <c r="C112" s="217" t="str">
        <f>'TECH DATA ENTRY'!O140</f>
        <v/>
      </c>
      <c r="D112" s="217">
        <v>1</v>
      </c>
      <c r="E112" s="218" t="e">
        <f t="shared" si="12"/>
        <v>#VALUE!</v>
      </c>
      <c r="F112" s="217">
        <f>'TECH DATA ENTRY'!P140</f>
        <v>0</v>
      </c>
      <c r="G112" s="217">
        <v>1</v>
      </c>
      <c r="H112" s="218" t="e">
        <f t="shared" si="13"/>
        <v>#VALUE!</v>
      </c>
      <c r="I112" s="219">
        <f>'TECH DATA ENTRY'!Q140</f>
        <v>1.0000000000000001E-5</v>
      </c>
      <c r="J112" s="219" t="str">
        <f>'TECH DATA ENTRY'!$G$26</f>
        <v>Digital</v>
      </c>
      <c r="K112" s="217">
        <v>1</v>
      </c>
      <c r="L112" s="218">
        <f t="shared" si="14"/>
        <v>2.8867513459481293E-6</v>
      </c>
      <c r="M112" s="219">
        <f>'TECH DATA ENTRY'!R140</f>
        <v>0</v>
      </c>
      <c r="N112" s="219" t="str">
        <f>'TECH DATA ENTRY'!$G$26</f>
        <v>Digital</v>
      </c>
      <c r="O112" s="217">
        <v>1</v>
      </c>
      <c r="P112" s="218">
        <f t="shared" si="15"/>
        <v>0</v>
      </c>
      <c r="Q112" s="220">
        <f>'TECH DATA ENTRY'!S140</f>
        <v>4.4000000000000002E-6</v>
      </c>
      <c r="R112" s="217">
        <v>1</v>
      </c>
      <c r="S112" s="218">
        <f t="shared" si="16"/>
        <v>2.2000000000000001E-6</v>
      </c>
      <c r="T112" s="220">
        <f>'TECH DATA ENTRY'!T140</f>
        <v>0</v>
      </c>
      <c r="U112" s="217">
        <v>1</v>
      </c>
      <c r="V112" s="218">
        <f t="shared" si="17"/>
        <v>0</v>
      </c>
      <c r="W112" s="220">
        <f>'TECH DATA ENTRY'!U140</f>
        <v>0</v>
      </c>
      <c r="X112" s="217">
        <v>1</v>
      </c>
      <c r="Y112" s="218">
        <f t="shared" si="18"/>
        <v>0</v>
      </c>
      <c r="Z112" s="220">
        <f>'TECH DATA ENTRY'!V140</f>
        <v>0</v>
      </c>
      <c r="AA112" s="217">
        <v>1</v>
      </c>
      <c r="AB112" s="218">
        <f t="shared" si="19"/>
        <v>0</v>
      </c>
      <c r="AC112" s="220">
        <f>'TECH DATA ENTRY'!W140</f>
        <v>0</v>
      </c>
      <c r="AD112" s="217">
        <v>1</v>
      </c>
      <c r="AE112" s="218">
        <f t="shared" si="20"/>
        <v>0</v>
      </c>
      <c r="AF112" s="220">
        <f>'TECH DATA ENTRY'!X140</f>
        <v>0</v>
      </c>
      <c r="AG112" s="217">
        <v>1</v>
      </c>
      <c r="AH112" s="218">
        <f t="shared" si="21"/>
        <v>0</v>
      </c>
      <c r="AI112" s="219" t="e">
        <f t="shared" si="22"/>
        <v>#VALUE!</v>
      </c>
      <c r="AJ112" s="221" t="str">
        <f>'TECH DATA ENTRY'!K140</f>
        <v/>
      </c>
      <c r="AK112" s="222" t="e">
        <f t="shared" si="23"/>
        <v>#VALUE!</v>
      </c>
      <c r="AL112" s="222" t="e">
        <f>VLOOKUP(AK112,'AUX TABLES'!A$2:B$29,2)</f>
        <v>#VALUE!</v>
      </c>
      <c r="AM112" s="223" t="str">
        <f>IF(OR(ISTEXT(B112)=TRUE,ISTEXT('TECH DATA ENTRY'!L140)=TRUE), "NA",AL112*AI112)</f>
        <v>NA</v>
      </c>
      <c r="AN112" s="79"/>
    </row>
    <row r="113" spans="1:40" s="80" customFormat="1" ht="20.149999999999999" customHeight="1">
      <c r="A113" s="216"/>
      <c r="B113" s="249">
        <f>'TECH DATA ENTRY'!B141</f>
        <v>300</v>
      </c>
      <c r="C113" s="217" t="str">
        <f>'TECH DATA ENTRY'!O141</f>
        <v/>
      </c>
      <c r="D113" s="217">
        <v>1</v>
      </c>
      <c r="E113" s="218" t="e">
        <f t="shared" si="12"/>
        <v>#VALUE!</v>
      </c>
      <c r="F113" s="217">
        <f>'TECH DATA ENTRY'!P141</f>
        <v>0</v>
      </c>
      <c r="G113" s="217">
        <v>1</v>
      </c>
      <c r="H113" s="218" t="e">
        <f t="shared" si="13"/>
        <v>#VALUE!</v>
      </c>
      <c r="I113" s="219">
        <f>'TECH DATA ENTRY'!Q141</f>
        <v>1E-4</v>
      </c>
      <c r="J113" s="219" t="str">
        <f>'TECH DATA ENTRY'!$G$26</f>
        <v>Digital</v>
      </c>
      <c r="K113" s="217">
        <v>1</v>
      </c>
      <c r="L113" s="218">
        <f t="shared" si="14"/>
        <v>2.8867513459481293E-5</v>
      </c>
      <c r="M113" s="219">
        <f>'TECH DATA ENTRY'!R141</f>
        <v>0</v>
      </c>
      <c r="N113" s="219" t="str">
        <f>'TECH DATA ENTRY'!$G$26</f>
        <v>Digital</v>
      </c>
      <c r="O113" s="217">
        <v>1</v>
      </c>
      <c r="P113" s="218">
        <f t="shared" si="15"/>
        <v>0</v>
      </c>
      <c r="Q113" s="220">
        <f>'TECH DATA ENTRY'!S141</f>
        <v>3.3000000000000003E-5</v>
      </c>
      <c r="R113" s="217">
        <v>1</v>
      </c>
      <c r="S113" s="218">
        <f t="shared" si="16"/>
        <v>1.6500000000000001E-5</v>
      </c>
      <c r="T113" s="220">
        <f>'TECH DATA ENTRY'!T141</f>
        <v>0</v>
      </c>
      <c r="U113" s="217">
        <v>1</v>
      </c>
      <c r="V113" s="218">
        <f t="shared" si="17"/>
        <v>0</v>
      </c>
      <c r="W113" s="220">
        <f>'TECH DATA ENTRY'!U141</f>
        <v>0</v>
      </c>
      <c r="X113" s="217">
        <v>1</v>
      </c>
      <c r="Y113" s="218">
        <f t="shared" si="18"/>
        <v>0</v>
      </c>
      <c r="Z113" s="220">
        <f>'TECH DATA ENTRY'!V141</f>
        <v>0</v>
      </c>
      <c r="AA113" s="217">
        <v>1</v>
      </c>
      <c r="AB113" s="218">
        <f t="shared" si="19"/>
        <v>0</v>
      </c>
      <c r="AC113" s="220">
        <f>'TECH DATA ENTRY'!W141</f>
        <v>0</v>
      </c>
      <c r="AD113" s="217">
        <v>1</v>
      </c>
      <c r="AE113" s="218">
        <f t="shared" si="20"/>
        <v>0</v>
      </c>
      <c r="AF113" s="220">
        <f>'TECH DATA ENTRY'!X141</f>
        <v>0</v>
      </c>
      <c r="AG113" s="217">
        <v>1</v>
      </c>
      <c r="AH113" s="218">
        <f t="shared" si="21"/>
        <v>0</v>
      </c>
      <c r="AI113" s="219" t="e">
        <f t="shared" si="22"/>
        <v>#VALUE!</v>
      </c>
      <c r="AJ113" s="221" t="str">
        <f>'TECH DATA ENTRY'!K141</f>
        <v/>
      </c>
      <c r="AK113" s="222" t="e">
        <f t="shared" si="23"/>
        <v>#VALUE!</v>
      </c>
      <c r="AL113" s="222" t="e">
        <f>VLOOKUP(AK113,'AUX TABLES'!A$2:B$29,2)</f>
        <v>#VALUE!</v>
      </c>
      <c r="AM113" s="223" t="str">
        <f>IF(OR(ISTEXT(B113)=TRUE,ISTEXT('TECH DATA ENTRY'!L141)=TRUE), "NA",AL113*AI113)</f>
        <v>NA</v>
      </c>
      <c r="AN113" s="79"/>
    </row>
    <row r="114" spans="1:40" s="80" customFormat="1" ht="20.149999999999999" customHeight="1">
      <c r="A114" s="216"/>
      <c r="B114" s="249">
        <f>'TECH DATA ENTRY'!B142</f>
        <v>1</v>
      </c>
      <c r="C114" s="217" t="str">
        <f>'TECH DATA ENTRY'!O142</f>
        <v/>
      </c>
      <c r="D114" s="217">
        <v>1</v>
      </c>
      <c r="E114" s="218" t="e">
        <f t="shared" si="12"/>
        <v>#VALUE!</v>
      </c>
      <c r="F114" s="217">
        <f>'TECH DATA ENTRY'!P142</f>
        <v>0</v>
      </c>
      <c r="G114" s="217">
        <v>1</v>
      </c>
      <c r="H114" s="218" t="e">
        <f t="shared" si="13"/>
        <v>#VALUE!</v>
      </c>
      <c r="I114" s="219">
        <f>'TECH DATA ENTRY'!Q142</f>
        <v>9.9999999999999995E-7</v>
      </c>
      <c r="J114" s="219" t="str">
        <f>'TECH DATA ENTRY'!$G$26</f>
        <v>Digital</v>
      </c>
      <c r="K114" s="217">
        <v>1</v>
      </c>
      <c r="L114" s="218">
        <f t="shared" si="14"/>
        <v>2.8867513459481289E-7</v>
      </c>
      <c r="M114" s="219">
        <f>'TECH DATA ENTRY'!R142</f>
        <v>0</v>
      </c>
      <c r="N114" s="219" t="str">
        <f>'TECH DATA ENTRY'!$G$26</f>
        <v>Digital</v>
      </c>
      <c r="O114" s="217">
        <v>1</v>
      </c>
      <c r="P114" s="218">
        <f t="shared" si="15"/>
        <v>0</v>
      </c>
      <c r="Q114" s="220">
        <f>'TECH DATA ENTRY'!S142</f>
        <v>1.1000000000000001E-7</v>
      </c>
      <c r="R114" s="217">
        <v>1</v>
      </c>
      <c r="S114" s="218">
        <f t="shared" si="16"/>
        <v>5.5000000000000003E-8</v>
      </c>
      <c r="T114" s="220">
        <f>'TECH DATA ENTRY'!T142</f>
        <v>0</v>
      </c>
      <c r="U114" s="217">
        <v>1</v>
      </c>
      <c r="V114" s="218">
        <f t="shared" si="17"/>
        <v>0</v>
      </c>
      <c r="W114" s="220">
        <f>'TECH DATA ENTRY'!U142</f>
        <v>0</v>
      </c>
      <c r="X114" s="217">
        <v>1</v>
      </c>
      <c r="Y114" s="218">
        <f t="shared" si="18"/>
        <v>0</v>
      </c>
      <c r="Z114" s="220">
        <f>'TECH DATA ENTRY'!V142</f>
        <v>0</v>
      </c>
      <c r="AA114" s="217">
        <v>1</v>
      </c>
      <c r="AB114" s="218">
        <f t="shared" si="19"/>
        <v>0</v>
      </c>
      <c r="AC114" s="220">
        <f>'TECH DATA ENTRY'!W142</f>
        <v>0</v>
      </c>
      <c r="AD114" s="217">
        <v>1</v>
      </c>
      <c r="AE114" s="218">
        <f t="shared" si="20"/>
        <v>0</v>
      </c>
      <c r="AF114" s="220">
        <f>'TECH DATA ENTRY'!X142</f>
        <v>0</v>
      </c>
      <c r="AG114" s="217">
        <v>1</v>
      </c>
      <c r="AH114" s="218">
        <f t="shared" si="21"/>
        <v>0</v>
      </c>
      <c r="AI114" s="219" t="e">
        <f t="shared" si="22"/>
        <v>#VALUE!</v>
      </c>
      <c r="AJ114" s="221" t="str">
        <f>'TECH DATA ENTRY'!K142</f>
        <v/>
      </c>
      <c r="AK114" s="222" t="e">
        <f t="shared" si="23"/>
        <v>#VALUE!</v>
      </c>
      <c r="AL114" s="222" t="e">
        <f>VLOOKUP(AK114,'AUX TABLES'!A$2:B$29,2)</f>
        <v>#VALUE!</v>
      </c>
      <c r="AM114" s="223" t="str">
        <f>IF(OR(ISTEXT(B114)=TRUE,ISTEXT('TECH DATA ENTRY'!L142)=TRUE), "NA",AL114*AI114)</f>
        <v>NA</v>
      </c>
      <c r="AN114" s="79"/>
    </row>
    <row r="115" spans="1:40" s="80" customFormat="1" ht="20.149999999999999" customHeight="1">
      <c r="A115" s="216"/>
      <c r="B115" s="249">
        <f>'TECH DATA ENTRY'!B143</f>
        <v>0</v>
      </c>
      <c r="C115" s="217">
        <f>'TECH DATA ENTRY'!O143</f>
        <v>0</v>
      </c>
      <c r="D115" s="217">
        <v>1</v>
      </c>
      <c r="E115" s="218" t="e">
        <f t="shared" si="12"/>
        <v>#DIV/0!</v>
      </c>
      <c r="F115" s="217">
        <f>'TECH DATA ENTRY'!P143</f>
        <v>0</v>
      </c>
      <c r="G115" s="217">
        <v>1</v>
      </c>
      <c r="H115" s="218" t="e">
        <f t="shared" si="13"/>
        <v>#DIV/0!</v>
      </c>
      <c r="I115" s="219">
        <f>'TECH DATA ENTRY'!Q143</f>
        <v>0</v>
      </c>
      <c r="J115" s="219" t="str">
        <f>'TECH DATA ENTRY'!$G$26</f>
        <v>Digital</v>
      </c>
      <c r="K115" s="217">
        <v>1</v>
      </c>
      <c r="L115" s="218">
        <f t="shared" si="14"/>
        <v>0</v>
      </c>
      <c r="M115" s="219">
        <f>'TECH DATA ENTRY'!R143</f>
        <v>0</v>
      </c>
      <c r="N115" s="219" t="str">
        <f>'TECH DATA ENTRY'!$G$26</f>
        <v>Digital</v>
      </c>
      <c r="O115" s="217">
        <v>1</v>
      </c>
      <c r="P115" s="218">
        <f t="shared" si="15"/>
        <v>0</v>
      </c>
      <c r="Q115" s="220">
        <f>'TECH DATA ENTRY'!S143</f>
        <v>0</v>
      </c>
      <c r="R115" s="217">
        <v>1</v>
      </c>
      <c r="S115" s="218">
        <f t="shared" si="16"/>
        <v>0</v>
      </c>
      <c r="T115" s="220">
        <f>'TECH DATA ENTRY'!T143</f>
        <v>0</v>
      </c>
      <c r="U115" s="217">
        <v>1</v>
      </c>
      <c r="V115" s="218">
        <f t="shared" si="17"/>
        <v>0</v>
      </c>
      <c r="W115" s="220">
        <f>'TECH DATA ENTRY'!U143</f>
        <v>0</v>
      </c>
      <c r="X115" s="217">
        <v>1</v>
      </c>
      <c r="Y115" s="218">
        <f t="shared" si="18"/>
        <v>0</v>
      </c>
      <c r="Z115" s="220">
        <f>'TECH DATA ENTRY'!V143</f>
        <v>0</v>
      </c>
      <c r="AA115" s="217">
        <v>1</v>
      </c>
      <c r="AB115" s="218">
        <f t="shared" si="19"/>
        <v>0</v>
      </c>
      <c r="AC115" s="220">
        <f>'TECH DATA ENTRY'!W143</f>
        <v>0</v>
      </c>
      <c r="AD115" s="217">
        <v>1</v>
      </c>
      <c r="AE115" s="218">
        <f t="shared" si="20"/>
        <v>0</v>
      </c>
      <c r="AF115" s="220">
        <f>'TECH DATA ENTRY'!X143</f>
        <v>0</v>
      </c>
      <c r="AG115" s="217">
        <v>1</v>
      </c>
      <c r="AH115" s="218">
        <f t="shared" si="21"/>
        <v>0</v>
      </c>
      <c r="AI115" s="219" t="e">
        <f t="shared" si="22"/>
        <v>#DIV/0!</v>
      </c>
      <c r="AJ115" s="221">
        <f>'TECH DATA ENTRY'!K143</f>
        <v>0</v>
      </c>
      <c r="AK115" s="222" t="e">
        <f t="shared" si="23"/>
        <v>#DIV/0!</v>
      </c>
      <c r="AL115" s="222" t="e">
        <f>VLOOKUP(AK115,'AUX TABLES'!A$2:B$29,2)</f>
        <v>#DIV/0!</v>
      </c>
      <c r="AM115" s="223" t="e">
        <f>IF(OR(ISTEXT(B115)=TRUE,ISTEXT('TECH DATA ENTRY'!L143)=TRUE), "NA",AL115*AI115)</f>
        <v>#DIV/0!</v>
      </c>
      <c r="AN115" s="79"/>
    </row>
    <row r="116" spans="1:40" s="80" customFormat="1" ht="20.149999999999999" customHeight="1">
      <c r="A116" s="216"/>
      <c r="B116" s="249">
        <f>'TECH DATA ENTRY'!B144</f>
        <v>0</v>
      </c>
      <c r="C116" s="217">
        <f>'TECH DATA ENTRY'!O144</f>
        <v>0</v>
      </c>
      <c r="D116" s="217">
        <v>1</v>
      </c>
      <c r="E116" s="218" t="e">
        <f t="shared" si="12"/>
        <v>#DIV/0!</v>
      </c>
      <c r="F116" s="217">
        <f>'TECH DATA ENTRY'!P144</f>
        <v>0</v>
      </c>
      <c r="G116" s="217">
        <v>1</v>
      </c>
      <c r="H116" s="218" t="e">
        <f t="shared" si="13"/>
        <v>#DIV/0!</v>
      </c>
      <c r="I116" s="219">
        <f>'TECH DATA ENTRY'!Q144</f>
        <v>0</v>
      </c>
      <c r="J116" s="219" t="str">
        <f>'TECH DATA ENTRY'!$G$26</f>
        <v>Digital</v>
      </c>
      <c r="K116" s="217">
        <v>1</v>
      </c>
      <c r="L116" s="218">
        <f t="shared" si="14"/>
        <v>0</v>
      </c>
      <c r="M116" s="219">
        <f>'TECH DATA ENTRY'!R144</f>
        <v>0</v>
      </c>
      <c r="N116" s="219" t="str">
        <f>'TECH DATA ENTRY'!$G$26</f>
        <v>Digital</v>
      </c>
      <c r="O116" s="217">
        <v>1</v>
      </c>
      <c r="P116" s="218">
        <f t="shared" si="15"/>
        <v>0</v>
      </c>
      <c r="Q116" s="220">
        <f>'TECH DATA ENTRY'!S144</f>
        <v>0</v>
      </c>
      <c r="R116" s="217">
        <v>1</v>
      </c>
      <c r="S116" s="218">
        <f t="shared" si="16"/>
        <v>0</v>
      </c>
      <c r="T116" s="220">
        <f>'TECH DATA ENTRY'!T144</f>
        <v>0</v>
      </c>
      <c r="U116" s="217">
        <v>1</v>
      </c>
      <c r="V116" s="218">
        <f t="shared" si="17"/>
        <v>0</v>
      </c>
      <c r="W116" s="220">
        <f>'TECH DATA ENTRY'!U144</f>
        <v>0</v>
      </c>
      <c r="X116" s="217">
        <v>1</v>
      </c>
      <c r="Y116" s="218">
        <f t="shared" si="18"/>
        <v>0</v>
      </c>
      <c r="Z116" s="220">
        <f>'TECH DATA ENTRY'!V144</f>
        <v>0</v>
      </c>
      <c r="AA116" s="217">
        <v>1</v>
      </c>
      <c r="AB116" s="218">
        <f t="shared" si="19"/>
        <v>0</v>
      </c>
      <c r="AC116" s="220">
        <f>'TECH DATA ENTRY'!W144</f>
        <v>0</v>
      </c>
      <c r="AD116" s="217">
        <v>1</v>
      </c>
      <c r="AE116" s="218">
        <f t="shared" si="20"/>
        <v>0</v>
      </c>
      <c r="AF116" s="220">
        <f>'TECH DATA ENTRY'!X144</f>
        <v>0</v>
      </c>
      <c r="AG116" s="217">
        <v>1</v>
      </c>
      <c r="AH116" s="218">
        <f t="shared" si="21"/>
        <v>0</v>
      </c>
      <c r="AI116" s="219" t="e">
        <f t="shared" si="22"/>
        <v>#DIV/0!</v>
      </c>
      <c r="AJ116" s="221">
        <f>'TECH DATA ENTRY'!K144</f>
        <v>0</v>
      </c>
      <c r="AK116" s="222" t="e">
        <f t="shared" si="23"/>
        <v>#DIV/0!</v>
      </c>
      <c r="AL116" s="222" t="e">
        <f>VLOOKUP(AK116,'AUX TABLES'!A$2:B$29,2)</f>
        <v>#DIV/0!</v>
      </c>
      <c r="AM116" s="223" t="e">
        <f>IF(OR(ISTEXT(B116)=TRUE,ISTEXT('TECH DATA ENTRY'!L144)=TRUE), "NA",AL116*AI116)</f>
        <v>#DIV/0!</v>
      </c>
      <c r="AN116" s="79"/>
    </row>
    <row r="117" spans="1:40" s="80" customFormat="1" ht="20.149999999999999" customHeight="1">
      <c r="A117" s="216"/>
      <c r="B117" s="249">
        <f>'TECH DATA ENTRY'!B145</f>
        <v>0</v>
      </c>
      <c r="C117" s="217">
        <f>'TECH DATA ENTRY'!O145</f>
        <v>0</v>
      </c>
      <c r="D117" s="217">
        <v>1</v>
      </c>
      <c r="E117" s="218" t="e">
        <f t="shared" si="12"/>
        <v>#DIV/0!</v>
      </c>
      <c r="F117" s="217">
        <f>'TECH DATA ENTRY'!P145</f>
        <v>0</v>
      </c>
      <c r="G117" s="217">
        <v>1</v>
      </c>
      <c r="H117" s="218" t="e">
        <f t="shared" si="13"/>
        <v>#DIV/0!</v>
      </c>
      <c r="I117" s="219">
        <f>'TECH DATA ENTRY'!Q145</f>
        <v>0</v>
      </c>
      <c r="J117" s="219" t="str">
        <f>'TECH DATA ENTRY'!$G$26</f>
        <v>Digital</v>
      </c>
      <c r="K117" s="217">
        <v>1</v>
      </c>
      <c r="L117" s="218">
        <f t="shared" si="14"/>
        <v>0</v>
      </c>
      <c r="M117" s="219">
        <f>'TECH DATA ENTRY'!R145</f>
        <v>0</v>
      </c>
      <c r="N117" s="219" t="str">
        <f>'TECH DATA ENTRY'!$G$26</f>
        <v>Digital</v>
      </c>
      <c r="O117" s="217">
        <v>1</v>
      </c>
      <c r="P117" s="218">
        <f t="shared" si="15"/>
        <v>0</v>
      </c>
      <c r="Q117" s="220">
        <f>'TECH DATA ENTRY'!S145</f>
        <v>0</v>
      </c>
      <c r="R117" s="217">
        <v>1</v>
      </c>
      <c r="S117" s="218">
        <f t="shared" si="16"/>
        <v>0</v>
      </c>
      <c r="T117" s="220">
        <f>'TECH DATA ENTRY'!T145</f>
        <v>0</v>
      </c>
      <c r="U117" s="217">
        <v>1</v>
      </c>
      <c r="V117" s="218">
        <f t="shared" si="17"/>
        <v>0</v>
      </c>
      <c r="W117" s="220">
        <f>'TECH DATA ENTRY'!U145</f>
        <v>0</v>
      </c>
      <c r="X117" s="217">
        <v>1</v>
      </c>
      <c r="Y117" s="218">
        <f t="shared" si="18"/>
        <v>0</v>
      </c>
      <c r="Z117" s="220">
        <f>'TECH DATA ENTRY'!V145</f>
        <v>0</v>
      </c>
      <c r="AA117" s="217">
        <v>1</v>
      </c>
      <c r="AB117" s="218">
        <f t="shared" si="19"/>
        <v>0</v>
      </c>
      <c r="AC117" s="220">
        <f>'TECH DATA ENTRY'!W145</f>
        <v>0</v>
      </c>
      <c r="AD117" s="217">
        <v>1</v>
      </c>
      <c r="AE117" s="218">
        <f t="shared" si="20"/>
        <v>0</v>
      </c>
      <c r="AF117" s="220">
        <f>'TECH DATA ENTRY'!X145</f>
        <v>0</v>
      </c>
      <c r="AG117" s="217">
        <v>1</v>
      </c>
      <c r="AH117" s="218">
        <f t="shared" si="21"/>
        <v>0</v>
      </c>
      <c r="AI117" s="219" t="e">
        <f t="shared" si="22"/>
        <v>#DIV/0!</v>
      </c>
      <c r="AJ117" s="221">
        <f>'TECH DATA ENTRY'!K145</f>
        <v>0</v>
      </c>
      <c r="AK117" s="222" t="e">
        <f t="shared" si="23"/>
        <v>#DIV/0!</v>
      </c>
      <c r="AL117" s="222" t="e">
        <f>VLOOKUP(AK117,'AUX TABLES'!A$2:B$29,2)</f>
        <v>#DIV/0!</v>
      </c>
      <c r="AM117" s="223" t="e">
        <f>IF(OR(ISTEXT(B117)=TRUE,ISTEXT('TECH DATA ENTRY'!L145)=TRUE), "NA",AL117*AI117)</f>
        <v>#DIV/0!</v>
      </c>
      <c r="AN117" s="79"/>
    </row>
    <row r="118" spans="1:40" s="80" customFormat="1" ht="20.149999999999999" customHeight="1">
      <c r="A118" s="216"/>
      <c r="B118" s="249">
        <f>'TECH DATA ENTRY'!B146</f>
        <v>0</v>
      </c>
      <c r="C118" s="217">
        <f>'TECH DATA ENTRY'!O146</f>
        <v>0</v>
      </c>
      <c r="D118" s="217">
        <v>1</v>
      </c>
      <c r="E118" s="218" t="e">
        <f t="shared" si="12"/>
        <v>#DIV/0!</v>
      </c>
      <c r="F118" s="217">
        <f>'TECH DATA ENTRY'!P146</f>
        <v>0</v>
      </c>
      <c r="G118" s="217">
        <v>1</v>
      </c>
      <c r="H118" s="218" t="e">
        <f t="shared" si="13"/>
        <v>#DIV/0!</v>
      </c>
      <c r="I118" s="219">
        <f>'TECH DATA ENTRY'!Q146</f>
        <v>0</v>
      </c>
      <c r="J118" s="219" t="str">
        <f>'TECH DATA ENTRY'!$G$26</f>
        <v>Digital</v>
      </c>
      <c r="K118" s="217">
        <v>1</v>
      </c>
      <c r="L118" s="218">
        <f t="shared" si="14"/>
        <v>0</v>
      </c>
      <c r="M118" s="219">
        <f>'TECH DATA ENTRY'!R146</f>
        <v>0</v>
      </c>
      <c r="N118" s="219" t="str">
        <f>'TECH DATA ENTRY'!$G$26</f>
        <v>Digital</v>
      </c>
      <c r="O118" s="217">
        <v>1</v>
      </c>
      <c r="P118" s="218">
        <f t="shared" si="15"/>
        <v>0</v>
      </c>
      <c r="Q118" s="220">
        <f>'TECH DATA ENTRY'!S146</f>
        <v>0</v>
      </c>
      <c r="R118" s="217">
        <v>1</v>
      </c>
      <c r="S118" s="218">
        <f t="shared" si="16"/>
        <v>0</v>
      </c>
      <c r="T118" s="220">
        <f>'TECH DATA ENTRY'!T146</f>
        <v>0</v>
      </c>
      <c r="U118" s="217">
        <v>1</v>
      </c>
      <c r="V118" s="218">
        <f t="shared" si="17"/>
        <v>0</v>
      </c>
      <c r="W118" s="220">
        <f>'TECH DATA ENTRY'!U146</f>
        <v>0</v>
      </c>
      <c r="X118" s="217">
        <v>1</v>
      </c>
      <c r="Y118" s="218">
        <f t="shared" si="18"/>
        <v>0</v>
      </c>
      <c r="Z118" s="220">
        <f>'TECH DATA ENTRY'!V146</f>
        <v>0</v>
      </c>
      <c r="AA118" s="217">
        <v>1</v>
      </c>
      <c r="AB118" s="218">
        <f t="shared" si="19"/>
        <v>0</v>
      </c>
      <c r="AC118" s="220">
        <f>'TECH DATA ENTRY'!W146</f>
        <v>0</v>
      </c>
      <c r="AD118" s="217">
        <v>1</v>
      </c>
      <c r="AE118" s="218">
        <f t="shared" si="20"/>
        <v>0</v>
      </c>
      <c r="AF118" s="220">
        <f>'TECH DATA ENTRY'!X146</f>
        <v>0</v>
      </c>
      <c r="AG118" s="217">
        <v>1</v>
      </c>
      <c r="AH118" s="218">
        <f t="shared" si="21"/>
        <v>0</v>
      </c>
      <c r="AI118" s="219" t="e">
        <f t="shared" si="22"/>
        <v>#DIV/0!</v>
      </c>
      <c r="AJ118" s="221">
        <f>'TECH DATA ENTRY'!K146</f>
        <v>0</v>
      </c>
      <c r="AK118" s="222" t="e">
        <f t="shared" si="23"/>
        <v>#DIV/0!</v>
      </c>
      <c r="AL118" s="222" t="e">
        <f>VLOOKUP(AK118,'AUX TABLES'!A$2:B$29,2)</f>
        <v>#DIV/0!</v>
      </c>
      <c r="AM118" s="223" t="e">
        <f>IF(OR(ISTEXT(B118)=TRUE,ISTEXT('TECH DATA ENTRY'!L146)=TRUE), "NA",AL118*AI118)</f>
        <v>#DIV/0!</v>
      </c>
      <c r="AN118" s="79"/>
    </row>
    <row r="119" spans="1:40" s="80" customFormat="1" ht="20.149999999999999" customHeight="1">
      <c r="A119" s="216"/>
      <c r="B119" s="249" t="str">
        <f>'TECH DATA ENTRY'!B147</f>
        <v>Nominal</v>
      </c>
      <c r="C119" s="217" t="str">
        <f>'TECH DATA ENTRY'!O147</f>
        <v>Uncertainty Components</v>
      </c>
      <c r="D119" s="217">
        <v>1</v>
      </c>
      <c r="E119" s="218" t="e">
        <f t="shared" si="12"/>
        <v>#VALUE!</v>
      </c>
      <c r="F119" s="217">
        <f>'TECH DATA ENTRY'!P147</f>
        <v>0</v>
      </c>
      <c r="G119" s="217">
        <v>1</v>
      </c>
      <c r="H119" s="218" t="e">
        <f t="shared" si="13"/>
        <v>#VALUE!</v>
      </c>
      <c r="I119" s="219">
        <f>'TECH DATA ENTRY'!Q147</f>
        <v>0</v>
      </c>
      <c r="J119" s="219" t="str">
        <f>'TECH DATA ENTRY'!$G$26</f>
        <v>Digital</v>
      </c>
      <c r="K119" s="217">
        <v>1</v>
      </c>
      <c r="L119" s="218">
        <f t="shared" si="14"/>
        <v>0</v>
      </c>
      <c r="M119" s="219">
        <f>'TECH DATA ENTRY'!R147</f>
        <v>0</v>
      </c>
      <c r="N119" s="219" t="str">
        <f>'TECH DATA ENTRY'!$G$26</f>
        <v>Digital</v>
      </c>
      <c r="O119" s="217">
        <v>1</v>
      </c>
      <c r="P119" s="218">
        <f t="shared" si="15"/>
        <v>0</v>
      </c>
      <c r="Q119" s="220">
        <f>'TECH DATA ENTRY'!S147</f>
        <v>0</v>
      </c>
      <c r="R119" s="217">
        <v>1</v>
      </c>
      <c r="S119" s="218">
        <f t="shared" si="16"/>
        <v>0</v>
      </c>
      <c r="T119" s="220">
        <f>'TECH DATA ENTRY'!T147</f>
        <v>0</v>
      </c>
      <c r="U119" s="217">
        <v>1</v>
      </c>
      <c r="V119" s="218">
        <f t="shared" si="17"/>
        <v>0</v>
      </c>
      <c r="W119" s="220">
        <f>'TECH DATA ENTRY'!U147</f>
        <v>0</v>
      </c>
      <c r="X119" s="217">
        <v>1</v>
      </c>
      <c r="Y119" s="218">
        <f t="shared" si="18"/>
        <v>0</v>
      </c>
      <c r="Z119" s="220">
        <f>'TECH DATA ENTRY'!V147</f>
        <v>0</v>
      </c>
      <c r="AA119" s="217">
        <v>1</v>
      </c>
      <c r="AB119" s="218">
        <f t="shared" si="19"/>
        <v>0</v>
      </c>
      <c r="AC119" s="220">
        <f>'TECH DATA ENTRY'!W147</f>
        <v>0</v>
      </c>
      <c r="AD119" s="217">
        <v>1</v>
      </c>
      <c r="AE119" s="218">
        <f t="shared" si="20"/>
        <v>0</v>
      </c>
      <c r="AF119" s="220">
        <f>'TECH DATA ENTRY'!X147</f>
        <v>0</v>
      </c>
      <c r="AG119" s="217">
        <v>1</v>
      </c>
      <c r="AH119" s="218">
        <f t="shared" si="21"/>
        <v>0</v>
      </c>
      <c r="AI119" s="219" t="e">
        <f t="shared" si="22"/>
        <v>#VALUE!</v>
      </c>
      <c r="AJ119" s="221" t="str">
        <f>'TECH DATA ENTRY'!K147</f>
        <v>n</v>
      </c>
      <c r="AK119" s="222" t="e">
        <f t="shared" si="23"/>
        <v>#VALUE!</v>
      </c>
      <c r="AL119" s="222" t="e">
        <f>VLOOKUP(AK119,'AUX TABLES'!A$2:B$29,2)</f>
        <v>#VALUE!</v>
      </c>
      <c r="AM119" s="223" t="str">
        <f>IF(OR(ISTEXT(B119)=TRUE,ISTEXT('TECH DATA ENTRY'!L147)=TRUE), "NA",AL119*AI119)</f>
        <v>NA</v>
      </c>
      <c r="AN119" s="79"/>
    </row>
    <row r="120" spans="1:40" s="80" customFormat="1" ht="20.149999999999999" customHeight="1">
      <c r="A120" s="216"/>
      <c r="B120" s="249">
        <f>'TECH DATA ENTRY'!B148</f>
        <v>0</v>
      </c>
      <c r="C120" s="217" t="str">
        <f>'TECH DATA ENTRY'!O148</f>
        <v>Stdev 1</v>
      </c>
      <c r="D120" s="217">
        <v>1</v>
      </c>
      <c r="E120" s="218" t="e">
        <f t="shared" si="12"/>
        <v>#VALUE!</v>
      </c>
      <c r="F120" s="217" t="str">
        <f>'TECH DATA ENTRY'!P148</f>
        <v>Stdev 2</v>
      </c>
      <c r="G120" s="217">
        <v>1</v>
      </c>
      <c r="H120" s="218" t="e">
        <f t="shared" si="13"/>
        <v>#VALUE!</v>
      </c>
      <c r="I120" s="219" t="str">
        <f>'TECH DATA ENTRY'!Q148</f>
        <v>Resolution 1</v>
      </c>
      <c r="J120" s="219" t="str">
        <f>'TECH DATA ENTRY'!$G$26</f>
        <v>Digital</v>
      </c>
      <c r="K120" s="217">
        <v>1</v>
      </c>
      <c r="L120" s="218" t="e">
        <f t="shared" si="14"/>
        <v>#VALUE!</v>
      </c>
      <c r="M120" s="219" t="str">
        <f>'TECH DATA ENTRY'!R148</f>
        <v>Resolution 2</v>
      </c>
      <c r="N120" s="219" t="str">
        <f>'TECH DATA ENTRY'!$G$26</f>
        <v>Digital</v>
      </c>
      <c r="O120" s="217">
        <v>1</v>
      </c>
      <c r="P120" s="218" t="e">
        <f t="shared" si="15"/>
        <v>#VALUE!</v>
      </c>
      <c r="Q120" s="220" t="str">
        <f>'TECH DATA ENTRY'!S148</f>
        <v>Scope Uncertainty</v>
      </c>
      <c r="R120" s="217">
        <v>1</v>
      </c>
      <c r="S120" s="218" t="e">
        <f t="shared" si="16"/>
        <v>#VALUE!</v>
      </c>
      <c r="T120" s="220" t="str">
        <f>'TECH DATA ENTRY'!T148</f>
        <v>STD 2 Cal Unc</v>
      </c>
      <c r="U120" s="217">
        <v>1</v>
      </c>
      <c r="V120" s="218" t="e">
        <f t="shared" si="17"/>
        <v>#VALUE!</v>
      </c>
      <c r="W120" s="220" t="str">
        <f>'TECH DATA ENTRY'!U148</f>
        <v>Others 1</v>
      </c>
      <c r="X120" s="217">
        <v>1</v>
      </c>
      <c r="Y120" s="218" t="e">
        <f t="shared" si="18"/>
        <v>#VALUE!</v>
      </c>
      <c r="Z120" s="220" t="str">
        <f>'TECH DATA ENTRY'!V148</f>
        <v>Others 2</v>
      </c>
      <c r="AA120" s="217">
        <v>1</v>
      </c>
      <c r="AB120" s="218" t="e">
        <f t="shared" si="19"/>
        <v>#VALUE!</v>
      </c>
      <c r="AC120" s="220" t="str">
        <f>'TECH DATA ENTRY'!W148</f>
        <v>Others 3</v>
      </c>
      <c r="AD120" s="217">
        <v>1</v>
      </c>
      <c r="AE120" s="218" t="e">
        <f t="shared" si="20"/>
        <v>#VALUE!</v>
      </c>
      <c r="AF120" s="220" t="str">
        <f>'TECH DATA ENTRY'!X148</f>
        <v>Others 4</v>
      </c>
      <c r="AG120" s="217">
        <v>1</v>
      </c>
      <c r="AH120" s="218" t="e">
        <f t="shared" si="21"/>
        <v>#VALUE!</v>
      </c>
      <c r="AI120" s="219" t="e">
        <f t="shared" si="22"/>
        <v>#VALUE!</v>
      </c>
      <c r="AJ120" s="221">
        <f>'TECH DATA ENTRY'!K148</f>
        <v>0</v>
      </c>
      <c r="AK120" s="222" t="e">
        <f t="shared" si="23"/>
        <v>#VALUE!</v>
      </c>
      <c r="AL120" s="222" t="e">
        <f>VLOOKUP(AK120,'AUX TABLES'!A$2:B$29,2)</f>
        <v>#VALUE!</v>
      </c>
      <c r="AM120" s="223" t="e">
        <f>IF(OR(ISTEXT(B120)=TRUE,ISTEXT('TECH DATA ENTRY'!L148)=TRUE), "NA",AL120*AI120)</f>
        <v>#VALUE!</v>
      </c>
      <c r="AN120" s="79"/>
    </row>
    <row r="121" spans="1:40" s="80" customFormat="1" ht="20.149999999999999" customHeight="1">
      <c r="A121" s="216"/>
      <c r="B121" s="249">
        <f>'TECH DATA ENTRY'!B149</f>
        <v>0</v>
      </c>
      <c r="C121" s="217" t="str">
        <f>'TECH DATA ENTRY'!O149</f>
        <v/>
      </c>
      <c r="D121" s="217">
        <v>1</v>
      </c>
      <c r="E121" s="218" t="e">
        <f t="shared" si="12"/>
        <v>#VALUE!</v>
      </c>
      <c r="F121" s="217">
        <f>'TECH DATA ENTRY'!P149</f>
        <v>0</v>
      </c>
      <c r="G121" s="217">
        <v>1</v>
      </c>
      <c r="H121" s="218" t="e">
        <f t="shared" si="13"/>
        <v>#VALUE!</v>
      </c>
      <c r="I121" s="219">
        <f>'TECH DATA ENTRY'!Q149</f>
        <v>1.0000000000000001E-5</v>
      </c>
      <c r="J121" s="219" t="str">
        <f>'TECH DATA ENTRY'!$G$26</f>
        <v>Digital</v>
      </c>
      <c r="K121" s="217">
        <v>1</v>
      </c>
      <c r="L121" s="218">
        <f t="shared" si="14"/>
        <v>2.8867513459481293E-6</v>
      </c>
      <c r="M121" s="219">
        <f>'TECH DATA ENTRY'!R149</f>
        <v>0</v>
      </c>
      <c r="N121" s="219" t="str">
        <f>'TECH DATA ENTRY'!$G$26</f>
        <v>Digital</v>
      </c>
      <c r="O121" s="217">
        <v>1</v>
      </c>
      <c r="P121" s="218">
        <f t="shared" si="15"/>
        <v>0</v>
      </c>
      <c r="Q121" s="220">
        <f>'TECH DATA ENTRY'!S149</f>
        <v>1E-3</v>
      </c>
      <c r="R121" s="217">
        <v>1</v>
      </c>
      <c r="S121" s="218">
        <f t="shared" si="16"/>
        <v>5.0000000000000001E-4</v>
      </c>
      <c r="T121" s="220">
        <f>'TECH DATA ENTRY'!T149</f>
        <v>0</v>
      </c>
      <c r="U121" s="217">
        <v>1</v>
      </c>
      <c r="V121" s="218">
        <f t="shared" si="17"/>
        <v>0</v>
      </c>
      <c r="W121" s="220">
        <f>'TECH DATA ENTRY'!U149</f>
        <v>0</v>
      </c>
      <c r="X121" s="217">
        <v>1</v>
      </c>
      <c r="Y121" s="218">
        <f t="shared" si="18"/>
        <v>0</v>
      </c>
      <c r="Z121" s="220">
        <f>'TECH DATA ENTRY'!V149</f>
        <v>0</v>
      </c>
      <c r="AA121" s="217">
        <v>1</v>
      </c>
      <c r="AB121" s="218">
        <f t="shared" si="19"/>
        <v>0</v>
      </c>
      <c r="AC121" s="220">
        <f>'TECH DATA ENTRY'!W149</f>
        <v>0</v>
      </c>
      <c r="AD121" s="217">
        <v>1</v>
      </c>
      <c r="AE121" s="218">
        <f t="shared" si="20"/>
        <v>0</v>
      </c>
      <c r="AF121" s="220">
        <f>'TECH DATA ENTRY'!X149</f>
        <v>0</v>
      </c>
      <c r="AG121" s="217">
        <v>1</v>
      </c>
      <c r="AH121" s="218">
        <f t="shared" si="21"/>
        <v>0</v>
      </c>
      <c r="AI121" s="219" t="e">
        <f t="shared" si="22"/>
        <v>#VALUE!</v>
      </c>
      <c r="AJ121" s="221" t="str">
        <f>'TECH DATA ENTRY'!K149</f>
        <v/>
      </c>
      <c r="AK121" s="222" t="e">
        <f t="shared" si="23"/>
        <v>#VALUE!</v>
      </c>
      <c r="AL121" s="222" t="e">
        <f>VLOOKUP(AK121,'AUX TABLES'!A$2:B$29,2)</f>
        <v>#VALUE!</v>
      </c>
      <c r="AM121" s="223" t="str">
        <f>IF(OR(ISTEXT(B121)=TRUE,ISTEXT('TECH DATA ENTRY'!L149)=TRUE), "NA",AL121*AI121)</f>
        <v>NA</v>
      </c>
      <c r="AN121" s="79"/>
    </row>
    <row r="122" spans="1:40" s="80" customFormat="1" ht="20.149999999999999" customHeight="1">
      <c r="A122" s="216"/>
      <c r="B122" s="249">
        <f>'TECH DATA ENTRY'!B150</f>
        <v>10</v>
      </c>
      <c r="C122" s="217" t="str">
        <f>'TECH DATA ENTRY'!O150</f>
        <v/>
      </c>
      <c r="D122" s="217">
        <v>1</v>
      </c>
      <c r="E122" s="218" t="e">
        <f t="shared" si="12"/>
        <v>#VALUE!</v>
      </c>
      <c r="F122" s="217">
        <f>'TECH DATA ENTRY'!P150</f>
        <v>0</v>
      </c>
      <c r="G122" s="217">
        <v>1</v>
      </c>
      <c r="H122" s="218" t="e">
        <f t="shared" si="13"/>
        <v>#VALUE!</v>
      </c>
      <c r="I122" s="219">
        <f>'TECH DATA ENTRY'!Q150</f>
        <v>1.0000000000000001E-5</v>
      </c>
      <c r="J122" s="219" t="str">
        <f>'TECH DATA ENTRY'!$G$26</f>
        <v>Digital</v>
      </c>
      <c r="K122" s="217">
        <v>1</v>
      </c>
      <c r="L122" s="218">
        <f t="shared" si="14"/>
        <v>2.8867513459481293E-6</v>
      </c>
      <c r="M122" s="219">
        <f>'TECH DATA ENTRY'!R150</f>
        <v>0</v>
      </c>
      <c r="N122" s="219" t="str">
        <f>'TECH DATA ENTRY'!$G$26</f>
        <v>Digital</v>
      </c>
      <c r="O122" s="217">
        <v>1</v>
      </c>
      <c r="P122" s="218">
        <f t="shared" si="15"/>
        <v>0</v>
      </c>
      <c r="Q122" s="220">
        <f>'TECH DATA ENTRY'!S150</f>
        <v>1.5100000000000001E-3</v>
      </c>
      <c r="R122" s="217">
        <v>1</v>
      </c>
      <c r="S122" s="218">
        <f t="shared" si="16"/>
        <v>7.5500000000000003E-4</v>
      </c>
      <c r="T122" s="220">
        <f>'TECH DATA ENTRY'!T150</f>
        <v>0</v>
      </c>
      <c r="U122" s="217">
        <v>1</v>
      </c>
      <c r="V122" s="218">
        <f t="shared" si="17"/>
        <v>0</v>
      </c>
      <c r="W122" s="220">
        <f>'TECH DATA ENTRY'!U150</f>
        <v>0</v>
      </c>
      <c r="X122" s="217">
        <v>1</v>
      </c>
      <c r="Y122" s="218">
        <f t="shared" si="18"/>
        <v>0</v>
      </c>
      <c r="Z122" s="220">
        <f>'TECH DATA ENTRY'!V150</f>
        <v>0</v>
      </c>
      <c r="AA122" s="217">
        <v>1</v>
      </c>
      <c r="AB122" s="218">
        <f t="shared" si="19"/>
        <v>0</v>
      </c>
      <c r="AC122" s="220">
        <f>'TECH DATA ENTRY'!W150</f>
        <v>0</v>
      </c>
      <c r="AD122" s="217">
        <v>1</v>
      </c>
      <c r="AE122" s="218">
        <f t="shared" si="20"/>
        <v>0</v>
      </c>
      <c r="AF122" s="220">
        <f>'TECH DATA ENTRY'!X150</f>
        <v>0</v>
      </c>
      <c r="AG122" s="217">
        <v>1</v>
      </c>
      <c r="AH122" s="218">
        <f t="shared" si="21"/>
        <v>0</v>
      </c>
      <c r="AI122" s="219" t="e">
        <f t="shared" si="22"/>
        <v>#VALUE!</v>
      </c>
      <c r="AJ122" s="221" t="str">
        <f>'TECH DATA ENTRY'!K150</f>
        <v/>
      </c>
      <c r="AK122" s="222" t="e">
        <f t="shared" si="23"/>
        <v>#VALUE!</v>
      </c>
      <c r="AL122" s="222" t="e">
        <f>VLOOKUP(AK122,'AUX TABLES'!A$2:B$29,2)</f>
        <v>#VALUE!</v>
      </c>
      <c r="AM122" s="223" t="str">
        <f>IF(OR(ISTEXT(B122)=TRUE,ISTEXT('TECH DATA ENTRY'!L150)=TRUE), "NA",AL122*AI122)</f>
        <v>NA</v>
      </c>
      <c r="AN122" s="79"/>
    </row>
    <row r="123" spans="1:40" s="80" customFormat="1" ht="20.149999999999999" customHeight="1">
      <c r="A123" s="216"/>
      <c r="B123" s="249">
        <f>'TECH DATA ENTRY'!B151</f>
        <v>0</v>
      </c>
      <c r="C123" s="217" t="str">
        <f>'TECH DATA ENTRY'!O151</f>
        <v/>
      </c>
      <c r="D123" s="217">
        <v>1</v>
      </c>
      <c r="E123" s="218" t="e">
        <f t="shared" si="12"/>
        <v>#VALUE!</v>
      </c>
      <c r="F123" s="217">
        <f>'TECH DATA ENTRY'!P151</f>
        <v>0</v>
      </c>
      <c r="G123" s="217">
        <v>1</v>
      </c>
      <c r="H123" s="218" t="e">
        <f t="shared" si="13"/>
        <v>#VALUE!</v>
      </c>
      <c r="I123" s="219">
        <f>'TECH DATA ENTRY'!Q151</f>
        <v>1E-4</v>
      </c>
      <c r="J123" s="219" t="str">
        <f>'TECH DATA ENTRY'!$G$26</f>
        <v>Digital</v>
      </c>
      <c r="K123" s="217">
        <v>1</v>
      </c>
      <c r="L123" s="218">
        <f t="shared" si="14"/>
        <v>2.8867513459481293E-5</v>
      </c>
      <c r="M123" s="219">
        <f>'TECH DATA ENTRY'!R151</f>
        <v>0</v>
      </c>
      <c r="N123" s="219" t="str">
        <f>'TECH DATA ENTRY'!$G$26</f>
        <v>Digital</v>
      </c>
      <c r="O123" s="217">
        <v>1</v>
      </c>
      <c r="P123" s="218">
        <f t="shared" si="15"/>
        <v>0</v>
      </c>
      <c r="Q123" s="220">
        <f>'TECH DATA ENTRY'!S151</f>
        <v>1.4E-3</v>
      </c>
      <c r="R123" s="217">
        <v>1</v>
      </c>
      <c r="S123" s="218">
        <f t="shared" si="16"/>
        <v>6.9999999999999999E-4</v>
      </c>
      <c r="T123" s="220">
        <f>'TECH DATA ENTRY'!T151</f>
        <v>0</v>
      </c>
      <c r="U123" s="217">
        <v>1</v>
      </c>
      <c r="V123" s="218">
        <f t="shared" si="17"/>
        <v>0</v>
      </c>
      <c r="W123" s="220">
        <f>'TECH DATA ENTRY'!U151</f>
        <v>0</v>
      </c>
      <c r="X123" s="217">
        <v>1</v>
      </c>
      <c r="Y123" s="218">
        <f t="shared" si="18"/>
        <v>0</v>
      </c>
      <c r="Z123" s="220">
        <f>'TECH DATA ENTRY'!V151</f>
        <v>0</v>
      </c>
      <c r="AA123" s="217">
        <v>1</v>
      </c>
      <c r="AB123" s="218">
        <f t="shared" si="19"/>
        <v>0</v>
      </c>
      <c r="AC123" s="220">
        <f>'TECH DATA ENTRY'!W151</f>
        <v>0</v>
      </c>
      <c r="AD123" s="217">
        <v>1</v>
      </c>
      <c r="AE123" s="218">
        <f t="shared" si="20"/>
        <v>0</v>
      </c>
      <c r="AF123" s="220">
        <f>'TECH DATA ENTRY'!X151</f>
        <v>0</v>
      </c>
      <c r="AG123" s="217">
        <v>1</v>
      </c>
      <c r="AH123" s="218">
        <f t="shared" si="21"/>
        <v>0</v>
      </c>
      <c r="AI123" s="219" t="e">
        <f t="shared" si="22"/>
        <v>#VALUE!</v>
      </c>
      <c r="AJ123" s="221" t="str">
        <f>'TECH DATA ENTRY'!K151</f>
        <v/>
      </c>
      <c r="AK123" s="222" t="e">
        <f t="shared" si="23"/>
        <v>#VALUE!</v>
      </c>
      <c r="AL123" s="222" t="e">
        <f>VLOOKUP(AK123,'AUX TABLES'!A$2:B$29,2)</f>
        <v>#VALUE!</v>
      </c>
      <c r="AM123" s="223" t="str">
        <f>IF(OR(ISTEXT(B123)=TRUE,ISTEXT('TECH DATA ENTRY'!L151)=TRUE), "NA",AL123*AI123)</f>
        <v>NA</v>
      </c>
      <c r="AN123" s="79"/>
    </row>
    <row r="124" spans="1:40" s="80" customFormat="1" ht="20.149999999999999" customHeight="1">
      <c r="A124" s="216"/>
      <c r="B124" s="249">
        <f>'TECH DATA ENTRY'!B152</f>
        <v>100</v>
      </c>
      <c r="C124" s="217" t="str">
        <f>'TECH DATA ENTRY'!O152</f>
        <v/>
      </c>
      <c r="D124" s="217">
        <v>1</v>
      </c>
      <c r="E124" s="218" t="e">
        <f t="shared" si="12"/>
        <v>#VALUE!</v>
      </c>
      <c r="F124" s="217">
        <f>'TECH DATA ENTRY'!P152</f>
        <v>0</v>
      </c>
      <c r="G124" s="217">
        <v>1</v>
      </c>
      <c r="H124" s="218" t="e">
        <f t="shared" si="13"/>
        <v>#VALUE!</v>
      </c>
      <c r="I124" s="219">
        <f>'TECH DATA ENTRY'!Q152</f>
        <v>1E-4</v>
      </c>
      <c r="J124" s="219" t="str">
        <f>'TECH DATA ENTRY'!$G$26</f>
        <v>Digital</v>
      </c>
      <c r="K124" s="217">
        <v>1</v>
      </c>
      <c r="L124" s="218">
        <f t="shared" si="14"/>
        <v>2.8867513459481293E-5</v>
      </c>
      <c r="M124" s="219">
        <f>'TECH DATA ENTRY'!R152</f>
        <v>0</v>
      </c>
      <c r="N124" s="219" t="str">
        <f>'TECH DATA ENTRY'!$G$26</f>
        <v>Digital</v>
      </c>
      <c r="O124" s="217">
        <v>1</v>
      </c>
      <c r="P124" s="218">
        <f t="shared" si="15"/>
        <v>0</v>
      </c>
      <c r="Q124" s="220">
        <f>'TECH DATA ENTRY'!S152</f>
        <v>4.5999999999999999E-3</v>
      </c>
      <c r="R124" s="217">
        <v>1</v>
      </c>
      <c r="S124" s="218">
        <f t="shared" si="16"/>
        <v>2.3E-3</v>
      </c>
      <c r="T124" s="220">
        <f>'TECH DATA ENTRY'!T152</f>
        <v>0</v>
      </c>
      <c r="U124" s="217">
        <v>1</v>
      </c>
      <c r="V124" s="218">
        <f t="shared" si="17"/>
        <v>0</v>
      </c>
      <c r="W124" s="220">
        <f>'TECH DATA ENTRY'!U152</f>
        <v>0</v>
      </c>
      <c r="X124" s="217">
        <v>1</v>
      </c>
      <c r="Y124" s="218">
        <f t="shared" si="18"/>
        <v>0</v>
      </c>
      <c r="Z124" s="220">
        <f>'TECH DATA ENTRY'!V152</f>
        <v>0</v>
      </c>
      <c r="AA124" s="217">
        <v>1</v>
      </c>
      <c r="AB124" s="218">
        <f t="shared" si="19"/>
        <v>0</v>
      </c>
      <c r="AC124" s="220">
        <f>'TECH DATA ENTRY'!W152</f>
        <v>0</v>
      </c>
      <c r="AD124" s="217">
        <v>1</v>
      </c>
      <c r="AE124" s="218">
        <f t="shared" si="20"/>
        <v>0</v>
      </c>
      <c r="AF124" s="220">
        <f>'TECH DATA ENTRY'!X152</f>
        <v>0</v>
      </c>
      <c r="AG124" s="217">
        <v>1</v>
      </c>
      <c r="AH124" s="218">
        <f t="shared" si="21"/>
        <v>0</v>
      </c>
      <c r="AI124" s="219" t="e">
        <f t="shared" si="22"/>
        <v>#VALUE!</v>
      </c>
      <c r="AJ124" s="221" t="str">
        <f>'TECH DATA ENTRY'!K152</f>
        <v/>
      </c>
      <c r="AK124" s="222" t="e">
        <f t="shared" si="23"/>
        <v>#VALUE!</v>
      </c>
      <c r="AL124" s="222" t="e">
        <f>VLOOKUP(AK124,'AUX TABLES'!A$2:B$29,2)</f>
        <v>#VALUE!</v>
      </c>
      <c r="AM124" s="223" t="str">
        <f>IF(OR(ISTEXT(B124)=TRUE,ISTEXT('TECH DATA ENTRY'!L152)=TRUE), "NA",AL124*AI124)</f>
        <v>NA</v>
      </c>
      <c r="AN124" s="79"/>
    </row>
    <row r="125" spans="1:40" s="80" customFormat="1" ht="20.149999999999999" customHeight="1">
      <c r="A125" s="216"/>
      <c r="B125" s="249">
        <f>'TECH DATA ENTRY'!B153</f>
        <v>0</v>
      </c>
      <c r="C125" s="217" t="str">
        <f>'TECH DATA ENTRY'!O153</f>
        <v/>
      </c>
      <c r="D125" s="217">
        <v>1</v>
      </c>
      <c r="E125" s="218" t="e">
        <f t="shared" si="12"/>
        <v>#VALUE!</v>
      </c>
      <c r="F125" s="217">
        <f>'TECH DATA ENTRY'!P153</f>
        <v>0</v>
      </c>
      <c r="G125" s="217">
        <v>1</v>
      </c>
      <c r="H125" s="218" t="e">
        <f t="shared" si="13"/>
        <v>#VALUE!</v>
      </c>
      <c r="I125" s="219">
        <f>'TECH DATA ENTRY'!Q153</f>
        <v>9.9999999999999995E-7</v>
      </c>
      <c r="J125" s="219" t="str">
        <f>'TECH DATA ENTRY'!$G$26</f>
        <v>Digital</v>
      </c>
      <c r="K125" s="217">
        <v>1</v>
      </c>
      <c r="L125" s="218">
        <f t="shared" si="14"/>
        <v>2.8867513459481289E-7</v>
      </c>
      <c r="M125" s="219">
        <f>'TECH DATA ENTRY'!R153</f>
        <v>0</v>
      </c>
      <c r="N125" s="219" t="str">
        <f>'TECH DATA ENTRY'!$G$26</f>
        <v>Digital</v>
      </c>
      <c r="O125" s="217">
        <v>1</v>
      </c>
      <c r="P125" s="218">
        <f t="shared" si="15"/>
        <v>0</v>
      </c>
      <c r="Q125" s="220">
        <f>'TECH DATA ENTRY'!S153</f>
        <v>1.9999999999999999E-6</v>
      </c>
      <c r="R125" s="217">
        <v>1</v>
      </c>
      <c r="S125" s="218">
        <f t="shared" si="16"/>
        <v>9.9999999999999995E-7</v>
      </c>
      <c r="T125" s="220">
        <f>'TECH DATA ENTRY'!T153</f>
        <v>0</v>
      </c>
      <c r="U125" s="217">
        <v>1</v>
      </c>
      <c r="V125" s="218">
        <f t="shared" si="17"/>
        <v>0</v>
      </c>
      <c r="W125" s="220">
        <f>'TECH DATA ENTRY'!U153</f>
        <v>0</v>
      </c>
      <c r="X125" s="217">
        <v>1</v>
      </c>
      <c r="Y125" s="218">
        <f t="shared" si="18"/>
        <v>0</v>
      </c>
      <c r="Z125" s="220">
        <f>'TECH DATA ENTRY'!V153</f>
        <v>0</v>
      </c>
      <c r="AA125" s="217">
        <v>1</v>
      </c>
      <c r="AB125" s="218">
        <f t="shared" si="19"/>
        <v>0</v>
      </c>
      <c r="AC125" s="220">
        <f>'TECH DATA ENTRY'!W153</f>
        <v>0</v>
      </c>
      <c r="AD125" s="217">
        <v>1</v>
      </c>
      <c r="AE125" s="218">
        <f t="shared" si="20"/>
        <v>0</v>
      </c>
      <c r="AF125" s="220">
        <f>'TECH DATA ENTRY'!X153</f>
        <v>0</v>
      </c>
      <c r="AG125" s="217">
        <v>1</v>
      </c>
      <c r="AH125" s="218">
        <f t="shared" si="21"/>
        <v>0</v>
      </c>
      <c r="AI125" s="219" t="e">
        <f t="shared" si="22"/>
        <v>#VALUE!</v>
      </c>
      <c r="AJ125" s="221" t="str">
        <f>'TECH DATA ENTRY'!K153</f>
        <v/>
      </c>
      <c r="AK125" s="222" t="e">
        <f t="shared" si="23"/>
        <v>#VALUE!</v>
      </c>
      <c r="AL125" s="222" t="e">
        <f>VLOOKUP(AK125,'AUX TABLES'!A$2:B$29,2)</f>
        <v>#VALUE!</v>
      </c>
      <c r="AM125" s="223" t="str">
        <f>IF(OR(ISTEXT(B125)=TRUE,ISTEXT('TECH DATA ENTRY'!L153)=TRUE), "NA",AL125*AI125)</f>
        <v>NA</v>
      </c>
      <c r="AN125" s="79"/>
    </row>
    <row r="126" spans="1:40" s="80" customFormat="1" ht="20.149999999999999" customHeight="1">
      <c r="A126" s="216"/>
      <c r="B126" s="249">
        <f>'TECH DATA ENTRY'!B154</f>
        <v>1</v>
      </c>
      <c r="C126" s="217" t="str">
        <f>'TECH DATA ENTRY'!O154</f>
        <v/>
      </c>
      <c r="D126" s="217">
        <v>1</v>
      </c>
      <c r="E126" s="218" t="e">
        <f t="shared" si="12"/>
        <v>#VALUE!</v>
      </c>
      <c r="F126" s="217">
        <f>'TECH DATA ENTRY'!P154</f>
        <v>0</v>
      </c>
      <c r="G126" s="217">
        <v>1</v>
      </c>
      <c r="H126" s="218" t="e">
        <f t="shared" si="13"/>
        <v>#VALUE!</v>
      </c>
      <c r="I126" s="219">
        <f>'TECH DATA ENTRY'!Q154</f>
        <v>9.9999999999999995E-7</v>
      </c>
      <c r="J126" s="219" t="str">
        <f>'TECH DATA ENTRY'!$G$26</f>
        <v>Digital</v>
      </c>
      <c r="K126" s="217">
        <v>1</v>
      </c>
      <c r="L126" s="218">
        <f t="shared" si="14"/>
        <v>2.8867513459481289E-7</v>
      </c>
      <c r="M126" s="219">
        <f>'TECH DATA ENTRY'!R154</f>
        <v>0</v>
      </c>
      <c r="N126" s="219" t="str">
        <f>'TECH DATA ENTRY'!$G$26</f>
        <v>Digital</v>
      </c>
      <c r="O126" s="217">
        <v>1</v>
      </c>
      <c r="P126" s="218">
        <f t="shared" si="15"/>
        <v>0</v>
      </c>
      <c r="Q126" s="220">
        <f>'TECH DATA ENTRY'!S154</f>
        <v>3.3000000000000003E-5</v>
      </c>
      <c r="R126" s="217">
        <v>1</v>
      </c>
      <c r="S126" s="218">
        <f t="shared" si="16"/>
        <v>1.6500000000000001E-5</v>
      </c>
      <c r="T126" s="220">
        <f>'TECH DATA ENTRY'!T154</f>
        <v>0</v>
      </c>
      <c r="U126" s="217">
        <v>1</v>
      </c>
      <c r="V126" s="218">
        <f t="shared" si="17"/>
        <v>0</v>
      </c>
      <c r="W126" s="220">
        <f>'TECH DATA ENTRY'!U154</f>
        <v>0</v>
      </c>
      <c r="X126" s="217">
        <v>1</v>
      </c>
      <c r="Y126" s="218">
        <f t="shared" si="18"/>
        <v>0</v>
      </c>
      <c r="Z126" s="220">
        <f>'TECH DATA ENTRY'!V154</f>
        <v>0</v>
      </c>
      <c r="AA126" s="217">
        <v>1</v>
      </c>
      <c r="AB126" s="218">
        <f t="shared" si="19"/>
        <v>0</v>
      </c>
      <c r="AC126" s="220">
        <f>'TECH DATA ENTRY'!W154</f>
        <v>0</v>
      </c>
      <c r="AD126" s="217">
        <v>1</v>
      </c>
      <c r="AE126" s="218">
        <f t="shared" si="20"/>
        <v>0</v>
      </c>
      <c r="AF126" s="220">
        <f>'TECH DATA ENTRY'!X154</f>
        <v>0</v>
      </c>
      <c r="AG126" s="217">
        <v>1</v>
      </c>
      <c r="AH126" s="218">
        <f t="shared" si="21"/>
        <v>0</v>
      </c>
      <c r="AI126" s="219" t="e">
        <f t="shared" si="22"/>
        <v>#VALUE!</v>
      </c>
      <c r="AJ126" s="221" t="str">
        <f>'TECH DATA ENTRY'!K154</f>
        <v/>
      </c>
      <c r="AK126" s="222" t="e">
        <f t="shared" si="23"/>
        <v>#VALUE!</v>
      </c>
      <c r="AL126" s="222" t="e">
        <f>VLOOKUP(AK126,'AUX TABLES'!A$2:B$29,2)</f>
        <v>#VALUE!</v>
      </c>
      <c r="AM126" s="223" t="str">
        <f>IF(OR(ISTEXT(B126)=TRUE,ISTEXT('TECH DATA ENTRY'!L154)=TRUE), "NA",AL126*AI126)</f>
        <v>NA</v>
      </c>
      <c r="AN126" s="79"/>
    </row>
    <row r="127" spans="1:40" s="80" customFormat="1" ht="20.149999999999999" customHeight="1">
      <c r="A127" s="216"/>
      <c r="B127" s="249">
        <f>'TECH DATA ENTRY'!B155</f>
        <v>0</v>
      </c>
      <c r="C127" s="217" t="str">
        <f>'TECH DATA ENTRY'!O155</f>
        <v/>
      </c>
      <c r="D127" s="217">
        <v>1</v>
      </c>
      <c r="E127" s="218" t="e">
        <f t="shared" si="12"/>
        <v>#VALUE!</v>
      </c>
      <c r="F127" s="217">
        <f>'TECH DATA ENTRY'!P155</f>
        <v>0</v>
      </c>
      <c r="G127" s="217">
        <v>1</v>
      </c>
      <c r="H127" s="218" t="e">
        <f t="shared" si="13"/>
        <v>#VALUE!</v>
      </c>
      <c r="I127" s="219">
        <f>'TECH DATA ENTRY'!Q155</f>
        <v>1.0000000000000001E-5</v>
      </c>
      <c r="J127" s="219" t="str">
        <f>'TECH DATA ENTRY'!$G$26</f>
        <v>Digital</v>
      </c>
      <c r="K127" s="217">
        <v>1</v>
      </c>
      <c r="L127" s="218">
        <f t="shared" si="14"/>
        <v>2.8867513459481293E-6</v>
      </c>
      <c r="M127" s="219">
        <f>'TECH DATA ENTRY'!R155</f>
        <v>0</v>
      </c>
      <c r="N127" s="219" t="str">
        <f>'TECH DATA ENTRY'!$G$26</f>
        <v>Digital</v>
      </c>
      <c r="O127" s="217">
        <v>1</v>
      </c>
      <c r="P127" s="218">
        <f t="shared" si="15"/>
        <v>0</v>
      </c>
      <c r="Q127" s="220">
        <f>'TECH DATA ENTRY'!S155</f>
        <v>2.0000000000000002E-5</v>
      </c>
      <c r="R127" s="217">
        <v>1</v>
      </c>
      <c r="S127" s="218">
        <f t="shared" si="16"/>
        <v>1.0000000000000001E-5</v>
      </c>
      <c r="T127" s="220">
        <f>'TECH DATA ENTRY'!T155</f>
        <v>0</v>
      </c>
      <c r="U127" s="217">
        <v>1</v>
      </c>
      <c r="V127" s="218">
        <f t="shared" si="17"/>
        <v>0</v>
      </c>
      <c r="W127" s="220">
        <f>'TECH DATA ENTRY'!U155</f>
        <v>0</v>
      </c>
      <c r="X127" s="217">
        <v>1</v>
      </c>
      <c r="Y127" s="218">
        <f t="shared" si="18"/>
        <v>0</v>
      </c>
      <c r="Z127" s="220">
        <f>'TECH DATA ENTRY'!V155</f>
        <v>0</v>
      </c>
      <c r="AA127" s="217">
        <v>1</v>
      </c>
      <c r="AB127" s="218">
        <f t="shared" si="19"/>
        <v>0</v>
      </c>
      <c r="AC127" s="220">
        <f>'TECH DATA ENTRY'!W155</f>
        <v>0</v>
      </c>
      <c r="AD127" s="217">
        <v>1</v>
      </c>
      <c r="AE127" s="218">
        <f t="shared" si="20"/>
        <v>0</v>
      </c>
      <c r="AF127" s="220">
        <f>'TECH DATA ENTRY'!X155</f>
        <v>0</v>
      </c>
      <c r="AG127" s="217">
        <v>1</v>
      </c>
      <c r="AH127" s="218">
        <f t="shared" si="21"/>
        <v>0</v>
      </c>
      <c r="AI127" s="219" t="e">
        <f t="shared" si="22"/>
        <v>#VALUE!</v>
      </c>
      <c r="AJ127" s="221" t="str">
        <f>'TECH DATA ENTRY'!K155</f>
        <v/>
      </c>
      <c r="AK127" s="222" t="e">
        <f t="shared" si="23"/>
        <v>#VALUE!</v>
      </c>
      <c r="AL127" s="222" t="e">
        <f>VLOOKUP(AK127,'AUX TABLES'!A$2:B$29,2)</f>
        <v>#VALUE!</v>
      </c>
      <c r="AM127" s="223" t="str">
        <f>IF(OR(ISTEXT(B127)=TRUE,ISTEXT('TECH DATA ENTRY'!L155)=TRUE), "NA",AL127*AI127)</f>
        <v>NA</v>
      </c>
      <c r="AN127" s="79"/>
    </row>
    <row r="128" spans="1:40" s="80" customFormat="1" ht="20.149999999999999" customHeight="1">
      <c r="A128" s="216"/>
      <c r="B128" s="249">
        <f>'TECH DATA ENTRY'!B156</f>
        <v>10</v>
      </c>
      <c r="C128" s="217" t="str">
        <f>'TECH DATA ENTRY'!O156</f>
        <v/>
      </c>
      <c r="D128" s="217">
        <v>1</v>
      </c>
      <c r="E128" s="218" t="e">
        <f t="shared" si="12"/>
        <v>#VALUE!</v>
      </c>
      <c r="F128" s="217">
        <f>'TECH DATA ENTRY'!P156</f>
        <v>0</v>
      </c>
      <c r="G128" s="217">
        <v>1</v>
      </c>
      <c r="H128" s="218" t="e">
        <f t="shared" si="13"/>
        <v>#VALUE!</v>
      </c>
      <c r="I128" s="219">
        <f>'TECH DATA ENTRY'!Q156</f>
        <v>1.0000000000000001E-5</v>
      </c>
      <c r="J128" s="219" t="str">
        <f>'TECH DATA ENTRY'!$G$26</f>
        <v>Digital</v>
      </c>
      <c r="K128" s="217">
        <v>1</v>
      </c>
      <c r="L128" s="218">
        <f t="shared" si="14"/>
        <v>2.8867513459481293E-6</v>
      </c>
      <c r="M128" s="219">
        <f>'TECH DATA ENTRY'!R156</f>
        <v>0</v>
      </c>
      <c r="N128" s="219" t="str">
        <f>'TECH DATA ENTRY'!$G$26</f>
        <v>Digital</v>
      </c>
      <c r="O128" s="217">
        <v>1</v>
      </c>
      <c r="P128" s="218">
        <f t="shared" si="15"/>
        <v>0</v>
      </c>
      <c r="Q128" s="220">
        <f>'TECH DATA ENTRY'!S156</f>
        <v>2.7E-4</v>
      </c>
      <c r="R128" s="217">
        <v>1</v>
      </c>
      <c r="S128" s="218">
        <f t="shared" si="16"/>
        <v>1.35E-4</v>
      </c>
      <c r="T128" s="220">
        <f>'TECH DATA ENTRY'!T156</f>
        <v>0</v>
      </c>
      <c r="U128" s="217">
        <v>1</v>
      </c>
      <c r="V128" s="218">
        <f t="shared" si="17"/>
        <v>0</v>
      </c>
      <c r="W128" s="220">
        <f>'TECH DATA ENTRY'!U156</f>
        <v>0</v>
      </c>
      <c r="X128" s="217">
        <v>1</v>
      </c>
      <c r="Y128" s="218">
        <f t="shared" si="18"/>
        <v>0</v>
      </c>
      <c r="Z128" s="220">
        <f>'TECH DATA ENTRY'!V156</f>
        <v>0</v>
      </c>
      <c r="AA128" s="217">
        <v>1</v>
      </c>
      <c r="AB128" s="218">
        <f t="shared" si="19"/>
        <v>0</v>
      </c>
      <c r="AC128" s="220">
        <f>'TECH DATA ENTRY'!W156</f>
        <v>0</v>
      </c>
      <c r="AD128" s="217">
        <v>1</v>
      </c>
      <c r="AE128" s="218">
        <f t="shared" si="20"/>
        <v>0</v>
      </c>
      <c r="AF128" s="220">
        <f>'TECH DATA ENTRY'!X156</f>
        <v>0</v>
      </c>
      <c r="AG128" s="217">
        <v>1</v>
      </c>
      <c r="AH128" s="218">
        <f t="shared" si="21"/>
        <v>0</v>
      </c>
      <c r="AI128" s="219" t="e">
        <f t="shared" si="22"/>
        <v>#VALUE!</v>
      </c>
      <c r="AJ128" s="221" t="str">
        <f>'TECH DATA ENTRY'!K156</f>
        <v/>
      </c>
      <c r="AK128" s="222" t="e">
        <f t="shared" si="23"/>
        <v>#VALUE!</v>
      </c>
      <c r="AL128" s="222" t="e">
        <f>VLOOKUP(AK128,'AUX TABLES'!A$2:B$29,2)</f>
        <v>#VALUE!</v>
      </c>
      <c r="AM128" s="223" t="str">
        <f>IF(OR(ISTEXT(B128)=TRUE,ISTEXT('TECH DATA ENTRY'!L156)=TRUE), "NA",AL128*AI128)</f>
        <v>NA</v>
      </c>
      <c r="AN128" s="79"/>
    </row>
    <row r="129" spans="1:40" s="80" customFormat="1" ht="20.149999999999999" customHeight="1">
      <c r="A129" s="216"/>
      <c r="B129" s="249">
        <f>'TECH DATA ENTRY'!B157</f>
        <v>0</v>
      </c>
      <c r="C129" s="217" t="str">
        <f>'TECH DATA ENTRY'!O157</f>
        <v/>
      </c>
      <c r="D129" s="217">
        <v>1</v>
      </c>
      <c r="E129" s="218" t="e">
        <f t="shared" si="12"/>
        <v>#VALUE!</v>
      </c>
      <c r="F129" s="217">
        <f>'TECH DATA ENTRY'!P157</f>
        <v>0</v>
      </c>
      <c r="G129" s="217">
        <v>1</v>
      </c>
      <c r="H129" s="218" t="e">
        <f t="shared" si="13"/>
        <v>#VALUE!</v>
      </c>
      <c r="I129" s="219">
        <f>'TECH DATA ENTRY'!Q157</f>
        <v>1E-4</v>
      </c>
      <c r="J129" s="219" t="str">
        <f>'TECH DATA ENTRY'!$G$26</f>
        <v>Digital</v>
      </c>
      <c r="K129" s="217">
        <v>1</v>
      </c>
      <c r="L129" s="218">
        <f t="shared" si="14"/>
        <v>2.8867513459481293E-5</v>
      </c>
      <c r="M129" s="219">
        <f>'TECH DATA ENTRY'!R157</f>
        <v>0</v>
      </c>
      <c r="N129" s="219" t="str">
        <f>'TECH DATA ENTRY'!$G$26</f>
        <v>Digital</v>
      </c>
      <c r="O129" s="217">
        <v>1</v>
      </c>
      <c r="P129" s="218">
        <f t="shared" si="15"/>
        <v>0</v>
      </c>
      <c r="Q129" s="220">
        <f>'TECH DATA ENTRY'!S157</f>
        <v>2.0000000000000001E-4</v>
      </c>
      <c r="R129" s="217">
        <v>1</v>
      </c>
      <c r="S129" s="218">
        <f t="shared" si="16"/>
        <v>1E-4</v>
      </c>
      <c r="T129" s="220">
        <f>'TECH DATA ENTRY'!T157</f>
        <v>0</v>
      </c>
      <c r="U129" s="217">
        <v>1</v>
      </c>
      <c r="V129" s="218">
        <f t="shared" si="17"/>
        <v>0</v>
      </c>
      <c r="W129" s="220">
        <f>'TECH DATA ENTRY'!U157</f>
        <v>0</v>
      </c>
      <c r="X129" s="217">
        <v>1</v>
      </c>
      <c r="Y129" s="218">
        <f t="shared" si="18"/>
        <v>0</v>
      </c>
      <c r="Z129" s="220">
        <f>'TECH DATA ENTRY'!V157</f>
        <v>0</v>
      </c>
      <c r="AA129" s="217">
        <v>1</v>
      </c>
      <c r="AB129" s="218">
        <f t="shared" si="19"/>
        <v>0</v>
      </c>
      <c r="AC129" s="220">
        <f>'TECH DATA ENTRY'!W157</f>
        <v>0</v>
      </c>
      <c r="AD129" s="217">
        <v>1</v>
      </c>
      <c r="AE129" s="218">
        <f t="shared" si="20"/>
        <v>0</v>
      </c>
      <c r="AF129" s="220">
        <f>'TECH DATA ENTRY'!X157</f>
        <v>0</v>
      </c>
      <c r="AG129" s="217">
        <v>1</v>
      </c>
      <c r="AH129" s="218">
        <f t="shared" si="21"/>
        <v>0</v>
      </c>
      <c r="AI129" s="219" t="e">
        <f t="shared" si="22"/>
        <v>#VALUE!</v>
      </c>
      <c r="AJ129" s="221" t="str">
        <f>'TECH DATA ENTRY'!K157</f>
        <v/>
      </c>
      <c r="AK129" s="222" t="e">
        <f t="shared" si="23"/>
        <v>#VALUE!</v>
      </c>
      <c r="AL129" s="222" t="e">
        <f>VLOOKUP(AK129,'AUX TABLES'!A$2:B$29,2)</f>
        <v>#VALUE!</v>
      </c>
      <c r="AM129" s="223" t="str">
        <f>IF(OR(ISTEXT(B129)=TRUE,ISTEXT('TECH DATA ENTRY'!L157)=TRUE), "NA",AL129*AI129)</f>
        <v>NA</v>
      </c>
      <c r="AN129" s="79"/>
    </row>
    <row r="130" spans="1:40" s="80" customFormat="1" ht="20.149999999999999" customHeight="1">
      <c r="A130" s="216"/>
      <c r="B130" s="249">
        <f>'TECH DATA ENTRY'!B158</f>
        <v>100</v>
      </c>
      <c r="C130" s="217" t="str">
        <f>'TECH DATA ENTRY'!O158</f>
        <v/>
      </c>
      <c r="D130" s="217">
        <v>1</v>
      </c>
      <c r="E130" s="218" t="e">
        <f t="shared" si="12"/>
        <v>#VALUE!</v>
      </c>
      <c r="F130" s="217">
        <f>'TECH DATA ENTRY'!P158</f>
        <v>0</v>
      </c>
      <c r="G130" s="217">
        <v>1</v>
      </c>
      <c r="H130" s="218" t="e">
        <f t="shared" si="13"/>
        <v>#VALUE!</v>
      </c>
      <c r="I130" s="219">
        <f>'TECH DATA ENTRY'!Q158</f>
        <v>1E-4</v>
      </c>
      <c r="J130" s="219" t="str">
        <f>'TECH DATA ENTRY'!$G$26</f>
        <v>Digital</v>
      </c>
      <c r="K130" s="217">
        <v>1</v>
      </c>
      <c r="L130" s="218">
        <f t="shared" si="14"/>
        <v>2.8867513459481293E-5</v>
      </c>
      <c r="M130" s="219">
        <f>'TECH DATA ENTRY'!R158</f>
        <v>0</v>
      </c>
      <c r="N130" s="219" t="str">
        <f>'TECH DATA ENTRY'!$G$26</f>
        <v>Digital</v>
      </c>
      <c r="O130" s="217">
        <v>1</v>
      </c>
      <c r="P130" s="218">
        <f t="shared" si="15"/>
        <v>0</v>
      </c>
      <c r="Q130" s="220">
        <f>'TECH DATA ENTRY'!S158</f>
        <v>3.5000000000000005E-3</v>
      </c>
      <c r="R130" s="217">
        <v>1</v>
      </c>
      <c r="S130" s="218">
        <f t="shared" si="16"/>
        <v>1.7500000000000003E-3</v>
      </c>
      <c r="T130" s="220">
        <f>'TECH DATA ENTRY'!T158</f>
        <v>0</v>
      </c>
      <c r="U130" s="217">
        <v>1</v>
      </c>
      <c r="V130" s="218">
        <f t="shared" si="17"/>
        <v>0</v>
      </c>
      <c r="W130" s="220">
        <f>'TECH DATA ENTRY'!U158</f>
        <v>0</v>
      </c>
      <c r="X130" s="217">
        <v>1</v>
      </c>
      <c r="Y130" s="218">
        <f t="shared" si="18"/>
        <v>0</v>
      </c>
      <c r="Z130" s="220">
        <f>'TECH DATA ENTRY'!V158</f>
        <v>0</v>
      </c>
      <c r="AA130" s="217">
        <v>1</v>
      </c>
      <c r="AB130" s="218">
        <f t="shared" si="19"/>
        <v>0</v>
      </c>
      <c r="AC130" s="220">
        <f>'TECH DATA ENTRY'!W158</f>
        <v>0</v>
      </c>
      <c r="AD130" s="217">
        <v>1</v>
      </c>
      <c r="AE130" s="218">
        <f t="shared" si="20"/>
        <v>0</v>
      </c>
      <c r="AF130" s="220">
        <f>'TECH DATA ENTRY'!X158</f>
        <v>0</v>
      </c>
      <c r="AG130" s="217">
        <v>1</v>
      </c>
      <c r="AH130" s="218">
        <f t="shared" si="21"/>
        <v>0</v>
      </c>
      <c r="AI130" s="219" t="e">
        <f t="shared" si="22"/>
        <v>#VALUE!</v>
      </c>
      <c r="AJ130" s="221" t="str">
        <f>'TECH DATA ENTRY'!K158</f>
        <v/>
      </c>
      <c r="AK130" s="222" t="e">
        <f t="shared" si="23"/>
        <v>#VALUE!</v>
      </c>
      <c r="AL130" s="222" t="e">
        <f>VLOOKUP(AK130,'AUX TABLES'!A$2:B$29,2)</f>
        <v>#VALUE!</v>
      </c>
      <c r="AM130" s="223" t="str">
        <f>IF(OR(ISTEXT(B130)=TRUE,ISTEXT('TECH DATA ENTRY'!L158)=TRUE), "NA",AL130*AI130)</f>
        <v>NA</v>
      </c>
      <c r="AN130" s="79"/>
    </row>
    <row r="131" spans="1:40" s="80" customFormat="1" ht="20.149999999999999" customHeight="1">
      <c r="A131" s="216"/>
      <c r="B131" s="249">
        <f>'TECH DATA ENTRY'!B159</f>
        <v>0</v>
      </c>
      <c r="C131" s="217">
        <f>'TECH DATA ENTRY'!O159</f>
        <v>0</v>
      </c>
      <c r="D131" s="217">
        <v>1</v>
      </c>
      <c r="E131" s="218" t="e">
        <f t="shared" si="12"/>
        <v>#DIV/0!</v>
      </c>
      <c r="F131" s="217">
        <f>'TECH DATA ENTRY'!P159</f>
        <v>0</v>
      </c>
      <c r="G131" s="217">
        <v>1</v>
      </c>
      <c r="H131" s="218" t="e">
        <f t="shared" si="13"/>
        <v>#DIV/0!</v>
      </c>
      <c r="I131" s="219">
        <f>'TECH DATA ENTRY'!Q159</f>
        <v>0</v>
      </c>
      <c r="J131" s="219" t="str">
        <f>'TECH DATA ENTRY'!$G$26</f>
        <v>Digital</v>
      </c>
      <c r="K131" s="217">
        <v>1</v>
      </c>
      <c r="L131" s="218">
        <f t="shared" si="14"/>
        <v>0</v>
      </c>
      <c r="M131" s="219">
        <f>'TECH DATA ENTRY'!R159</f>
        <v>0</v>
      </c>
      <c r="N131" s="219" t="str">
        <f>'TECH DATA ENTRY'!$G$26</f>
        <v>Digital</v>
      </c>
      <c r="O131" s="217">
        <v>1</v>
      </c>
      <c r="P131" s="218">
        <f t="shared" si="15"/>
        <v>0</v>
      </c>
      <c r="Q131" s="220">
        <f>'TECH DATA ENTRY'!S159</f>
        <v>0</v>
      </c>
      <c r="R131" s="217">
        <v>1</v>
      </c>
      <c r="S131" s="218">
        <f t="shared" si="16"/>
        <v>0</v>
      </c>
      <c r="T131" s="220">
        <f>'TECH DATA ENTRY'!T159</f>
        <v>0</v>
      </c>
      <c r="U131" s="217">
        <v>1</v>
      </c>
      <c r="V131" s="218">
        <f t="shared" si="17"/>
        <v>0</v>
      </c>
      <c r="W131" s="220">
        <f>'TECH DATA ENTRY'!U159</f>
        <v>0</v>
      </c>
      <c r="X131" s="217">
        <v>1</v>
      </c>
      <c r="Y131" s="218">
        <f t="shared" si="18"/>
        <v>0</v>
      </c>
      <c r="Z131" s="220">
        <f>'TECH DATA ENTRY'!V159</f>
        <v>0</v>
      </c>
      <c r="AA131" s="217">
        <v>1</v>
      </c>
      <c r="AB131" s="218">
        <f t="shared" si="19"/>
        <v>0</v>
      </c>
      <c r="AC131" s="220">
        <f>'TECH DATA ENTRY'!W159</f>
        <v>0</v>
      </c>
      <c r="AD131" s="217">
        <v>1</v>
      </c>
      <c r="AE131" s="218">
        <f t="shared" si="20"/>
        <v>0</v>
      </c>
      <c r="AF131" s="220">
        <f>'TECH DATA ENTRY'!X159</f>
        <v>0</v>
      </c>
      <c r="AG131" s="217">
        <v>1</v>
      </c>
      <c r="AH131" s="218">
        <f t="shared" si="21"/>
        <v>0</v>
      </c>
      <c r="AI131" s="219" t="e">
        <f t="shared" si="22"/>
        <v>#DIV/0!</v>
      </c>
      <c r="AJ131" s="221">
        <f>'TECH DATA ENTRY'!K159</f>
        <v>0</v>
      </c>
      <c r="AK131" s="222" t="e">
        <f t="shared" si="23"/>
        <v>#DIV/0!</v>
      </c>
      <c r="AL131" s="222" t="e">
        <f>VLOOKUP(AK131,'AUX TABLES'!A$2:B$29,2)</f>
        <v>#DIV/0!</v>
      </c>
      <c r="AM131" s="223" t="e">
        <f>IF(OR(ISTEXT(B131)=TRUE,ISTEXT('TECH DATA ENTRY'!L159)=TRUE), "NA",AL131*AI131)</f>
        <v>#DIV/0!</v>
      </c>
      <c r="AN131" s="79"/>
    </row>
    <row r="132" spans="1:40" s="80" customFormat="1" ht="20.149999999999999" customHeight="1">
      <c r="A132" s="216"/>
      <c r="B132" s="249">
        <f>'TECH DATA ENTRY'!B160</f>
        <v>0</v>
      </c>
      <c r="C132" s="217">
        <f>'TECH DATA ENTRY'!O160</f>
        <v>0</v>
      </c>
      <c r="D132" s="217">
        <v>1</v>
      </c>
      <c r="E132" s="218" t="e">
        <f t="shared" si="12"/>
        <v>#DIV/0!</v>
      </c>
      <c r="F132" s="217">
        <f>'TECH DATA ENTRY'!P160</f>
        <v>0</v>
      </c>
      <c r="G132" s="217">
        <v>1</v>
      </c>
      <c r="H132" s="218" t="e">
        <f t="shared" si="13"/>
        <v>#DIV/0!</v>
      </c>
      <c r="I132" s="219">
        <f>'TECH DATA ENTRY'!Q160</f>
        <v>0</v>
      </c>
      <c r="J132" s="219" t="str">
        <f>'TECH DATA ENTRY'!$G$26</f>
        <v>Digital</v>
      </c>
      <c r="K132" s="217">
        <v>1</v>
      </c>
      <c r="L132" s="218">
        <f t="shared" si="14"/>
        <v>0</v>
      </c>
      <c r="M132" s="219">
        <f>'TECH DATA ENTRY'!R160</f>
        <v>0</v>
      </c>
      <c r="N132" s="219" t="str">
        <f>'TECH DATA ENTRY'!$G$26</f>
        <v>Digital</v>
      </c>
      <c r="O132" s="217">
        <v>1</v>
      </c>
      <c r="P132" s="218">
        <f t="shared" si="15"/>
        <v>0</v>
      </c>
      <c r="Q132" s="220">
        <f>'TECH DATA ENTRY'!S160</f>
        <v>0</v>
      </c>
      <c r="R132" s="217">
        <v>1</v>
      </c>
      <c r="S132" s="218">
        <f t="shared" si="16"/>
        <v>0</v>
      </c>
      <c r="T132" s="220">
        <f>'TECH DATA ENTRY'!T160</f>
        <v>0</v>
      </c>
      <c r="U132" s="217">
        <v>1</v>
      </c>
      <c r="V132" s="218">
        <f t="shared" si="17"/>
        <v>0</v>
      </c>
      <c r="W132" s="220">
        <f>'TECH DATA ENTRY'!U160</f>
        <v>0</v>
      </c>
      <c r="X132" s="217">
        <v>1</v>
      </c>
      <c r="Y132" s="218">
        <f t="shared" si="18"/>
        <v>0</v>
      </c>
      <c r="Z132" s="220">
        <f>'TECH DATA ENTRY'!V160</f>
        <v>0</v>
      </c>
      <c r="AA132" s="217">
        <v>1</v>
      </c>
      <c r="AB132" s="218">
        <f t="shared" si="19"/>
        <v>0</v>
      </c>
      <c r="AC132" s="220">
        <f>'TECH DATA ENTRY'!W160</f>
        <v>0</v>
      </c>
      <c r="AD132" s="217">
        <v>1</v>
      </c>
      <c r="AE132" s="218">
        <f t="shared" si="20"/>
        <v>0</v>
      </c>
      <c r="AF132" s="220">
        <f>'TECH DATA ENTRY'!X160</f>
        <v>0</v>
      </c>
      <c r="AG132" s="217">
        <v>1</v>
      </c>
      <c r="AH132" s="218">
        <f t="shared" si="21"/>
        <v>0</v>
      </c>
      <c r="AI132" s="219" t="e">
        <f t="shared" si="22"/>
        <v>#DIV/0!</v>
      </c>
      <c r="AJ132" s="221">
        <f>'TECH DATA ENTRY'!K160</f>
        <v>0</v>
      </c>
      <c r="AK132" s="222" t="e">
        <f t="shared" si="23"/>
        <v>#DIV/0!</v>
      </c>
      <c r="AL132" s="222" t="e">
        <f>VLOOKUP(AK132,'AUX TABLES'!A$2:B$29,2)</f>
        <v>#DIV/0!</v>
      </c>
      <c r="AM132" s="223" t="e">
        <f>IF(OR(ISTEXT(B132)=TRUE,ISTEXT('TECH DATA ENTRY'!L160)=TRUE), "NA",AL132*AI132)</f>
        <v>#DIV/0!</v>
      </c>
      <c r="AN132" s="79"/>
    </row>
    <row r="133" spans="1:40" s="80" customFormat="1" ht="20.149999999999999" customHeight="1">
      <c r="A133" s="216"/>
      <c r="B133" s="249">
        <f>'TECH DATA ENTRY'!B161</f>
        <v>0</v>
      </c>
      <c r="C133" s="217">
        <f>'TECH DATA ENTRY'!O161</f>
        <v>0</v>
      </c>
      <c r="D133" s="217">
        <v>1</v>
      </c>
      <c r="E133" s="218" t="e">
        <f t="shared" si="12"/>
        <v>#DIV/0!</v>
      </c>
      <c r="F133" s="217">
        <f>'TECH DATA ENTRY'!P161</f>
        <v>0</v>
      </c>
      <c r="G133" s="217">
        <v>1</v>
      </c>
      <c r="H133" s="218" t="e">
        <f t="shared" si="13"/>
        <v>#DIV/0!</v>
      </c>
      <c r="I133" s="219">
        <f>'TECH DATA ENTRY'!Q161</f>
        <v>0</v>
      </c>
      <c r="J133" s="219" t="str">
        <f>'TECH DATA ENTRY'!$G$26</f>
        <v>Digital</v>
      </c>
      <c r="K133" s="217">
        <v>1</v>
      </c>
      <c r="L133" s="218">
        <f t="shared" si="14"/>
        <v>0</v>
      </c>
      <c r="M133" s="219">
        <f>'TECH DATA ENTRY'!R161</f>
        <v>0</v>
      </c>
      <c r="N133" s="219" t="str">
        <f>'TECH DATA ENTRY'!$G$26</f>
        <v>Digital</v>
      </c>
      <c r="O133" s="217">
        <v>1</v>
      </c>
      <c r="P133" s="218">
        <f t="shared" si="15"/>
        <v>0</v>
      </c>
      <c r="Q133" s="220">
        <f>'TECH DATA ENTRY'!S161</f>
        <v>0</v>
      </c>
      <c r="R133" s="217">
        <v>1</v>
      </c>
      <c r="S133" s="218">
        <f t="shared" si="16"/>
        <v>0</v>
      </c>
      <c r="T133" s="220">
        <f>'TECH DATA ENTRY'!T161</f>
        <v>0</v>
      </c>
      <c r="U133" s="217">
        <v>1</v>
      </c>
      <c r="V133" s="218">
        <f t="shared" si="17"/>
        <v>0</v>
      </c>
      <c r="W133" s="220">
        <f>'TECH DATA ENTRY'!U161</f>
        <v>0</v>
      </c>
      <c r="X133" s="217">
        <v>1</v>
      </c>
      <c r="Y133" s="218">
        <f t="shared" si="18"/>
        <v>0</v>
      </c>
      <c r="Z133" s="220">
        <f>'TECH DATA ENTRY'!V161</f>
        <v>0</v>
      </c>
      <c r="AA133" s="217">
        <v>1</v>
      </c>
      <c r="AB133" s="218">
        <f t="shared" si="19"/>
        <v>0</v>
      </c>
      <c r="AC133" s="220">
        <f>'TECH DATA ENTRY'!W161</f>
        <v>0</v>
      </c>
      <c r="AD133" s="217">
        <v>1</v>
      </c>
      <c r="AE133" s="218">
        <f t="shared" si="20"/>
        <v>0</v>
      </c>
      <c r="AF133" s="220">
        <f>'TECH DATA ENTRY'!X161</f>
        <v>0</v>
      </c>
      <c r="AG133" s="217">
        <v>1</v>
      </c>
      <c r="AH133" s="218">
        <f t="shared" si="21"/>
        <v>0</v>
      </c>
      <c r="AI133" s="219" t="e">
        <f t="shared" si="22"/>
        <v>#DIV/0!</v>
      </c>
      <c r="AJ133" s="221">
        <f>'TECH DATA ENTRY'!K161</f>
        <v>0</v>
      </c>
      <c r="AK133" s="222" t="e">
        <f t="shared" si="23"/>
        <v>#DIV/0!</v>
      </c>
      <c r="AL133" s="222" t="e">
        <f>VLOOKUP(AK133,'AUX TABLES'!A$2:B$29,2)</f>
        <v>#DIV/0!</v>
      </c>
      <c r="AM133" s="223" t="e">
        <f>IF(OR(ISTEXT(B133)=TRUE,ISTEXT('TECH DATA ENTRY'!L161)=TRUE), "NA",AL133*AI133)</f>
        <v>#DIV/0!</v>
      </c>
      <c r="AN133" s="79"/>
    </row>
    <row r="134" spans="1:40" s="80" customFormat="1" ht="20.149999999999999" customHeight="1">
      <c r="A134" s="216"/>
      <c r="B134" s="249" t="str">
        <f>'TECH DATA ENTRY'!B162</f>
        <v>Nominal</v>
      </c>
      <c r="C134" s="217" t="str">
        <f>'TECH DATA ENTRY'!O162</f>
        <v>Uncertainty Components</v>
      </c>
      <c r="D134" s="217">
        <v>1</v>
      </c>
      <c r="E134" s="218" t="e">
        <f t="shared" si="12"/>
        <v>#VALUE!</v>
      </c>
      <c r="F134" s="217">
        <f>'TECH DATA ENTRY'!P162</f>
        <v>0</v>
      </c>
      <c r="G134" s="217">
        <v>1</v>
      </c>
      <c r="H134" s="218" t="e">
        <f t="shared" si="13"/>
        <v>#VALUE!</v>
      </c>
      <c r="I134" s="219">
        <f>'TECH DATA ENTRY'!Q162</f>
        <v>0</v>
      </c>
      <c r="J134" s="219" t="str">
        <f>'TECH DATA ENTRY'!$G$26</f>
        <v>Digital</v>
      </c>
      <c r="K134" s="217">
        <v>1</v>
      </c>
      <c r="L134" s="218">
        <f t="shared" si="14"/>
        <v>0</v>
      </c>
      <c r="M134" s="219">
        <f>'TECH DATA ENTRY'!R162</f>
        <v>0</v>
      </c>
      <c r="N134" s="219" t="str">
        <f>'TECH DATA ENTRY'!$G$26</f>
        <v>Digital</v>
      </c>
      <c r="O134" s="217">
        <v>1</v>
      </c>
      <c r="P134" s="218">
        <f t="shared" si="15"/>
        <v>0</v>
      </c>
      <c r="Q134" s="220">
        <f>'TECH DATA ENTRY'!S162</f>
        <v>0</v>
      </c>
      <c r="R134" s="217">
        <v>1</v>
      </c>
      <c r="S134" s="218">
        <f t="shared" si="16"/>
        <v>0</v>
      </c>
      <c r="T134" s="220">
        <f>'TECH DATA ENTRY'!T162</f>
        <v>0</v>
      </c>
      <c r="U134" s="217">
        <v>1</v>
      </c>
      <c r="V134" s="218">
        <f t="shared" si="17"/>
        <v>0</v>
      </c>
      <c r="W134" s="220">
        <f>'TECH DATA ENTRY'!U162</f>
        <v>0</v>
      </c>
      <c r="X134" s="217">
        <v>1</v>
      </c>
      <c r="Y134" s="218">
        <f t="shared" si="18"/>
        <v>0</v>
      </c>
      <c r="Z134" s="220">
        <f>'TECH DATA ENTRY'!V162</f>
        <v>0</v>
      </c>
      <c r="AA134" s="217">
        <v>1</v>
      </c>
      <c r="AB134" s="218">
        <f t="shared" si="19"/>
        <v>0</v>
      </c>
      <c r="AC134" s="220">
        <f>'TECH DATA ENTRY'!W162</f>
        <v>0</v>
      </c>
      <c r="AD134" s="217">
        <v>1</v>
      </c>
      <c r="AE134" s="218">
        <f t="shared" si="20"/>
        <v>0</v>
      </c>
      <c r="AF134" s="220">
        <f>'TECH DATA ENTRY'!X162</f>
        <v>0</v>
      </c>
      <c r="AG134" s="217">
        <v>1</v>
      </c>
      <c r="AH134" s="218">
        <f t="shared" si="21"/>
        <v>0</v>
      </c>
      <c r="AI134" s="219" t="e">
        <f t="shared" si="22"/>
        <v>#VALUE!</v>
      </c>
      <c r="AJ134" s="221" t="str">
        <f>'TECH DATA ENTRY'!K162</f>
        <v>n</v>
      </c>
      <c r="AK134" s="222" t="e">
        <f t="shared" si="23"/>
        <v>#VALUE!</v>
      </c>
      <c r="AL134" s="222" t="e">
        <f>VLOOKUP(AK134,'AUX TABLES'!A$2:B$29,2)</f>
        <v>#VALUE!</v>
      </c>
      <c r="AM134" s="223" t="str">
        <f>IF(OR(ISTEXT(B134)=TRUE,ISTEXT('TECH DATA ENTRY'!L162)=TRUE), "NA",AL134*AI134)</f>
        <v>NA</v>
      </c>
      <c r="AN134" s="79"/>
    </row>
    <row r="135" spans="1:40" s="80" customFormat="1" ht="20.149999999999999" customHeight="1">
      <c r="A135" s="216"/>
      <c r="B135" s="249">
        <f>'TECH DATA ENTRY'!B163</f>
        <v>0</v>
      </c>
      <c r="C135" s="217" t="str">
        <f>'TECH DATA ENTRY'!O163</f>
        <v>Stdev 1</v>
      </c>
      <c r="D135" s="217">
        <v>1</v>
      </c>
      <c r="E135" s="218" t="e">
        <f t="shared" si="12"/>
        <v>#VALUE!</v>
      </c>
      <c r="F135" s="217" t="str">
        <f>'TECH DATA ENTRY'!P163</f>
        <v>Stdev 2</v>
      </c>
      <c r="G135" s="217">
        <v>1</v>
      </c>
      <c r="H135" s="218" t="e">
        <f t="shared" si="13"/>
        <v>#VALUE!</v>
      </c>
      <c r="I135" s="219" t="str">
        <f>'TECH DATA ENTRY'!Q163</f>
        <v>Resolution 1</v>
      </c>
      <c r="J135" s="219" t="str">
        <f>'TECH DATA ENTRY'!$G$26</f>
        <v>Digital</v>
      </c>
      <c r="K135" s="217">
        <v>1</v>
      </c>
      <c r="L135" s="218" t="e">
        <f t="shared" si="14"/>
        <v>#VALUE!</v>
      </c>
      <c r="M135" s="219" t="str">
        <f>'TECH DATA ENTRY'!R163</f>
        <v>Resolution 2</v>
      </c>
      <c r="N135" s="219" t="str">
        <f>'TECH DATA ENTRY'!$G$26</f>
        <v>Digital</v>
      </c>
      <c r="O135" s="217">
        <v>1</v>
      </c>
      <c r="P135" s="218" t="e">
        <f t="shared" si="15"/>
        <v>#VALUE!</v>
      </c>
      <c r="Q135" s="220" t="str">
        <f>'TECH DATA ENTRY'!S163</f>
        <v>Scope Uncertainty</v>
      </c>
      <c r="R135" s="217">
        <v>1</v>
      </c>
      <c r="S135" s="218" t="e">
        <f t="shared" si="16"/>
        <v>#VALUE!</v>
      </c>
      <c r="T135" s="220" t="str">
        <f>'TECH DATA ENTRY'!T163</f>
        <v>STD 2 Cal Unc</v>
      </c>
      <c r="U135" s="217">
        <v>1</v>
      </c>
      <c r="V135" s="218" t="e">
        <f t="shared" si="17"/>
        <v>#VALUE!</v>
      </c>
      <c r="W135" s="220" t="str">
        <f>'TECH DATA ENTRY'!U163</f>
        <v>Others 1</v>
      </c>
      <c r="X135" s="217">
        <v>1</v>
      </c>
      <c r="Y135" s="218" t="e">
        <f t="shared" si="18"/>
        <v>#VALUE!</v>
      </c>
      <c r="Z135" s="220" t="str">
        <f>'TECH DATA ENTRY'!V163</f>
        <v>Others 2</v>
      </c>
      <c r="AA135" s="217">
        <v>1</v>
      </c>
      <c r="AB135" s="218" t="e">
        <f t="shared" si="19"/>
        <v>#VALUE!</v>
      </c>
      <c r="AC135" s="220" t="str">
        <f>'TECH DATA ENTRY'!W163</f>
        <v>Others 3</v>
      </c>
      <c r="AD135" s="217">
        <v>1</v>
      </c>
      <c r="AE135" s="218" t="e">
        <f t="shared" si="20"/>
        <v>#VALUE!</v>
      </c>
      <c r="AF135" s="220" t="str">
        <f>'TECH DATA ENTRY'!X163</f>
        <v>Others 4</v>
      </c>
      <c r="AG135" s="217">
        <v>1</v>
      </c>
      <c r="AH135" s="218" t="e">
        <f t="shared" si="21"/>
        <v>#VALUE!</v>
      </c>
      <c r="AI135" s="219" t="e">
        <f t="shared" si="22"/>
        <v>#VALUE!</v>
      </c>
      <c r="AJ135" s="221">
        <f>'TECH DATA ENTRY'!K163</f>
        <v>0</v>
      </c>
      <c r="AK135" s="222" t="e">
        <f t="shared" si="23"/>
        <v>#VALUE!</v>
      </c>
      <c r="AL135" s="222" t="e">
        <f>VLOOKUP(AK135,'AUX TABLES'!A$2:B$29,2)</f>
        <v>#VALUE!</v>
      </c>
      <c r="AM135" s="223" t="e">
        <f>IF(OR(ISTEXT(B135)=TRUE,ISTEXT('TECH DATA ENTRY'!L163)=TRUE), "NA",AL135*AI135)</f>
        <v>#VALUE!</v>
      </c>
      <c r="AN135" s="79"/>
    </row>
    <row r="136" spans="1:40" s="80" customFormat="1" ht="20.149999999999999" customHeight="1">
      <c r="A136" s="216"/>
      <c r="B136" s="249">
        <f>'TECH DATA ENTRY'!B164</f>
        <v>0</v>
      </c>
      <c r="C136" s="217" t="str">
        <f>'TECH DATA ENTRY'!O164</f>
        <v/>
      </c>
      <c r="D136" s="217">
        <v>1</v>
      </c>
      <c r="E136" s="218" t="e">
        <f t="shared" si="12"/>
        <v>#VALUE!</v>
      </c>
      <c r="F136" s="217">
        <f>'TECH DATA ENTRY'!P164</f>
        <v>0</v>
      </c>
      <c r="G136" s="217">
        <v>1</v>
      </c>
      <c r="H136" s="218" t="e">
        <f t="shared" si="13"/>
        <v>#VALUE!</v>
      </c>
      <c r="I136" s="219">
        <f>'TECH DATA ENTRY'!Q164</f>
        <v>1E-4</v>
      </c>
      <c r="J136" s="219" t="str">
        <f>'TECH DATA ENTRY'!$G$26</f>
        <v>Digital</v>
      </c>
      <c r="K136" s="217">
        <v>1</v>
      </c>
      <c r="L136" s="218">
        <f t="shared" si="14"/>
        <v>2.8867513459481293E-5</v>
      </c>
      <c r="M136" s="219">
        <f>'TECH DATA ENTRY'!R164</f>
        <v>0</v>
      </c>
      <c r="N136" s="219" t="str">
        <f>'TECH DATA ENTRY'!$G$26</f>
        <v>Digital</v>
      </c>
      <c r="O136" s="217">
        <v>1</v>
      </c>
      <c r="P136" s="218">
        <f t="shared" si="15"/>
        <v>0</v>
      </c>
      <c r="Q136" s="220">
        <f>'TECH DATA ENTRY'!S164</f>
        <v>1.4E-3</v>
      </c>
      <c r="R136" s="217">
        <v>1</v>
      </c>
      <c r="S136" s="218">
        <f t="shared" si="16"/>
        <v>6.9999999999999999E-4</v>
      </c>
      <c r="T136" s="220">
        <f>'TECH DATA ENTRY'!T164</f>
        <v>0</v>
      </c>
      <c r="U136" s="217">
        <v>1</v>
      </c>
      <c r="V136" s="218">
        <f t="shared" si="17"/>
        <v>0</v>
      </c>
      <c r="W136" s="220">
        <f>'TECH DATA ENTRY'!U164</f>
        <v>0</v>
      </c>
      <c r="X136" s="217">
        <v>1</v>
      </c>
      <c r="Y136" s="218">
        <f t="shared" si="18"/>
        <v>0</v>
      </c>
      <c r="Z136" s="220">
        <f>'TECH DATA ENTRY'!V164</f>
        <v>0</v>
      </c>
      <c r="AA136" s="217">
        <v>1</v>
      </c>
      <c r="AB136" s="218">
        <f t="shared" si="19"/>
        <v>0</v>
      </c>
      <c r="AC136" s="220">
        <f>'TECH DATA ENTRY'!W164</f>
        <v>0</v>
      </c>
      <c r="AD136" s="217">
        <v>1</v>
      </c>
      <c r="AE136" s="218">
        <f t="shared" si="20"/>
        <v>0</v>
      </c>
      <c r="AF136" s="220">
        <f>'TECH DATA ENTRY'!X164</f>
        <v>0</v>
      </c>
      <c r="AG136" s="217">
        <v>1</v>
      </c>
      <c r="AH136" s="218">
        <f t="shared" si="21"/>
        <v>0</v>
      </c>
      <c r="AI136" s="219" t="e">
        <f t="shared" si="22"/>
        <v>#VALUE!</v>
      </c>
      <c r="AJ136" s="221" t="str">
        <f>'TECH DATA ENTRY'!K164</f>
        <v/>
      </c>
      <c r="AK136" s="222" t="e">
        <f t="shared" si="23"/>
        <v>#VALUE!</v>
      </c>
      <c r="AL136" s="222" t="e">
        <f>VLOOKUP(AK136,'AUX TABLES'!A$2:B$29,2)</f>
        <v>#VALUE!</v>
      </c>
      <c r="AM136" s="223" t="str">
        <f>IF(OR(ISTEXT(B136)=TRUE,ISTEXT('TECH DATA ENTRY'!L164)=TRUE), "NA",AL136*AI136)</f>
        <v>NA</v>
      </c>
      <c r="AN136" s="79"/>
    </row>
    <row r="137" spans="1:40" s="80" customFormat="1" ht="20.149999999999999" customHeight="1">
      <c r="A137" s="216"/>
      <c r="B137" s="249">
        <f>'TECH DATA ENTRY'!B165</f>
        <v>100</v>
      </c>
      <c r="C137" s="217" t="str">
        <f>'TECH DATA ENTRY'!O165</f>
        <v/>
      </c>
      <c r="D137" s="217">
        <v>1</v>
      </c>
      <c r="E137" s="218" t="e">
        <f t="shared" ref="E137:E178" si="24">D137*(C137/SQRT(AJ137))+0.00000000000001</f>
        <v>#VALUE!</v>
      </c>
      <c r="F137" s="217">
        <f>'TECH DATA ENTRY'!P165</f>
        <v>0</v>
      </c>
      <c r="G137" s="217">
        <v>1</v>
      </c>
      <c r="H137" s="218" t="e">
        <f t="shared" ref="H137:H178" si="25">G137*(F137/SQRT(AJ137))+0.00000000000001</f>
        <v>#VALUE!</v>
      </c>
      <c r="I137" s="219">
        <f>'TECH DATA ENTRY'!Q165</f>
        <v>1E-4</v>
      </c>
      <c r="J137" s="219" t="str">
        <f>'TECH DATA ENTRY'!$G$26</f>
        <v>Digital</v>
      </c>
      <c r="K137" s="217">
        <v>1</v>
      </c>
      <c r="L137" s="218">
        <f t="shared" ref="L137:L200" si="26">IF(J137="Digital",I137/2/SQRT(3),I137/5/SQRT(3))*K137</f>
        <v>2.8867513459481293E-5</v>
      </c>
      <c r="M137" s="219">
        <f>'TECH DATA ENTRY'!R165</f>
        <v>0</v>
      </c>
      <c r="N137" s="219" t="str">
        <f>'TECH DATA ENTRY'!$G$26</f>
        <v>Digital</v>
      </c>
      <c r="O137" s="217">
        <v>1</v>
      </c>
      <c r="P137" s="218">
        <f t="shared" ref="P137:P178" si="27">IF(N137="Digital",M137/2/SQRT(3),M137/5/SQRT(3))*O137</f>
        <v>0</v>
      </c>
      <c r="Q137" s="220">
        <f>'TECH DATA ENTRY'!S165</f>
        <v>4.5999999999999999E-3</v>
      </c>
      <c r="R137" s="217">
        <v>1</v>
      </c>
      <c r="S137" s="218">
        <f t="shared" ref="S137:S178" si="28">Q137/IF(S$6="NORMAL", 2, IF(S$6="TRIANGULAR",SQRT(6),IF(S$6="U-SHAPED",SQRT(2),SQRT(3))))*R137</f>
        <v>2.3E-3</v>
      </c>
      <c r="T137" s="220">
        <f>'TECH DATA ENTRY'!T165</f>
        <v>0</v>
      </c>
      <c r="U137" s="217">
        <v>1</v>
      </c>
      <c r="V137" s="218">
        <f t="shared" ref="V137:V178" si="29">T137/IF(V$6="NORMAL", 2, IF(V$6="TRIANGULAR",SQRT(6),IF(V$6="U-SHAPED",SQRT(2),SQRT(3))))*U137</f>
        <v>0</v>
      </c>
      <c r="W137" s="220">
        <f>'TECH DATA ENTRY'!U165</f>
        <v>0</v>
      </c>
      <c r="X137" s="217">
        <v>1</v>
      </c>
      <c r="Y137" s="218">
        <f t="shared" ref="Y137:Y178" si="30">W137/IF(Y$6="NORMAL", 2, IF(Y$6="TRIANGULAR",SQRT(6),IF(Y$6="U-SHAPED",SQRT(2),SQRT(3))))*X137</f>
        <v>0</v>
      </c>
      <c r="Z137" s="220">
        <f>'TECH DATA ENTRY'!V165</f>
        <v>0</v>
      </c>
      <c r="AA137" s="217">
        <v>1</v>
      </c>
      <c r="AB137" s="218">
        <f t="shared" ref="AB137:AB178" si="31">Z137/IF(AB$6="NORMAL", 2, IF(AB$6="TRIANGULAR",SQRT(6),IF(AB$6="U-SHAPED",SQRT(2),SQRT(3))))*AA137</f>
        <v>0</v>
      </c>
      <c r="AC137" s="220">
        <f>'TECH DATA ENTRY'!W165</f>
        <v>0</v>
      </c>
      <c r="AD137" s="217">
        <v>1</v>
      </c>
      <c r="AE137" s="218">
        <f t="shared" ref="AE137:AE178" si="32">AC137/IF(AE$6="NORMAL", 2, IF(AE$6="TRIANGULAR",SQRT(6),IF(AE$6="U-SHAPED",SQRT(2),SQRT(3))))*AD137</f>
        <v>0</v>
      </c>
      <c r="AF137" s="220">
        <f>'TECH DATA ENTRY'!X165</f>
        <v>0</v>
      </c>
      <c r="AG137" s="217">
        <v>1</v>
      </c>
      <c r="AH137" s="218">
        <f t="shared" ref="AH137:AH178" si="33">AF137/IF(AH$6="NORMAL", 2, IF(AH$6="TRIANGULAR",SQRT(6),IF(AH$6="U-SHAPED",SQRT(2),SQRT(3))))*AG137</f>
        <v>0</v>
      </c>
      <c r="AI137" s="219" t="e">
        <f t="shared" ref="AI137:AI178" si="34">SQRT(SUM(E137^2, H137^2,L137^2, P137^2,S137^2,V137^2,Y137^2,AB137^2,AE137^2,AH137^2))</f>
        <v>#VALUE!</v>
      </c>
      <c r="AJ137" s="221" t="str">
        <f>'TECH DATA ENTRY'!K165</f>
        <v/>
      </c>
      <c r="AK137" s="222" t="e">
        <f t="shared" ref="AK137:AK178" si="35">IF((AI137^4/(SUM(E137^4,H137^4)/(AJ137-1)))&gt;100,200,(AI137^4/(SUM(E137^4,H137^4)/(AJ137-1))))</f>
        <v>#VALUE!</v>
      </c>
      <c r="AL137" s="222" t="e">
        <f>VLOOKUP(AK137,'AUX TABLES'!A$2:B$29,2)</f>
        <v>#VALUE!</v>
      </c>
      <c r="AM137" s="223" t="str">
        <f>IF(OR(ISTEXT(B137)=TRUE,ISTEXT('TECH DATA ENTRY'!L165)=TRUE), "NA",AL137*AI137)</f>
        <v>NA</v>
      </c>
      <c r="AN137" s="79"/>
    </row>
    <row r="138" spans="1:40" s="80" customFormat="1" ht="20.149999999999999" customHeight="1">
      <c r="A138" s="216"/>
      <c r="B138" s="249">
        <f>'TECH DATA ENTRY'!B166</f>
        <v>0</v>
      </c>
      <c r="C138" s="217" t="str">
        <f>'TECH DATA ENTRY'!O166</f>
        <v/>
      </c>
      <c r="D138" s="217">
        <v>1</v>
      </c>
      <c r="E138" s="218" t="e">
        <f t="shared" si="24"/>
        <v>#VALUE!</v>
      </c>
      <c r="F138" s="217">
        <f>'TECH DATA ENTRY'!P166</f>
        <v>0</v>
      </c>
      <c r="G138" s="217">
        <v>1</v>
      </c>
      <c r="H138" s="218" t="e">
        <f t="shared" si="25"/>
        <v>#VALUE!</v>
      </c>
      <c r="I138" s="219">
        <f>'TECH DATA ENTRY'!Q166</f>
        <v>9.9999999999999995E-7</v>
      </c>
      <c r="J138" s="219" t="str">
        <f>'TECH DATA ENTRY'!$G$26</f>
        <v>Digital</v>
      </c>
      <c r="K138" s="217">
        <v>1</v>
      </c>
      <c r="L138" s="218">
        <f t="shared" si="26"/>
        <v>2.8867513459481289E-7</v>
      </c>
      <c r="M138" s="219">
        <f>'TECH DATA ENTRY'!R166</f>
        <v>0</v>
      </c>
      <c r="N138" s="219" t="str">
        <f>'TECH DATA ENTRY'!$G$26</f>
        <v>Digital</v>
      </c>
      <c r="O138" s="217">
        <v>1</v>
      </c>
      <c r="P138" s="218">
        <f t="shared" si="27"/>
        <v>0</v>
      </c>
      <c r="Q138" s="220">
        <f>'TECH DATA ENTRY'!S166</f>
        <v>1.9999999999999999E-6</v>
      </c>
      <c r="R138" s="217">
        <v>1</v>
      </c>
      <c r="S138" s="218">
        <f t="shared" si="28"/>
        <v>9.9999999999999995E-7</v>
      </c>
      <c r="T138" s="220">
        <f>'TECH DATA ENTRY'!T166</f>
        <v>0</v>
      </c>
      <c r="U138" s="217">
        <v>1</v>
      </c>
      <c r="V138" s="218">
        <f t="shared" si="29"/>
        <v>0</v>
      </c>
      <c r="W138" s="220">
        <f>'TECH DATA ENTRY'!U166</f>
        <v>0</v>
      </c>
      <c r="X138" s="217">
        <v>1</v>
      </c>
      <c r="Y138" s="218">
        <f t="shared" si="30"/>
        <v>0</v>
      </c>
      <c r="Z138" s="220">
        <f>'TECH DATA ENTRY'!V166</f>
        <v>0</v>
      </c>
      <c r="AA138" s="217">
        <v>1</v>
      </c>
      <c r="AB138" s="218">
        <f t="shared" si="31"/>
        <v>0</v>
      </c>
      <c r="AC138" s="220">
        <f>'TECH DATA ENTRY'!W166</f>
        <v>0</v>
      </c>
      <c r="AD138" s="217">
        <v>1</v>
      </c>
      <c r="AE138" s="218">
        <f t="shared" si="32"/>
        <v>0</v>
      </c>
      <c r="AF138" s="220">
        <f>'TECH DATA ENTRY'!X166</f>
        <v>0</v>
      </c>
      <c r="AG138" s="217">
        <v>1</v>
      </c>
      <c r="AH138" s="218">
        <f t="shared" si="33"/>
        <v>0</v>
      </c>
      <c r="AI138" s="219" t="e">
        <f t="shared" si="34"/>
        <v>#VALUE!</v>
      </c>
      <c r="AJ138" s="221" t="str">
        <f>'TECH DATA ENTRY'!K166</f>
        <v/>
      </c>
      <c r="AK138" s="222" t="e">
        <f t="shared" si="35"/>
        <v>#VALUE!</v>
      </c>
      <c r="AL138" s="222" t="e">
        <f>VLOOKUP(AK138,'AUX TABLES'!A$2:B$29,2)</f>
        <v>#VALUE!</v>
      </c>
      <c r="AM138" s="223" t="str">
        <f>IF(OR(ISTEXT(B138)=TRUE,ISTEXT('TECH DATA ENTRY'!L166)=TRUE), "NA",AL138*AI138)</f>
        <v>NA</v>
      </c>
      <c r="AN138" s="79"/>
    </row>
    <row r="139" spans="1:40" s="80" customFormat="1" ht="20.149999999999999" customHeight="1">
      <c r="A139" s="216"/>
      <c r="B139" s="249">
        <f>'TECH DATA ENTRY'!B167</f>
        <v>1</v>
      </c>
      <c r="C139" s="217" t="str">
        <f>'TECH DATA ENTRY'!O167</f>
        <v/>
      </c>
      <c r="D139" s="217">
        <v>1</v>
      </c>
      <c r="E139" s="218" t="e">
        <f t="shared" si="24"/>
        <v>#VALUE!</v>
      </c>
      <c r="F139" s="217">
        <f>'TECH DATA ENTRY'!P167</f>
        <v>0</v>
      </c>
      <c r="G139" s="217">
        <v>1</v>
      </c>
      <c r="H139" s="218" t="e">
        <f t="shared" si="25"/>
        <v>#VALUE!</v>
      </c>
      <c r="I139" s="219">
        <f>'TECH DATA ENTRY'!Q167</f>
        <v>9.9999999999999995E-7</v>
      </c>
      <c r="J139" s="219" t="str">
        <f>'TECH DATA ENTRY'!$G$26</f>
        <v>Digital</v>
      </c>
      <c r="K139" s="217">
        <v>1</v>
      </c>
      <c r="L139" s="218">
        <f t="shared" si="26"/>
        <v>2.8867513459481289E-7</v>
      </c>
      <c r="M139" s="219">
        <f>'TECH DATA ENTRY'!R167</f>
        <v>0</v>
      </c>
      <c r="N139" s="219" t="str">
        <f>'TECH DATA ENTRY'!$G$26</f>
        <v>Digital</v>
      </c>
      <c r="O139" s="217">
        <v>1</v>
      </c>
      <c r="P139" s="218">
        <f t="shared" si="27"/>
        <v>0</v>
      </c>
      <c r="Q139" s="220">
        <f>'TECH DATA ENTRY'!S167</f>
        <v>3.3000000000000003E-5</v>
      </c>
      <c r="R139" s="217">
        <v>1</v>
      </c>
      <c r="S139" s="218">
        <f t="shared" si="28"/>
        <v>1.6500000000000001E-5</v>
      </c>
      <c r="T139" s="220">
        <f>'TECH DATA ENTRY'!T167</f>
        <v>0</v>
      </c>
      <c r="U139" s="217">
        <v>1</v>
      </c>
      <c r="V139" s="218">
        <f t="shared" si="29"/>
        <v>0</v>
      </c>
      <c r="W139" s="220">
        <f>'TECH DATA ENTRY'!U167</f>
        <v>0</v>
      </c>
      <c r="X139" s="217">
        <v>1</v>
      </c>
      <c r="Y139" s="218">
        <f t="shared" si="30"/>
        <v>0</v>
      </c>
      <c r="Z139" s="220">
        <f>'TECH DATA ENTRY'!V167</f>
        <v>0</v>
      </c>
      <c r="AA139" s="217">
        <v>1</v>
      </c>
      <c r="AB139" s="218">
        <f t="shared" si="31"/>
        <v>0</v>
      </c>
      <c r="AC139" s="220">
        <f>'TECH DATA ENTRY'!W167</f>
        <v>0</v>
      </c>
      <c r="AD139" s="217">
        <v>1</v>
      </c>
      <c r="AE139" s="218">
        <f t="shared" si="32"/>
        <v>0</v>
      </c>
      <c r="AF139" s="220">
        <f>'TECH DATA ENTRY'!X167</f>
        <v>0</v>
      </c>
      <c r="AG139" s="217">
        <v>1</v>
      </c>
      <c r="AH139" s="218">
        <f t="shared" si="33"/>
        <v>0</v>
      </c>
      <c r="AI139" s="219" t="e">
        <f t="shared" si="34"/>
        <v>#VALUE!</v>
      </c>
      <c r="AJ139" s="221" t="str">
        <f>'TECH DATA ENTRY'!K167</f>
        <v/>
      </c>
      <c r="AK139" s="222" t="e">
        <f t="shared" si="35"/>
        <v>#VALUE!</v>
      </c>
      <c r="AL139" s="222" t="e">
        <f>VLOOKUP(AK139,'AUX TABLES'!A$2:B$29,2)</f>
        <v>#VALUE!</v>
      </c>
      <c r="AM139" s="223" t="str">
        <f>IF(OR(ISTEXT(B139)=TRUE,ISTEXT('TECH DATA ENTRY'!L167)=TRUE), "NA",AL139*AI139)</f>
        <v>NA</v>
      </c>
      <c r="AN139" s="79"/>
    </row>
    <row r="140" spans="1:40" s="80" customFormat="1" ht="20.149999999999999" customHeight="1">
      <c r="A140" s="216"/>
      <c r="B140" s="249">
        <f>'TECH DATA ENTRY'!B168</f>
        <v>0</v>
      </c>
      <c r="C140" s="217" t="str">
        <f>'TECH DATA ENTRY'!O168</f>
        <v/>
      </c>
      <c r="D140" s="217">
        <v>1</v>
      </c>
      <c r="E140" s="218" t="e">
        <f t="shared" si="24"/>
        <v>#VALUE!</v>
      </c>
      <c r="F140" s="217">
        <f>'TECH DATA ENTRY'!P168</f>
        <v>0</v>
      </c>
      <c r="G140" s="217">
        <v>1</v>
      </c>
      <c r="H140" s="218" t="e">
        <f t="shared" si="25"/>
        <v>#VALUE!</v>
      </c>
      <c r="I140" s="219">
        <f>'TECH DATA ENTRY'!Q168</f>
        <v>1.0000000000000001E-5</v>
      </c>
      <c r="J140" s="219" t="str">
        <f>'TECH DATA ENTRY'!$G$26</f>
        <v>Digital</v>
      </c>
      <c r="K140" s="217">
        <v>1</v>
      </c>
      <c r="L140" s="218">
        <f t="shared" si="26"/>
        <v>2.8867513459481293E-6</v>
      </c>
      <c r="M140" s="219">
        <f>'TECH DATA ENTRY'!R168</f>
        <v>0</v>
      </c>
      <c r="N140" s="219" t="str">
        <f>'TECH DATA ENTRY'!$G$26</f>
        <v>Digital</v>
      </c>
      <c r="O140" s="217">
        <v>1</v>
      </c>
      <c r="P140" s="218">
        <f t="shared" si="27"/>
        <v>0</v>
      </c>
      <c r="Q140" s="220">
        <f>'TECH DATA ENTRY'!S168</f>
        <v>2.0000000000000002E-5</v>
      </c>
      <c r="R140" s="217">
        <v>1</v>
      </c>
      <c r="S140" s="218">
        <f t="shared" si="28"/>
        <v>1.0000000000000001E-5</v>
      </c>
      <c r="T140" s="220">
        <f>'TECH DATA ENTRY'!T168</f>
        <v>0</v>
      </c>
      <c r="U140" s="217">
        <v>1</v>
      </c>
      <c r="V140" s="218">
        <f t="shared" si="29"/>
        <v>0</v>
      </c>
      <c r="W140" s="220">
        <f>'TECH DATA ENTRY'!U168</f>
        <v>0</v>
      </c>
      <c r="X140" s="217">
        <v>1</v>
      </c>
      <c r="Y140" s="218">
        <f t="shared" si="30"/>
        <v>0</v>
      </c>
      <c r="Z140" s="220">
        <f>'TECH DATA ENTRY'!V168</f>
        <v>0</v>
      </c>
      <c r="AA140" s="217">
        <v>1</v>
      </c>
      <c r="AB140" s="218">
        <f t="shared" si="31"/>
        <v>0</v>
      </c>
      <c r="AC140" s="220">
        <f>'TECH DATA ENTRY'!W168</f>
        <v>0</v>
      </c>
      <c r="AD140" s="217">
        <v>1</v>
      </c>
      <c r="AE140" s="218">
        <f t="shared" si="32"/>
        <v>0</v>
      </c>
      <c r="AF140" s="220">
        <f>'TECH DATA ENTRY'!X168</f>
        <v>0</v>
      </c>
      <c r="AG140" s="217">
        <v>1</v>
      </c>
      <c r="AH140" s="218">
        <f t="shared" si="33"/>
        <v>0</v>
      </c>
      <c r="AI140" s="219" t="e">
        <f t="shared" si="34"/>
        <v>#VALUE!</v>
      </c>
      <c r="AJ140" s="221" t="str">
        <f>'TECH DATA ENTRY'!K168</f>
        <v/>
      </c>
      <c r="AK140" s="222" t="e">
        <f t="shared" si="35"/>
        <v>#VALUE!</v>
      </c>
      <c r="AL140" s="222" t="e">
        <f>VLOOKUP(AK140,'AUX TABLES'!A$2:B$29,2)</f>
        <v>#VALUE!</v>
      </c>
      <c r="AM140" s="223" t="str">
        <f>IF(OR(ISTEXT(B140)=TRUE,ISTEXT('TECH DATA ENTRY'!L168)=TRUE), "NA",AL140*AI140)</f>
        <v>NA</v>
      </c>
      <c r="AN140" s="79"/>
    </row>
    <row r="141" spans="1:40" s="80" customFormat="1" ht="20.149999999999999" customHeight="1">
      <c r="A141" s="216"/>
      <c r="B141" s="249">
        <f>'TECH DATA ENTRY'!B169</f>
        <v>10</v>
      </c>
      <c r="C141" s="217" t="str">
        <f>'TECH DATA ENTRY'!O169</f>
        <v/>
      </c>
      <c r="D141" s="217">
        <v>1</v>
      </c>
      <c r="E141" s="218" t="e">
        <f t="shared" si="24"/>
        <v>#VALUE!</v>
      </c>
      <c r="F141" s="217">
        <f>'TECH DATA ENTRY'!P169</f>
        <v>0</v>
      </c>
      <c r="G141" s="217">
        <v>1</v>
      </c>
      <c r="H141" s="218" t="e">
        <f t="shared" si="25"/>
        <v>#VALUE!</v>
      </c>
      <c r="I141" s="219">
        <f>'TECH DATA ENTRY'!Q169</f>
        <v>1.0000000000000001E-5</v>
      </c>
      <c r="J141" s="219" t="str">
        <f>'TECH DATA ENTRY'!$G$26</f>
        <v>Digital</v>
      </c>
      <c r="K141" s="217">
        <v>1</v>
      </c>
      <c r="L141" s="218">
        <f t="shared" si="26"/>
        <v>2.8867513459481293E-6</v>
      </c>
      <c r="M141" s="219">
        <f>'TECH DATA ENTRY'!R169</f>
        <v>0</v>
      </c>
      <c r="N141" s="219" t="str">
        <f>'TECH DATA ENTRY'!$G$26</f>
        <v>Digital</v>
      </c>
      <c r="O141" s="217">
        <v>1</v>
      </c>
      <c r="P141" s="218">
        <f t="shared" si="27"/>
        <v>0</v>
      </c>
      <c r="Q141" s="220">
        <f>'TECH DATA ENTRY'!S169</f>
        <v>2.7E-4</v>
      </c>
      <c r="R141" s="217">
        <v>1</v>
      </c>
      <c r="S141" s="218">
        <f t="shared" si="28"/>
        <v>1.35E-4</v>
      </c>
      <c r="T141" s="220">
        <f>'TECH DATA ENTRY'!T169</f>
        <v>0</v>
      </c>
      <c r="U141" s="217">
        <v>1</v>
      </c>
      <c r="V141" s="218">
        <f t="shared" si="29"/>
        <v>0</v>
      </c>
      <c r="W141" s="220">
        <f>'TECH DATA ENTRY'!U169</f>
        <v>0</v>
      </c>
      <c r="X141" s="217">
        <v>1</v>
      </c>
      <c r="Y141" s="218">
        <f t="shared" si="30"/>
        <v>0</v>
      </c>
      <c r="Z141" s="220">
        <f>'TECH DATA ENTRY'!V169</f>
        <v>0</v>
      </c>
      <c r="AA141" s="217">
        <v>1</v>
      </c>
      <c r="AB141" s="218">
        <f t="shared" si="31"/>
        <v>0</v>
      </c>
      <c r="AC141" s="220">
        <f>'TECH DATA ENTRY'!W169</f>
        <v>0</v>
      </c>
      <c r="AD141" s="217">
        <v>1</v>
      </c>
      <c r="AE141" s="218">
        <f t="shared" si="32"/>
        <v>0</v>
      </c>
      <c r="AF141" s="220">
        <f>'TECH DATA ENTRY'!X169</f>
        <v>0</v>
      </c>
      <c r="AG141" s="217">
        <v>1</v>
      </c>
      <c r="AH141" s="218">
        <f t="shared" si="33"/>
        <v>0</v>
      </c>
      <c r="AI141" s="219" t="e">
        <f t="shared" si="34"/>
        <v>#VALUE!</v>
      </c>
      <c r="AJ141" s="221" t="str">
        <f>'TECH DATA ENTRY'!K169</f>
        <v/>
      </c>
      <c r="AK141" s="222" t="e">
        <f t="shared" si="35"/>
        <v>#VALUE!</v>
      </c>
      <c r="AL141" s="222" t="e">
        <f>VLOOKUP(AK141,'AUX TABLES'!A$2:B$29,2)</f>
        <v>#VALUE!</v>
      </c>
      <c r="AM141" s="223" t="str">
        <f>IF(OR(ISTEXT(B141)=TRUE,ISTEXT('TECH DATA ENTRY'!L169)=TRUE), "NA",AL141*AI141)</f>
        <v>NA</v>
      </c>
      <c r="AN141" s="79"/>
    </row>
    <row r="142" spans="1:40" s="80" customFormat="1" ht="20.149999999999999" customHeight="1">
      <c r="A142" s="216"/>
      <c r="B142" s="249">
        <f>'TECH DATA ENTRY'!B170</f>
        <v>0</v>
      </c>
      <c r="C142" s="217" t="str">
        <f>'TECH DATA ENTRY'!O170</f>
        <v/>
      </c>
      <c r="D142" s="217">
        <v>1</v>
      </c>
      <c r="E142" s="218" t="e">
        <f t="shared" si="24"/>
        <v>#VALUE!</v>
      </c>
      <c r="F142" s="217">
        <f>'TECH DATA ENTRY'!P170</f>
        <v>0</v>
      </c>
      <c r="G142" s="217">
        <v>1</v>
      </c>
      <c r="H142" s="218" t="e">
        <f t="shared" si="25"/>
        <v>#VALUE!</v>
      </c>
      <c r="I142" s="219">
        <f>'TECH DATA ENTRY'!Q170</f>
        <v>1E-4</v>
      </c>
      <c r="J142" s="219" t="str">
        <f>'TECH DATA ENTRY'!$G$26</f>
        <v>Digital</v>
      </c>
      <c r="K142" s="217">
        <v>1</v>
      </c>
      <c r="L142" s="218">
        <f t="shared" si="26"/>
        <v>2.8867513459481293E-5</v>
      </c>
      <c r="M142" s="219">
        <f>'TECH DATA ENTRY'!R170</f>
        <v>0</v>
      </c>
      <c r="N142" s="219" t="str">
        <f>'TECH DATA ENTRY'!$G$26</f>
        <v>Digital</v>
      </c>
      <c r="O142" s="217">
        <v>1</v>
      </c>
      <c r="P142" s="218">
        <f t="shared" si="27"/>
        <v>0</v>
      </c>
      <c r="Q142" s="220">
        <f>'TECH DATA ENTRY'!S170</f>
        <v>2.0000000000000001E-4</v>
      </c>
      <c r="R142" s="217">
        <v>1</v>
      </c>
      <c r="S142" s="218">
        <f t="shared" si="28"/>
        <v>1E-4</v>
      </c>
      <c r="T142" s="220">
        <f>'TECH DATA ENTRY'!T170</f>
        <v>0</v>
      </c>
      <c r="U142" s="217">
        <v>1</v>
      </c>
      <c r="V142" s="218">
        <f t="shared" si="29"/>
        <v>0</v>
      </c>
      <c r="W142" s="220">
        <f>'TECH DATA ENTRY'!U170</f>
        <v>0</v>
      </c>
      <c r="X142" s="217">
        <v>1</v>
      </c>
      <c r="Y142" s="218">
        <f t="shared" si="30"/>
        <v>0</v>
      </c>
      <c r="Z142" s="220">
        <f>'TECH DATA ENTRY'!V170</f>
        <v>0</v>
      </c>
      <c r="AA142" s="217">
        <v>1</v>
      </c>
      <c r="AB142" s="218">
        <f t="shared" si="31"/>
        <v>0</v>
      </c>
      <c r="AC142" s="220">
        <f>'TECH DATA ENTRY'!W170</f>
        <v>0</v>
      </c>
      <c r="AD142" s="217">
        <v>1</v>
      </c>
      <c r="AE142" s="218">
        <f t="shared" si="32"/>
        <v>0</v>
      </c>
      <c r="AF142" s="220">
        <f>'TECH DATA ENTRY'!X170</f>
        <v>0</v>
      </c>
      <c r="AG142" s="217">
        <v>1</v>
      </c>
      <c r="AH142" s="218">
        <f t="shared" si="33"/>
        <v>0</v>
      </c>
      <c r="AI142" s="219" t="e">
        <f t="shared" si="34"/>
        <v>#VALUE!</v>
      </c>
      <c r="AJ142" s="221" t="str">
        <f>'TECH DATA ENTRY'!K170</f>
        <v/>
      </c>
      <c r="AK142" s="222" t="e">
        <f t="shared" si="35"/>
        <v>#VALUE!</v>
      </c>
      <c r="AL142" s="222" t="e">
        <f>VLOOKUP(AK142,'AUX TABLES'!A$2:B$29,2)</f>
        <v>#VALUE!</v>
      </c>
      <c r="AM142" s="223" t="str">
        <f>IF(OR(ISTEXT(B142)=TRUE,ISTEXT('TECH DATA ENTRY'!L170)=TRUE), "NA",AL142*AI142)</f>
        <v>NA</v>
      </c>
      <c r="AN142" s="79"/>
    </row>
    <row r="143" spans="1:40" s="80" customFormat="1" ht="20.149999999999999" customHeight="1">
      <c r="A143" s="216"/>
      <c r="B143" s="249">
        <f>'TECH DATA ENTRY'!B171</f>
        <v>100</v>
      </c>
      <c r="C143" s="217" t="str">
        <f>'TECH DATA ENTRY'!O171</f>
        <v/>
      </c>
      <c r="D143" s="217">
        <v>1</v>
      </c>
      <c r="E143" s="218" t="e">
        <f t="shared" si="24"/>
        <v>#VALUE!</v>
      </c>
      <c r="F143" s="217">
        <f>'TECH DATA ENTRY'!P171</f>
        <v>0</v>
      </c>
      <c r="G143" s="217">
        <v>1</v>
      </c>
      <c r="H143" s="218" t="e">
        <f t="shared" si="25"/>
        <v>#VALUE!</v>
      </c>
      <c r="I143" s="219">
        <f>'TECH DATA ENTRY'!Q171</f>
        <v>1E-4</v>
      </c>
      <c r="J143" s="219" t="str">
        <f>'TECH DATA ENTRY'!$G$26</f>
        <v>Digital</v>
      </c>
      <c r="K143" s="217">
        <v>1</v>
      </c>
      <c r="L143" s="218">
        <f t="shared" si="26"/>
        <v>2.8867513459481293E-5</v>
      </c>
      <c r="M143" s="219">
        <f>'TECH DATA ENTRY'!R171</f>
        <v>0</v>
      </c>
      <c r="N143" s="219" t="str">
        <f>'TECH DATA ENTRY'!$G$26</f>
        <v>Digital</v>
      </c>
      <c r="O143" s="217">
        <v>1</v>
      </c>
      <c r="P143" s="218">
        <f t="shared" si="27"/>
        <v>0</v>
      </c>
      <c r="Q143" s="220">
        <f>'TECH DATA ENTRY'!S171</f>
        <v>3.5000000000000005E-3</v>
      </c>
      <c r="R143" s="217">
        <v>1</v>
      </c>
      <c r="S143" s="218">
        <f t="shared" si="28"/>
        <v>1.7500000000000003E-3</v>
      </c>
      <c r="T143" s="220">
        <f>'TECH DATA ENTRY'!T171</f>
        <v>0</v>
      </c>
      <c r="U143" s="217">
        <v>1</v>
      </c>
      <c r="V143" s="218">
        <f t="shared" si="29"/>
        <v>0</v>
      </c>
      <c r="W143" s="220">
        <f>'TECH DATA ENTRY'!U171</f>
        <v>0</v>
      </c>
      <c r="X143" s="217">
        <v>1</v>
      </c>
      <c r="Y143" s="218">
        <f t="shared" si="30"/>
        <v>0</v>
      </c>
      <c r="Z143" s="220">
        <f>'TECH DATA ENTRY'!V171</f>
        <v>0</v>
      </c>
      <c r="AA143" s="217">
        <v>1</v>
      </c>
      <c r="AB143" s="218">
        <f t="shared" si="31"/>
        <v>0</v>
      </c>
      <c r="AC143" s="220">
        <f>'TECH DATA ENTRY'!W171</f>
        <v>0</v>
      </c>
      <c r="AD143" s="217">
        <v>1</v>
      </c>
      <c r="AE143" s="218">
        <f t="shared" si="32"/>
        <v>0</v>
      </c>
      <c r="AF143" s="220">
        <f>'TECH DATA ENTRY'!X171</f>
        <v>0</v>
      </c>
      <c r="AG143" s="217">
        <v>1</v>
      </c>
      <c r="AH143" s="218">
        <f t="shared" si="33"/>
        <v>0</v>
      </c>
      <c r="AI143" s="219" t="e">
        <f t="shared" si="34"/>
        <v>#VALUE!</v>
      </c>
      <c r="AJ143" s="221" t="str">
        <f>'TECH DATA ENTRY'!K171</f>
        <v/>
      </c>
      <c r="AK143" s="222" t="e">
        <f t="shared" si="35"/>
        <v>#VALUE!</v>
      </c>
      <c r="AL143" s="222" t="e">
        <f>VLOOKUP(AK143,'AUX TABLES'!A$2:B$29,2)</f>
        <v>#VALUE!</v>
      </c>
      <c r="AM143" s="223" t="str">
        <f>IF(OR(ISTEXT(B143)=TRUE,ISTEXT('TECH DATA ENTRY'!L171)=TRUE), "NA",AL143*AI143)</f>
        <v>NA</v>
      </c>
      <c r="AN143" s="79"/>
    </row>
    <row r="144" spans="1:40" s="80" customFormat="1" ht="20.149999999999999" customHeight="1">
      <c r="A144" s="216"/>
      <c r="B144" s="249">
        <f>'TECH DATA ENTRY'!B172</f>
        <v>0</v>
      </c>
      <c r="C144" s="217" t="str">
        <f>'TECH DATA ENTRY'!O172</f>
        <v/>
      </c>
      <c r="D144" s="217">
        <v>1</v>
      </c>
      <c r="E144" s="218" t="e">
        <f t="shared" si="24"/>
        <v>#VALUE!</v>
      </c>
      <c r="F144" s="217">
        <f>'TECH DATA ENTRY'!P172</f>
        <v>0</v>
      </c>
      <c r="G144" s="217">
        <v>1</v>
      </c>
      <c r="H144" s="218" t="e">
        <f t="shared" si="25"/>
        <v>#VALUE!</v>
      </c>
      <c r="I144" s="219">
        <f>'TECH DATA ENTRY'!Q172</f>
        <v>9.9999999999999995E-7</v>
      </c>
      <c r="J144" s="219" t="str">
        <f>'TECH DATA ENTRY'!$G$26</f>
        <v>Digital</v>
      </c>
      <c r="K144" s="217">
        <v>1</v>
      </c>
      <c r="L144" s="218">
        <f t="shared" si="26"/>
        <v>2.8867513459481289E-7</v>
      </c>
      <c r="M144" s="219">
        <f>'TECH DATA ENTRY'!R172</f>
        <v>0</v>
      </c>
      <c r="N144" s="219" t="str">
        <f>'TECH DATA ENTRY'!$G$26</f>
        <v>Digital</v>
      </c>
      <c r="O144" s="217">
        <v>1</v>
      </c>
      <c r="P144" s="218">
        <f t="shared" si="27"/>
        <v>0</v>
      </c>
      <c r="Q144" s="220">
        <f>'TECH DATA ENTRY'!S172</f>
        <v>1.9999999999999999E-6</v>
      </c>
      <c r="R144" s="217">
        <v>1</v>
      </c>
      <c r="S144" s="218">
        <f t="shared" si="28"/>
        <v>9.9999999999999995E-7</v>
      </c>
      <c r="T144" s="220">
        <f>'TECH DATA ENTRY'!T172</f>
        <v>0</v>
      </c>
      <c r="U144" s="217">
        <v>1</v>
      </c>
      <c r="V144" s="218">
        <f t="shared" si="29"/>
        <v>0</v>
      </c>
      <c r="W144" s="220">
        <f>'TECH DATA ENTRY'!U172</f>
        <v>0</v>
      </c>
      <c r="X144" s="217">
        <v>1</v>
      </c>
      <c r="Y144" s="218">
        <f t="shared" si="30"/>
        <v>0</v>
      </c>
      <c r="Z144" s="220">
        <f>'TECH DATA ENTRY'!V172</f>
        <v>0</v>
      </c>
      <c r="AA144" s="217">
        <v>1</v>
      </c>
      <c r="AB144" s="218">
        <f t="shared" si="31"/>
        <v>0</v>
      </c>
      <c r="AC144" s="220">
        <f>'TECH DATA ENTRY'!W172</f>
        <v>0</v>
      </c>
      <c r="AD144" s="217">
        <v>1</v>
      </c>
      <c r="AE144" s="218">
        <f t="shared" si="32"/>
        <v>0</v>
      </c>
      <c r="AF144" s="220">
        <f>'TECH DATA ENTRY'!X172</f>
        <v>0</v>
      </c>
      <c r="AG144" s="217">
        <v>1</v>
      </c>
      <c r="AH144" s="218">
        <f t="shared" si="33"/>
        <v>0</v>
      </c>
      <c r="AI144" s="219" t="e">
        <f t="shared" si="34"/>
        <v>#VALUE!</v>
      </c>
      <c r="AJ144" s="221" t="str">
        <f>'TECH DATA ENTRY'!K172</f>
        <v/>
      </c>
      <c r="AK144" s="222" t="e">
        <f t="shared" si="35"/>
        <v>#VALUE!</v>
      </c>
      <c r="AL144" s="222" t="e">
        <f>VLOOKUP(AK144,'AUX TABLES'!A$2:B$29,2)</f>
        <v>#VALUE!</v>
      </c>
      <c r="AM144" s="223" t="str">
        <f>IF(OR(ISTEXT(B144)=TRUE,ISTEXT('TECH DATA ENTRY'!L172)=TRUE), "NA",AL144*AI144)</f>
        <v>NA</v>
      </c>
      <c r="AN144" s="79"/>
    </row>
    <row r="145" spans="1:40" s="80" customFormat="1" ht="20.149999999999999" customHeight="1">
      <c r="A145" s="216"/>
      <c r="B145" s="249">
        <f>'TECH DATA ENTRY'!B173</f>
        <v>1</v>
      </c>
      <c r="C145" s="217" t="str">
        <f>'TECH DATA ENTRY'!O173</f>
        <v/>
      </c>
      <c r="D145" s="217">
        <v>1</v>
      </c>
      <c r="E145" s="218" t="e">
        <f t="shared" si="24"/>
        <v>#VALUE!</v>
      </c>
      <c r="F145" s="217">
        <f>'TECH DATA ENTRY'!P173</f>
        <v>0</v>
      </c>
      <c r="G145" s="217">
        <v>1</v>
      </c>
      <c r="H145" s="218" t="e">
        <f t="shared" si="25"/>
        <v>#VALUE!</v>
      </c>
      <c r="I145" s="219">
        <f>'TECH DATA ENTRY'!Q173</f>
        <v>9.9999999999999995E-7</v>
      </c>
      <c r="J145" s="219" t="str">
        <f>'TECH DATA ENTRY'!$G$26</f>
        <v>Digital</v>
      </c>
      <c r="K145" s="217">
        <v>1</v>
      </c>
      <c r="L145" s="218">
        <f t="shared" si="26"/>
        <v>2.8867513459481289E-7</v>
      </c>
      <c r="M145" s="219">
        <f>'TECH DATA ENTRY'!R173</f>
        <v>0</v>
      </c>
      <c r="N145" s="219" t="str">
        <f>'TECH DATA ENTRY'!$G$26</f>
        <v>Digital</v>
      </c>
      <c r="O145" s="217">
        <v>1</v>
      </c>
      <c r="P145" s="218">
        <f t="shared" si="27"/>
        <v>0</v>
      </c>
      <c r="Q145" s="220">
        <f>'TECH DATA ENTRY'!S173</f>
        <v>1.0899999999999999E-4</v>
      </c>
      <c r="R145" s="217">
        <v>1</v>
      </c>
      <c r="S145" s="218">
        <f t="shared" si="28"/>
        <v>5.4499999999999997E-5</v>
      </c>
      <c r="T145" s="220">
        <f>'TECH DATA ENTRY'!T173</f>
        <v>0</v>
      </c>
      <c r="U145" s="217">
        <v>1</v>
      </c>
      <c r="V145" s="218">
        <f t="shared" si="29"/>
        <v>0</v>
      </c>
      <c r="W145" s="220">
        <f>'TECH DATA ENTRY'!U173</f>
        <v>0</v>
      </c>
      <c r="X145" s="217">
        <v>1</v>
      </c>
      <c r="Y145" s="218">
        <f t="shared" si="30"/>
        <v>0</v>
      </c>
      <c r="Z145" s="220">
        <f>'TECH DATA ENTRY'!V173</f>
        <v>0</v>
      </c>
      <c r="AA145" s="217">
        <v>1</v>
      </c>
      <c r="AB145" s="218">
        <f t="shared" si="31"/>
        <v>0</v>
      </c>
      <c r="AC145" s="220">
        <f>'TECH DATA ENTRY'!W173</f>
        <v>0</v>
      </c>
      <c r="AD145" s="217">
        <v>1</v>
      </c>
      <c r="AE145" s="218">
        <f t="shared" si="32"/>
        <v>0</v>
      </c>
      <c r="AF145" s="220">
        <f>'TECH DATA ENTRY'!X173</f>
        <v>0</v>
      </c>
      <c r="AG145" s="217">
        <v>1</v>
      </c>
      <c r="AH145" s="218">
        <f t="shared" si="33"/>
        <v>0</v>
      </c>
      <c r="AI145" s="219" t="e">
        <f t="shared" si="34"/>
        <v>#VALUE!</v>
      </c>
      <c r="AJ145" s="221" t="str">
        <f>'TECH DATA ENTRY'!K173</f>
        <v/>
      </c>
      <c r="AK145" s="222" t="e">
        <f t="shared" si="35"/>
        <v>#VALUE!</v>
      </c>
      <c r="AL145" s="222" t="e">
        <f>VLOOKUP(AK145,'AUX TABLES'!A$2:B$29,2)</f>
        <v>#VALUE!</v>
      </c>
      <c r="AM145" s="223" t="str">
        <f>IF(OR(ISTEXT(B145)=TRUE,ISTEXT('TECH DATA ENTRY'!L173)=TRUE), "NA",AL145*AI145)</f>
        <v>NA</v>
      </c>
      <c r="AN145" s="79"/>
    </row>
    <row r="146" spans="1:40" s="80" customFormat="1" ht="20.149999999999999" customHeight="1">
      <c r="A146" s="216"/>
      <c r="B146" s="249">
        <f>'TECH DATA ENTRY'!B174</f>
        <v>0</v>
      </c>
      <c r="C146" s="217" t="str">
        <f>'TECH DATA ENTRY'!O174</f>
        <v/>
      </c>
      <c r="D146" s="217">
        <v>1</v>
      </c>
      <c r="E146" s="218" t="e">
        <f t="shared" si="24"/>
        <v>#VALUE!</v>
      </c>
      <c r="F146" s="217">
        <f>'TECH DATA ENTRY'!P174</f>
        <v>0</v>
      </c>
      <c r="G146" s="217">
        <v>1</v>
      </c>
      <c r="H146" s="218" t="e">
        <f t="shared" si="25"/>
        <v>#VALUE!</v>
      </c>
      <c r="I146" s="219">
        <f>'TECH DATA ENTRY'!Q174</f>
        <v>1.0000000000000001E-5</v>
      </c>
      <c r="J146" s="219" t="str">
        <f>'TECH DATA ENTRY'!$G$26</f>
        <v>Digital</v>
      </c>
      <c r="K146" s="217">
        <v>1</v>
      </c>
      <c r="L146" s="218">
        <f t="shared" si="26"/>
        <v>2.8867513459481293E-6</v>
      </c>
      <c r="M146" s="219">
        <f>'TECH DATA ENTRY'!R174</f>
        <v>0</v>
      </c>
      <c r="N146" s="219" t="str">
        <f>'TECH DATA ENTRY'!$G$26</f>
        <v>Digital</v>
      </c>
      <c r="O146" s="217">
        <v>1</v>
      </c>
      <c r="P146" s="218">
        <f t="shared" si="27"/>
        <v>0</v>
      </c>
      <c r="Q146" s="220">
        <f>'TECH DATA ENTRY'!S174</f>
        <v>5.0000000000000002E-5</v>
      </c>
      <c r="R146" s="217">
        <v>1</v>
      </c>
      <c r="S146" s="218">
        <f t="shared" si="28"/>
        <v>2.5000000000000001E-5</v>
      </c>
      <c r="T146" s="220">
        <f>'TECH DATA ENTRY'!T174</f>
        <v>0</v>
      </c>
      <c r="U146" s="217">
        <v>1</v>
      </c>
      <c r="V146" s="218">
        <f t="shared" si="29"/>
        <v>0</v>
      </c>
      <c r="W146" s="220">
        <f>'TECH DATA ENTRY'!U174</f>
        <v>0</v>
      </c>
      <c r="X146" s="217">
        <v>1</v>
      </c>
      <c r="Y146" s="218">
        <f t="shared" si="30"/>
        <v>0</v>
      </c>
      <c r="Z146" s="220">
        <f>'TECH DATA ENTRY'!V174</f>
        <v>0</v>
      </c>
      <c r="AA146" s="217">
        <v>1</v>
      </c>
      <c r="AB146" s="218">
        <f t="shared" si="31"/>
        <v>0</v>
      </c>
      <c r="AC146" s="220">
        <f>'TECH DATA ENTRY'!W174</f>
        <v>0</v>
      </c>
      <c r="AD146" s="217">
        <v>1</v>
      </c>
      <c r="AE146" s="218">
        <f t="shared" si="32"/>
        <v>0</v>
      </c>
      <c r="AF146" s="220">
        <f>'TECH DATA ENTRY'!X174</f>
        <v>0</v>
      </c>
      <c r="AG146" s="217">
        <v>1</v>
      </c>
      <c r="AH146" s="218">
        <f t="shared" si="33"/>
        <v>0</v>
      </c>
      <c r="AI146" s="219" t="e">
        <f t="shared" si="34"/>
        <v>#VALUE!</v>
      </c>
      <c r="AJ146" s="221" t="str">
        <f>'TECH DATA ENTRY'!K174</f>
        <v/>
      </c>
      <c r="AK146" s="222" t="e">
        <f t="shared" si="35"/>
        <v>#VALUE!</v>
      </c>
      <c r="AL146" s="222" t="e">
        <f>VLOOKUP(AK146,'AUX TABLES'!A$2:B$29,2)</f>
        <v>#VALUE!</v>
      </c>
      <c r="AM146" s="223" t="str">
        <f>IF(OR(ISTEXT(B146)=TRUE,ISTEXT('TECH DATA ENTRY'!L174)=TRUE), "NA",AL146*AI146)</f>
        <v>NA</v>
      </c>
      <c r="AN146" s="79"/>
    </row>
    <row r="147" spans="1:40" s="80" customFormat="1" ht="20.149999999999999" customHeight="1">
      <c r="A147" s="216"/>
      <c r="B147" s="249">
        <f>'TECH DATA ENTRY'!B175</f>
        <v>10</v>
      </c>
      <c r="C147" s="217" t="str">
        <f>'TECH DATA ENTRY'!O175</f>
        <v/>
      </c>
      <c r="D147" s="217">
        <v>1</v>
      </c>
      <c r="E147" s="218" t="e">
        <f t="shared" si="24"/>
        <v>#VALUE!</v>
      </c>
      <c r="F147" s="217">
        <f>'TECH DATA ENTRY'!P175</f>
        <v>0</v>
      </c>
      <c r="G147" s="217">
        <v>1</v>
      </c>
      <c r="H147" s="218" t="e">
        <f t="shared" si="25"/>
        <v>#VALUE!</v>
      </c>
      <c r="I147" s="219">
        <f>'TECH DATA ENTRY'!Q175</f>
        <v>1.0000000000000001E-5</v>
      </c>
      <c r="J147" s="219" t="str">
        <f>'TECH DATA ENTRY'!$G$26</f>
        <v>Digital</v>
      </c>
      <c r="K147" s="217">
        <v>1</v>
      </c>
      <c r="L147" s="218">
        <f t="shared" si="26"/>
        <v>2.8867513459481293E-6</v>
      </c>
      <c r="M147" s="219">
        <f>'TECH DATA ENTRY'!R175</f>
        <v>0</v>
      </c>
      <c r="N147" s="219" t="str">
        <f>'TECH DATA ENTRY'!$G$26</f>
        <v>Digital</v>
      </c>
      <c r="O147" s="217">
        <v>1</v>
      </c>
      <c r="P147" s="218">
        <f t="shared" si="27"/>
        <v>0</v>
      </c>
      <c r="Q147" s="220">
        <f>'TECH DATA ENTRY'!S175</f>
        <v>6.6499999999999997E-3</v>
      </c>
      <c r="R147" s="217">
        <v>1</v>
      </c>
      <c r="S147" s="218">
        <f t="shared" si="28"/>
        <v>3.3249999999999998E-3</v>
      </c>
      <c r="T147" s="220">
        <f>'TECH DATA ENTRY'!T175</f>
        <v>0</v>
      </c>
      <c r="U147" s="217">
        <v>1</v>
      </c>
      <c r="V147" s="218">
        <f t="shared" si="29"/>
        <v>0</v>
      </c>
      <c r="W147" s="220">
        <f>'TECH DATA ENTRY'!U175</f>
        <v>0</v>
      </c>
      <c r="X147" s="217">
        <v>1</v>
      </c>
      <c r="Y147" s="218">
        <f t="shared" si="30"/>
        <v>0</v>
      </c>
      <c r="Z147" s="220">
        <f>'TECH DATA ENTRY'!V175</f>
        <v>0</v>
      </c>
      <c r="AA147" s="217">
        <v>1</v>
      </c>
      <c r="AB147" s="218">
        <f t="shared" si="31"/>
        <v>0</v>
      </c>
      <c r="AC147" s="220">
        <f>'TECH DATA ENTRY'!W175</f>
        <v>0</v>
      </c>
      <c r="AD147" s="217">
        <v>1</v>
      </c>
      <c r="AE147" s="218">
        <f t="shared" si="32"/>
        <v>0</v>
      </c>
      <c r="AF147" s="220">
        <f>'TECH DATA ENTRY'!X175</f>
        <v>0</v>
      </c>
      <c r="AG147" s="217">
        <v>1</v>
      </c>
      <c r="AH147" s="218">
        <f t="shared" si="33"/>
        <v>0</v>
      </c>
      <c r="AI147" s="219" t="e">
        <f t="shared" si="34"/>
        <v>#VALUE!</v>
      </c>
      <c r="AJ147" s="221" t="str">
        <f>'TECH DATA ENTRY'!K175</f>
        <v/>
      </c>
      <c r="AK147" s="222" t="e">
        <f t="shared" si="35"/>
        <v>#VALUE!</v>
      </c>
      <c r="AL147" s="222" t="e">
        <f>VLOOKUP(AK147,'AUX TABLES'!A$2:B$29,2)</f>
        <v>#VALUE!</v>
      </c>
      <c r="AM147" s="223" t="str">
        <f>IF(OR(ISTEXT(B147)=TRUE,ISTEXT('TECH DATA ENTRY'!L175)=TRUE), "NA",AL147*AI147)</f>
        <v>NA</v>
      </c>
      <c r="AN147" s="79"/>
    </row>
    <row r="148" spans="1:40" s="80" customFormat="1" ht="20.149999999999999" customHeight="1">
      <c r="A148" s="216"/>
      <c r="B148" s="249">
        <f>'TECH DATA ENTRY'!B176</f>
        <v>0</v>
      </c>
      <c r="C148" s="217" t="str">
        <f>'TECH DATA ENTRY'!O176</f>
        <v/>
      </c>
      <c r="D148" s="217">
        <v>1</v>
      </c>
      <c r="E148" s="218" t="e">
        <f t="shared" si="24"/>
        <v>#VALUE!</v>
      </c>
      <c r="F148" s="217">
        <f>'TECH DATA ENTRY'!P176</f>
        <v>0</v>
      </c>
      <c r="G148" s="217">
        <v>1</v>
      </c>
      <c r="H148" s="218" t="e">
        <f t="shared" si="25"/>
        <v>#VALUE!</v>
      </c>
      <c r="I148" s="219">
        <f>'TECH DATA ENTRY'!Q176</f>
        <v>1E-4</v>
      </c>
      <c r="J148" s="219" t="str">
        <f>'TECH DATA ENTRY'!$G$26</f>
        <v>Digital</v>
      </c>
      <c r="K148" s="217">
        <v>1</v>
      </c>
      <c r="L148" s="218">
        <f t="shared" si="26"/>
        <v>2.8867513459481293E-5</v>
      </c>
      <c r="M148" s="219">
        <f>'TECH DATA ENTRY'!R176</f>
        <v>0</v>
      </c>
      <c r="N148" s="219" t="str">
        <f>'TECH DATA ENTRY'!$G$26</f>
        <v>Digital</v>
      </c>
      <c r="O148" s="217">
        <v>1</v>
      </c>
      <c r="P148" s="218">
        <f t="shared" si="27"/>
        <v>0</v>
      </c>
      <c r="Q148" s="220">
        <f>'TECH DATA ENTRY'!S176</f>
        <v>3.0000000000000001E-3</v>
      </c>
      <c r="R148" s="217">
        <v>1</v>
      </c>
      <c r="S148" s="218">
        <f t="shared" si="28"/>
        <v>1.5E-3</v>
      </c>
      <c r="T148" s="220">
        <f>'TECH DATA ENTRY'!T176</f>
        <v>0</v>
      </c>
      <c r="U148" s="217">
        <v>1</v>
      </c>
      <c r="V148" s="218">
        <f t="shared" si="29"/>
        <v>0</v>
      </c>
      <c r="W148" s="220">
        <f>'TECH DATA ENTRY'!U176</f>
        <v>0</v>
      </c>
      <c r="X148" s="217">
        <v>1</v>
      </c>
      <c r="Y148" s="218">
        <f t="shared" si="30"/>
        <v>0</v>
      </c>
      <c r="Z148" s="220">
        <f>'TECH DATA ENTRY'!V176</f>
        <v>0</v>
      </c>
      <c r="AA148" s="217">
        <v>1</v>
      </c>
      <c r="AB148" s="218">
        <f t="shared" si="31"/>
        <v>0</v>
      </c>
      <c r="AC148" s="220">
        <f>'TECH DATA ENTRY'!W176</f>
        <v>0</v>
      </c>
      <c r="AD148" s="217">
        <v>1</v>
      </c>
      <c r="AE148" s="218">
        <f t="shared" si="32"/>
        <v>0</v>
      </c>
      <c r="AF148" s="220">
        <f>'TECH DATA ENTRY'!X176</f>
        <v>0</v>
      </c>
      <c r="AG148" s="217">
        <v>1</v>
      </c>
      <c r="AH148" s="218">
        <f t="shared" si="33"/>
        <v>0</v>
      </c>
      <c r="AI148" s="219" t="e">
        <f t="shared" si="34"/>
        <v>#VALUE!</v>
      </c>
      <c r="AJ148" s="221" t="str">
        <f>'TECH DATA ENTRY'!K176</f>
        <v/>
      </c>
      <c r="AK148" s="222" t="e">
        <f t="shared" si="35"/>
        <v>#VALUE!</v>
      </c>
      <c r="AL148" s="222" t="e">
        <f>VLOOKUP(AK148,'AUX TABLES'!A$2:B$29,2)</f>
        <v>#VALUE!</v>
      </c>
      <c r="AM148" s="223" t="str">
        <f>IF(OR(ISTEXT(B148)=TRUE,ISTEXT('TECH DATA ENTRY'!L176)=TRUE), "NA",AL148*AI148)</f>
        <v>NA</v>
      </c>
      <c r="AN148" s="79"/>
    </row>
    <row r="149" spans="1:40" s="80" customFormat="1" ht="20.149999999999999" customHeight="1">
      <c r="A149" s="216"/>
      <c r="B149" s="249">
        <f>'TECH DATA ENTRY'!B177</f>
        <v>100</v>
      </c>
      <c r="C149" s="217" t="str">
        <f>'TECH DATA ENTRY'!O177</f>
        <v/>
      </c>
      <c r="D149" s="217">
        <v>1</v>
      </c>
      <c r="E149" s="218" t="e">
        <f t="shared" si="24"/>
        <v>#VALUE!</v>
      </c>
      <c r="F149" s="217">
        <f>'TECH DATA ENTRY'!P177</f>
        <v>0</v>
      </c>
      <c r="G149" s="217">
        <v>1</v>
      </c>
      <c r="H149" s="218" t="e">
        <f t="shared" si="25"/>
        <v>#VALUE!</v>
      </c>
      <c r="I149" s="219">
        <f>'TECH DATA ENTRY'!Q177</f>
        <v>1E-4</v>
      </c>
      <c r="J149" s="219" t="str">
        <f>'TECH DATA ENTRY'!$G$26</f>
        <v>Digital</v>
      </c>
      <c r="K149" s="217">
        <v>1</v>
      </c>
      <c r="L149" s="218">
        <f t="shared" si="26"/>
        <v>2.8867513459481293E-5</v>
      </c>
      <c r="M149" s="219">
        <f>'TECH DATA ENTRY'!R177</f>
        <v>0</v>
      </c>
      <c r="N149" s="219" t="str">
        <f>'TECH DATA ENTRY'!$G$26</f>
        <v>Digital</v>
      </c>
      <c r="O149" s="217">
        <v>1</v>
      </c>
      <c r="P149" s="218">
        <f t="shared" si="27"/>
        <v>0</v>
      </c>
      <c r="Q149" s="220">
        <f>'TECH DATA ENTRY'!S177</f>
        <v>0.57300000000000006</v>
      </c>
      <c r="R149" s="217">
        <v>1</v>
      </c>
      <c r="S149" s="218">
        <f t="shared" si="28"/>
        <v>0.28650000000000003</v>
      </c>
      <c r="T149" s="220">
        <f>'TECH DATA ENTRY'!T177</f>
        <v>0</v>
      </c>
      <c r="U149" s="217">
        <v>1</v>
      </c>
      <c r="V149" s="218">
        <f t="shared" si="29"/>
        <v>0</v>
      </c>
      <c r="W149" s="220">
        <f>'TECH DATA ENTRY'!U177</f>
        <v>0</v>
      </c>
      <c r="X149" s="217">
        <v>1</v>
      </c>
      <c r="Y149" s="218">
        <f t="shared" si="30"/>
        <v>0</v>
      </c>
      <c r="Z149" s="220">
        <f>'TECH DATA ENTRY'!V177</f>
        <v>0</v>
      </c>
      <c r="AA149" s="217">
        <v>1</v>
      </c>
      <c r="AB149" s="218">
        <f t="shared" si="31"/>
        <v>0</v>
      </c>
      <c r="AC149" s="220">
        <f>'TECH DATA ENTRY'!W177</f>
        <v>0</v>
      </c>
      <c r="AD149" s="217">
        <v>1</v>
      </c>
      <c r="AE149" s="218">
        <f t="shared" si="32"/>
        <v>0</v>
      </c>
      <c r="AF149" s="220">
        <f>'TECH DATA ENTRY'!X177</f>
        <v>0</v>
      </c>
      <c r="AG149" s="217">
        <v>1</v>
      </c>
      <c r="AH149" s="218">
        <f t="shared" si="33"/>
        <v>0</v>
      </c>
      <c r="AI149" s="219" t="e">
        <f t="shared" si="34"/>
        <v>#VALUE!</v>
      </c>
      <c r="AJ149" s="221" t="str">
        <f>'TECH DATA ENTRY'!K177</f>
        <v/>
      </c>
      <c r="AK149" s="222" t="e">
        <f t="shared" si="35"/>
        <v>#VALUE!</v>
      </c>
      <c r="AL149" s="222" t="e">
        <f>VLOOKUP(AK149,'AUX TABLES'!A$2:B$29,2)</f>
        <v>#VALUE!</v>
      </c>
      <c r="AM149" s="223" t="str">
        <f>IF(OR(ISTEXT(B149)=TRUE,ISTEXT('TECH DATA ENTRY'!L177)=TRUE), "NA",AL149*AI149)</f>
        <v>NA</v>
      </c>
      <c r="AN149" s="79"/>
    </row>
    <row r="150" spans="1:40" s="80" customFormat="1" ht="20.149999999999999" customHeight="1">
      <c r="A150" s="216"/>
      <c r="B150" s="249">
        <f>'TECH DATA ENTRY'!B178</f>
        <v>0</v>
      </c>
      <c r="C150" s="217" t="str">
        <f>'TECH DATA ENTRY'!O178</f>
        <v/>
      </c>
      <c r="D150" s="217">
        <v>1</v>
      </c>
      <c r="E150" s="218" t="e">
        <f t="shared" si="24"/>
        <v>#VALUE!</v>
      </c>
      <c r="F150" s="217">
        <f>'TECH DATA ENTRY'!P178</f>
        <v>0</v>
      </c>
      <c r="G150" s="217">
        <v>1</v>
      </c>
      <c r="H150" s="218" t="e">
        <f t="shared" si="25"/>
        <v>#VALUE!</v>
      </c>
      <c r="I150" s="219">
        <f>'TECH DATA ENTRY'!Q178</f>
        <v>9.9999999999999995E-7</v>
      </c>
      <c r="J150" s="219" t="str">
        <f>'TECH DATA ENTRY'!$G$26</f>
        <v>Digital</v>
      </c>
      <c r="K150" s="217">
        <v>1</v>
      </c>
      <c r="L150" s="218">
        <f t="shared" si="26"/>
        <v>2.8867513459481289E-7</v>
      </c>
      <c r="M150" s="219">
        <f>'TECH DATA ENTRY'!R178</f>
        <v>0</v>
      </c>
      <c r="N150" s="219" t="str">
        <f>'TECH DATA ENTRY'!$G$26</f>
        <v>Digital</v>
      </c>
      <c r="O150" s="217">
        <v>1</v>
      </c>
      <c r="P150" s="218">
        <f t="shared" si="27"/>
        <v>0</v>
      </c>
      <c r="Q150" s="220">
        <f>'TECH DATA ENTRY'!S178</f>
        <v>5.0000000000000001E-4</v>
      </c>
      <c r="R150" s="217">
        <v>1</v>
      </c>
      <c r="S150" s="218">
        <f t="shared" si="28"/>
        <v>2.5000000000000001E-4</v>
      </c>
      <c r="T150" s="220">
        <f>'TECH DATA ENTRY'!T178</f>
        <v>0</v>
      </c>
      <c r="U150" s="217">
        <v>1</v>
      </c>
      <c r="V150" s="218">
        <f t="shared" si="29"/>
        <v>0</v>
      </c>
      <c r="W150" s="220">
        <f>'TECH DATA ENTRY'!U178</f>
        <v>0</v>
      </c>
      <c r="X150" s="217">
        <v>1</v>
      </c>
      <c r="Y150" s="218">
        <f t="shared" si="30"/>
        <v>0</v>
      </c>
      <c r="Z150" s="220">
        <f>'TECH DATA ENTRY'!V178</f>
        <v>0</v>
      </c>
      <c r="AA150" s="217">
        <v>1</v>
      </c>
      <c r="AB150" s="218">
        <f t="shared" si="31"/>
        <v>0</v>
      </c>
      <c r="AC150" s="220">
        <f>'TECH DATA ENTRY'!W178</f>
        <v>0</v>
      </c>
      <c r="AD150" s="217">
        <v>1</v>
      </c>
      <c r="AE150" s="218">
        <f t="shared" si="32"/>
        <v>0</v>
      </c>
      <c r="AF150" s="220">
        <f>'TECH DATA ENTRY'!X178</f>
        <v>0</v>
      </c>
      <c r="AG150" s="217">
        <v>1</v>
      </c>
      <c r="AH150" s="218">
        <f t="shared" si="33"/>
        <v>0</v>
      </c>
      <c r="AI150" s="219" t="e">
        <f t="shared" si="34"/>
        <v>#VALUE!</v>
      </c>
      <c r="AJ150" s="221" t="str">
        <f>'TECH DATA ENTRY'!K178</f>
        <v/>
      </c>
      <c r="AK150" s="222" t="e">
        <f t="shared" si="35"/>
        <v>#VALUE!</v>
      </c>
      <c r="AL150" s="222" t="e">
        <f>VLOOKUP(AK150,'AUX TABLES'!A$2:B$29,2)</f>
        <v>#VALUE!</v>
      </c>
      <c r="AM150" s="223" t="str">
        <f>IF(OR(ISTEXT(B150)=TRUE,ISTEXT('TECH DATA ENTRY'!L178)=TRUE), "NA",AL150*AI150)</f>
        <v>NA</v>
      </c>
      <c r="AN150" s="79"/>
    </row>
    <row r="151" spans="1:40" s="80" customFormat="1" ht="20.149999999999999" customHeight="1">
      <c r="A151" s="216"/>
      <c r="B151" s="249">
        <f>'TECH DATA ENTRY'!B179</f>
        <v>1</v>
      </c>
      <c r="C151" s="217" t="str">
        <f>'TECH DATA ENTRY'!O179</f>
        <v/>
      </c>
      <c r="D151" s="217">
        <v>1</v>
      </c>
      <c r="E151" s="218" t="e">
        <f t="shared" si="24"/>
        <v>#VALUE!</v>
      </c>
      <c r="F151" s="217">
        <f>'TECH DATA ENTRY'!P179</f>
        <v>0</v>
      </c>
      <c r="G151" s="217">
        <v>1</v>
      </c>
      <c r="H151" s="218" t="e">
        <f t="shared" si="25"/>
        <v>#VALUE!</v>
      </c>
      <c r="I151" s="219">
        <f>'TECH DATA ENTRY'!Q179</f>
        <v>9.9999999999999995E-7</v>
      </c>
      <c r="J151" s="219" t="str">
        <f>'TECH DATA ENTRY'!$G$26</f>
        <v>Digital</v>
      </c>
      <c r="K151" s="217">
        <v>1</v>
      </c>
      <c r="L151" s="218">
        <f t="shared" si="26"/>
        <v>2.8867513459481289E-7</v>
      </c>
      <c r="M151" s="219">
        <f>'TECH DATA ENTRY'!R179</f>
        <v>0</v>
      </c>
      <c r="N151" s="219" t="str">
        <f>'TECH DATA ENTRY'!$G$26</f>
        <v>Digital</v>
      </c>
      <c r="O151" s="217">
        <v>1</v>
      </c>
      <c r="P151" s="218">
        <f t="shared" si="27"/>
        <v>0</v>
      </c>
      <c r="Q151" s="220">
        <f>'TECH DATA ENTRY'!S179</f>
        <v>1.55E-2</v>
      </c>
      <c r="R151" s="217">
        <v>1</v>
      </c>
      <c r="S151" s="218">
        <f t="shared" si="28"/>
        <v>7.7499999999999999E-3</v>
      </c>
      <c r="T151" s="220">
        <f>'TECH DATA ENTRY'!T179</f>
        <v>0</v>
      </c>
      <c r="U151" s="217">
        <v>1</v>
      </c>
      <c r="V151" s="218">
        <f t="shared" si="29"/>
        <v>0</v>
      </c>
      <c r="W151" s="220">
        <f>'TECH DATA ENTRY'!U179</f>
        <v>0</v>
      </c>
      <c r="X151" s="217">
        <v>1</v>
      </c>
      <c r="Y151" s="218">
        <f t="shared" si="30"/>
        <v>0</v>
      </c>
      <c r="Z151" s="220">
        <f>'TECH DATA ENTRY'!V179</f>
        <v>0</v>
      </c>
      <c r="AA151" s="217">
        <v>1</v>
      </c>
      <c r="AB151" s="218">
        <f t="shared" si="31"/>
        <v>0</v>
      </c>
      <c r="AC151" s="220">
        <f>'TECH DATA ENTRY'!W179</f>
        <v>0</v>
      </c>
      <c r="AD151" s="217">
        <v>1</v>
      </c>
      <c r="AE151" s="218">
        <f t="shared" si="32"/>
        <v>0</v>
      </c>
      <c r="AF151" s="220">
        <f>'TECH DATA ENTRY'!X179</f>
        <v>0</v>
      </c>
      <c r="AG151" s="217">
        <v>1</v>
      </c>
      <c r="AH151" s="218">
        <f t="shared" si="33"/>
        <v>0</v>
      </c>
      <c r="AI151" s="219" t="e">
        <f t="shared" si="34"/>
        <v>#VALUE!</v>
      </c>
      <c r="AJ151" s="221" t="str">
        <f>'TECH DATA ENTRY'!K179</f>
        <v/>
      </c>
      <c r="AK151" s="222" t="e">
        <f t="shared" si="35"/>
        <v>#VALUE!</v>
      </c>
      <c r="AL151" s="222" t="e">
        <f>VLOOKUP(AK151,'AUX TABLES'!A$2:B$29,2)</f>
        <v>#VALUE!</v>
      </c>
      <c r="AM151" s="223" t="str">
        <f>IF(OR(ISTEXT(B151)=TRUE,ISTEXT('TECH DATA ENTRY'!L179)=TRUE), "NA",AL151*AI151)</f>
        <v>NA</v>
      </c>
      <c r="AN151" s="79"/>
    </row>
    <row r="152" spans="1:40" s="80" customFormat="1" ht="20.149999999999999" customHeight="1">
      <c r="A152" s="216"/>
      <c r="B152" s="249">
        <f>'TECH DATA ENTRY'!B180</f>
        <v>0</v>
      </c>
      <c r="C152" s="217">
        <f>'TECH DATA ENTRY'!O180</f>
        <v>0</v>
      </c>
      <c r="D152" s="217">
        <v>1</v>
      </c>
      <c r="E152" s="218" t="e">
        <f t="shared" si="24"/>
        <v>#DIV/0!</v>
      </c>
      <c r="F152" s="217">
        <f>'TECH DATA ENTRY'!P180</f>
        <v>0</v>
      </c>
      <c r="G152" s="217">
        <v>1</v>
      </c>
      <c r="H152" s="218" t="e">
        <f t="shared" si="25"/>
        <v>#DIV/0!</v>
      </c>
      <c r="I152" s="219">
        <f>'TECH DATA ENTRY'!Q180</f>
        <v>0</v>
      </c>
      <c r="J152" s="219" t="str">
        <f>'TECH DATA ENTRY'!$G$26</f>
        <v>Digital</v>
      </c>
      <c r="K152" s="217">
        <v>1</v>
      </c>
      <c r="L152" s="218">
        <f t="shared" si="26"/>
        <v>0</v>
      </c>
      <c r="M152" s="219">
        <f>'TECH DATA ENTRY'!R180</f>
        <v>0</v>
      </c>
      <c r="N152" s="219" t="str">
        <f>'TECH DATA ENTRY'!$G$26</f>
        <v>Digital</v>
      </c>
      <c r="O152" s="217">
        <v>1</v>
      </c>
      <c r="P152" s="218">
        <f t="shared" si="27"/>
        <v>0</v>
      </c>
      <c r="Q152" s="220">
        <f>'TECH DATA ENTRY'!S180</f>
        <v>0</v>
      </c>
      <c r="R152" s="217">
        <v>1</v>
      </c>
      <c r="S152" s="218">
        <f t="shared" si="28"/>
        <v>0</v>
      </c>
      <c r="T152" s="220">
        <f>'TECH DATA ENTRY'!T180</f>
        <v>0</v>
      </c>
      <c r="U152" s="217">
        <v>1</v>
      </c>
      <c r="V152" s="218">
        <f t="shared" si="29"/>
        <v>0</v>
      </c>
      <c r="W152" s="220">
        <f>'TECH DATA ENTRY'!U180</f>
        <v>0</v>
      </c>
      <c r="X152" s="217">
        <v>1</v>
      </c>
      <c r="Y152" s="218">
        <f t="shared" si="30"/>
        <v>0</v>
      </c>
      <c r="Z152" s="220">
        <f>'TECH DATA ENTRY'!V180</f>
        <v>0</v>
      </c>
      <c r="AA152" s="217">
        <v>1</v>
      </c>
      <c r="AB152" s="218">
        <f t="shared" si="31"/>
        <v>0</v>
      </c>
      <c r="AC152" s="220">
        <f>'TECH DATA ENTRY'!W180</f>
        <v>0</v>
      </c>
      <c r="AD152" s="217">
        <v>1</v>
      </c>
      <c r="AE152" s="218">
        <f t="shared" si="32"/>
        <v>0</v>
      </c>
      <c r="AF152" s="220">
        <f>'TECH DATA ENTRY'!X180</f>
        <v>0</v>
      </c>
      <c r="AG152" s="217">
        <v>1</v>
      </c>
      <c r="AH152" s="218">
        <f t="shared" si="33"/>
        <v>0</v>
      </c>
      <c r="AI152" s="219" t="e">
        <f t="shared" si="34"/>
        <v>#DIV/0!</v>
      </c>
      <c r="AJ152" s="221">
        <f>'TECH DATA ENTRY'!K180</f>
        <v>0</v>
      </c>
      <c r="AK152" s="222" t="e">
        <f t="shared" si="35"/>
        <v>#DIV/0!</v>
      </c>
      <c r="AL152" s="222" t="e">
        <f>VLOOKUP(AK152,'AUX TABLES'!A$2:B$29,2)</f>
        <v>#DIV/0!</v>
      </c>
      <c r="AM152" s="223" t="e">
        <f>IF(OR(ISTEXT(B152)=TRUE,ISTEXT('TECH DATA ENTRY'!L180)=TRUE), "NA",AL152*AI152)</f>
        <v>#DIV/0!</v>
      </c>
      <c r="AN152" s="79"/>
    </row>
    <row r="153" spans="1:40" s="80" customFormat="1" ht="20.149999999999999" customHeight="1">
      <c r="A153" s="216"/>
      <c r="B153" s="249">
        <f>'TECH DATA ENTRY'!B181</f>
        <v>0</v>
      </c>
      <c r="C153" s="217">
        <f>'TECH DATA ENTRY'!O181</f>
        <v>0</v>
      </c>
      <c r="D153" s="217">
        <v>1</v>
      </c>
      <c r="E153" s="218" t="e">
        <f t="shared" si="24"/>
        <v>#DIV/0!</v>
      </c>
      <c r="F153" s="217">
        <f>'TECH DATA ENTRY'!P181</f>
        <v>0</v>
      </c>
      <c r="G153" s="217">
        <v>1</v>
      </c>
      <c r="H153" s="218" t="e">
        <f t="shared" si="25"/>
        <v>#DIV/0!</v>
      </c>
      <c r="I153" s="219">
        <f>'TECH DATA ENTRY'!Q181</f>
        <v>0</v>
      </c>
      <c r="J153" s="219" t="str">
        <f>'TECH DATA ENTRY'!$G$26</f>
        <v>Digital</v>
      </c>
      <c r="K153" s="217">
        <v>1</v>
      </c>
      <c r="L153" s="218">
        <f t="shared" si="26"/>
        <v>0</v>
      </c>
      <c r="M153" s="219">
        <f>'TECH DATA ENTRY'!R181</f>
        <v>0</v>
      </c>
      <c r="N153" s="219" t="str">
        <f>'TECH DATA ENTRY'!$G$26</f>
        <v>Digital</v>
      </c>
      <c r="O153" s="217">
        <v>1</v>
      </c>
      <c r="P153" s="218">
        <f t="shared" si="27"/>
        <v>0</v>
      </c>
      <c r="Q153" s="220">
        <f>'TECH DATA ENTRY'!S181</f>
        <v>0</v>
      </c>
      <c r="R153" s="217">
        <v>1</v>
      </c>
      <c r="S153" s="218">
        <f t="shared" si="28"/>
        <v>0</v>
      </c>
      <c r="T153" s="220">
        <f>'TECH DATA ENTRY'!T181</f>
        <v>0</v>
      </c>
      <c r="U153" s="217">
        <v>1</v>
      </c>
      <c r="V153" s="218">
        <f t="shared" si="29"/>
        <v>0</v>
      </c>
      <c r="W153" s="220">
        <f>'TECH DATA ENTRY'!U181</f>
        <v>0</v>
      </c>
      <c r="X153" s="217">
        <v>1</v>
      </c>
      <c r="Y153" s="218">
        <f t="shared" si="30"/>
        <v>0</v>
      </c>
      <c r="Z153" s="220">
        <f>'TECH DATA ENTRY'!V181</f>
        <v>0</v>
      </c>
      <c r="AA153" s="217">
        <v>1</v>
      </c>
      <c r="AB153" s="218">
        <f t="shared" si="31"/>
        <v>0</v>
      </c>
      <c r="AC153" s="220">
        <f>'TECH DATA ENTRY'!W181</f>
        <v>0</v>
      </c>
      <c r="AD153" s="217">
        <v>1</v>
      </c>
      <c r="AE153" s="218">
        <f t="shared" si="32"/>
        <v>0</v>
      </c>
      <c r="AF153" s="220">
        <f>'TECH DATA ENTRY'!X181</f>
        <v>0</v>
      </c>
      <c r="AG153" s="217">
        <v>1</v>
      </c>
      <c r="AH153" s="218">
        <f t="shared" si="33"/>
        <v>0</v>
      </c>
      <c r="AI153" s="219" t="e">
        <f t="shared" si="34"/>
        <v>#DIV/0!</v>
      </c>
      <c r="AJ153" s="221">
        <f>'TECH DATA ENTRY'!K181</f>
        <v>0</v>
      </c>
      <c r="AK153" s="222" t="e">
        <f t="shared" si="35"/>
        <v>#DIV/0!</v>
      </c>
      <c r="AL153" s="222" t="e">
        <f>VLOOKUP(AK153,'AUX TABLES'!A$2:B$29,2)</f>
        <v>#DIV/0!</v>
      </c>
      <c r="AM153" s="223" t="e">
        <f>IF(OR(ISTEXT(B153)=TRUE,ISTEXT('TECH DATA ENTRY'!L181)=TRUE), "NA",AL153*AI153)</f>
        <v>#DIV/0!</v>
      </c>
      <c r="AN153" s="79"/>
    </row>
    <row r="154" spans="1:40" s="80" customFormat="1" ht="20.149999999999999" customHeight="1">
      <c r="A154" s="216"/>
      <c r="B154" s="249">
        <f>'TECH DATA ENTRY'!B182</f>
        <v>0</v>
      </c>
      <c r="C154" s="217">
        <f>'TECH DATA ENTRY'!O182</f>
        <v>0</v>
      </c>
      <c r="D154" s="217">
        <v>1</v>
      </c>
      <c r="E154" s="218" t="e">
        <f t="shared" si="24"/>
        <v>#DIV/0!</v>
      </c>
      <c r="F154" s="217">
        <f>'TECH DATA ENTRY'!P182</f>
        <v>0</v>
      </c>
      <c r="G154" s="217">
        <v>1</v>
      </c>
      <c r="H154" s="218" t="e">
        <f t="shared" si="25"/>
        <v>#DIV/0!</v>
      </c>
      <c r="I154" s="219">
        <f>'TECH DATA ENTRY'!Q182</f>
        <v>0</v>
      </c>
      <c r="J154" s="219" t="str">
        <f>'TECH DATA ENTRY'!$G$26</f>
        <v>Digital</v>
      </c>
      <c r="K154" s="217">
        <v>1</v>
      </c>
      <c r="L154" s="218">
        <f t="shared" si="26"/>
        <v>0</v>
      </c>
      <c r="M154" s="219">
        <f>'TECH DATA ENTRY'!R182</f>
        <v>0</v>
      </c>
      <c r="N154" s="219" t="str">
        <f>'TECH DATA ENTRY'!$G$26</f>
        <v>Digital</v>
      </c>
      <c r="O154" s="217">
        <v>1</v>
      </c>
      <c r="P154" s="218">
        <f t="shared" si="27"/>
        <v>0</v>
      </c>
      <c r="Q154" s="220">
        <f>'TECH DATA ENTRY'!S182</f>
        <v>0</v>
      </c>
      <c r="R154" s="217">
        <v>1</v>
      </c>
      <c r="S154" s="218">
        <f t="shared" si="28"/>
        <v>0</v>
      </c>
      <c r="T154" s="220">
        <f>'TECH DATA ENTRY'!T182</f>
        <v>0</v>
      </c>
      <c r="U154" s="217">
        <v>1</v>
      </c>
      <c r="V154" s="218">
        <f t="shared" si="29"/>
        <v>0</v>
      </c>
      <c r="W154" s="220">
        <f>'TECH DATA ENTRY'!U182</f>
        <v>0</v>
      </c>
      <c r="X154" s="217">
        <v>1</v>
      </c>
      <c r="Y154" s="218">
        <f t="shared" si="30"/>
        <v>0</v>
      </c>
      <c r="Z154" s="220">
        <f>'TECH DATA ENTRY'!V182</f>
        <v>0</v>
      </c>
      <c r="AA154" s="217">
        <v>1</v>
      </c>
      <c r="AB154" s="218">
        <f t="shared" si="31"/>
        <v>0</v>
      </c>
      <c r="AC154" s="220">
        <f>'TECH DATA ENTRY'!W182</f>
        <v>0</v>
      </c>
      <c r="AD154" s="217">
        <v>1</v>
      </c>
      <c r="AE154" s="218">
        <f t="shared" si="32"/>
        <v>0</v>
      </c>
      <c r="AF154" s="220">
        <f>'TECH DATA ENTRY'!X182</f>
        <v>0</v>
      </c>
      <c r="AG154" s="217">
        <v>1</v>
      </c>
      <c r="AH154" s="218">
        <f t="shared" si="33"/>
        <v>0</v>
      </c>
      <c r="AI154" s="219" t="e">
        <f t="shared" si="34"/>
        <v>#DIV/0!</v>
      </c>
      <c r="AJ154" s="221">
        <f>'TECH DATA ENTRY'!K182</f>
        <v>0</v>
      </c>
      <c r="AK154" s="222" t="e">
        <f t="shared" si="35"/>
        <v>#DIV/0!</v>
      </c>
      <c r="AL154" s="222" t="e">
        <f>VLOOKUP(AK154,'AUX TABLES'!A$2:B$29,2)</f>
        <v>#DIV/0!</v>
      </c>
      <c r="AM154" s="223" t="e">
        <f>IF(OR(ISTEXT(B154)=TRUE,ISTEXT('TECH DATA ENTRY'!L182)=TRUE), "NA",AL154*AI154)</f>
        <v>#DIV/0!</v>
      </c>
      <c r="AN154" s="79"/>
    </row>
    <row r="155" spans="1:40" s="80" customFormat="1" ht="20.149999999999999" customHeight="1">
      <c r="A155" s="216"/>
      <c r="B155" s="249">
        <f>'TECH DATA ENTRY'!B183</f>
        <v>0</v>
      </c>
      <c r="C155" s="217">
        <f>'TECH DATA ENTRY'!O183</f>
        <v>0</v>
      </c>
      <c r="D155" s="217">
        <v>1</v>
      </c>
      <c r="E155" s="218" t="e">
        <f t="shared" si="24"/>
        <v>#DIV/0!</v>
      </c>
      <c r="F155" s="217">
        <f>'TECH DATA ENTRY'!P183</f>
        <v>0</v>
      </c>
      <c r="G155" s="217">
        <v>1</v>
      </c>
      <c r="H155" s="218" t="e">
        <f t="shared" si="25"/>
        <v>#DIV/0!</v>
      </c>
      <c r="I155" s="219">
        <f>'TECH DATA ENTRY'!Q183</f>
        <v>0</v>
      </c>
      <c r="J155" s="219" t="str">
        <f>'TECH DATA ENTRY'!$G$26</f>
        <v>Digital</v>
      </c>
      <c r="K155" s="217">
        <v>1</v>
      </c>
      <c r="L155" s="218">
        <f t="shared" si="26"/>
        <v>0</v>
      </c>
      <c r="M155" s="219">
        <f>'TECH DATA ENTRY'!R183</f>
        <v>0</v>
      </c>
      <c r="N155" s="219" t="str">
        <f>'TECH DATA ENTRY'!$G$26</f>
        <v>Digital</v>
      </c>
      <c r="O155" s="217">
        <v>1</v>
      </c>
      <c r="P155" s="218">
        <f t="shared" si="27"/>
        <v>0</v>
      </c>
      <c r="Q155" s="220">
        <f>'TECH DATA ENTRY'!S183</f>
        <v>0</v>
      </c>
      <c r="R155" s="217">
        <v>1</v>
      </c>
      <c r="S155" s="218">
        <f t="shared" si="28"/>
        <v>0</v>
      </c>
      <c r="T155" s="220">
        <f>'TECH DATA ENTRY'!T183</f>
        <v>0</v>
      </c>
      <c r="U155" s="217">
        <v>1</v>
      </c>
      <c r="V155" s="218">
        <f t="shared" si="29"/>
        <v>0</v>
      </c>
      <c r="W155" s="220">
        <f>'TECH DATA ENTRY'!U183</f>
        <v>0</v>
      </c>
      <c r="X155" s="217">
        <v>1</v>
      </c>
      <c r="Y155" s="218">
        <f t="shared" si="30"/>
        <v>0</v>
      </c>
      <c r="Z155" s="220">
        <f>'TECH DATA ENTRY'!V183</f>
        <v>0</v>
      </c>
      <c r="AA155" s="217">
        <v>1</v>
      </c>
      <c r="AB155" s="218">
        <f t="shared" si="31"/>
        <v>0</v>
      </c>
      <c r="AC155" s="220">
        <f>'TECH DATA ENTRY'!W183</f>
        <v>0</v>
      </c>
      <c r="AD155" s="217">
        <v>1</v>
      </c>
      <c r="AE155" s="218">
        <f t="shared" si="32"/>
        <v>0</v>
      </c>
      <c r="AF155" s="220">
        <f>'TECH DATA ENTRY'!X183</f>
        <v>0</v>
      </c>
      <c r="AG155" s="217">
        <v>1</v>
      </c>
      <c r="AH155" s="218">
        <f t="shared" si="33"/>
        <v>0</v>
      </c>
      <c r="AI155" s="219" t="e">
        <f t="shared" si="34"/>
        <v>#DIV/0!</v>
      </c>
      <c r="AJ155" s="221">
        <f>'TECH DATA ENTRY'!K183</f>
        <v>0</v>
      </c>
      <c r="AK155" s="222" t="e">
        <f t="shared" si="35"/>
        <v>#DIV/0!</v>
      </c>
      <c r="AL155" s="222" t="e">
        <f>VLOOKUP(AK155,'AUX TABLES'!A$2:B$29,2)</f>
        <v>#DIV/0!</v>
      </c>
      <c r="AM155" s="223" t="e">
        <f>IF(OR(ISTEXT(B155)=TRUE,ISTEXT('TECH DATA ENTRY'!L183)=TRUE), "NA",AL155*AI155)</f>
        <v>#DIV/0!</v>
      </c>
      <c r="AN155" s="79"/>
    </row>
    <row r="156" spans="1:40" s="80" customFormat="1" ht="20.149999999999999" customHeight="1">
      <c r="A156" s="216"/>
      <c r="B156" s="249" t="str">
        <f>'TECH DATA ENTRY'!B184</f>
        <v>Nominal</v>
      </c>
      <c r="C156" s="217" t="str">
        <f>'TECH DATA ENTRY'!O184</f>
        <v>Uncertainty Components</v>
      </c>
      <c r="D156" s="217">
        <v>1</v>
      </c>
      <c r="E156" s="218" t="e">
        <f t="shared" si="24"/>
        <v>#VALUE!</v>
      </c>
      <c r="F156" s="217">
        <f>'TECH DATA ENTRY'!P184</f>
        <v>0</v>
      </c>
      <c r="G156" s="217">
        <v>1</v>
      </c>
      <c r="H156" s="218" t="e">
        <f t="shared" si="25"/>
        <v>#VALUE!</v>
      </c>
      <c r="I156" s="219">
        <f>'TECH DATA ENTRY'!Q184</f>
        <v>0</v>
      </c>
      <c r="J156" s="219" t="str">
        <f>'TECH DATA ENTRY'!$G$26</f>
        <v>Digital</v>
      </c>
      <c r="K156" s="217">
        <v>1</v>
      </c>
      <c r="L156" s="218">
        <f t="shared" si="26"/>
        <v>0</v>
      </c>
      <c r="M156" s="219">
        <f>'TECH DATA ENTRY'!R184</f>
        <v>0</v>
      </c>
      <c r="N156" s="219" t="str">
        <f>'TECH DATA ENTRY'!$G$26</f>
        <v>Digital</v>
      </c>
      <c r="O156" s="217">
        <v>1</v>
      </c>
      <c r="P156" s="218">
        <f t="shared" si="27"/>
        <v>0</v>
      </c>
      <c r="Q156" s="220">
        <f>'TECH DATA ENTRY'!S184</f>
        <v>0</v>
      </c>
      <c r="R156" s="217">
        <v>1</v>
      </c>
      <c r="S156" s="218">
        <f t="shared" si="28"/>
        <v>0</v>
      </c>
      <c r="T156" s="220">
        <f>'TECH DATA ENTRY'!T184</f>
        <v>0</v>
      </c>
      <c r="U156" s="217">
        <v>1</v>
      </c>
      <c r="V156" s="218">
        <f t="shared" si="29"/>
        <v>0</v>
      </c>
      <c r="W156" s="220">
        <f>'TECH DATA ENTRY'!U184</f>
        <v>0</v>
      </c>
      <c r="X156" s="217">
        <v>1</v>
      </c>
      <c r="Y156" s="218">
        <f t="shared" si="30"/>
        <v>0</v>
      </c>
      <c r="Z156" s="220">
        <f>'TECH DATA ENTRY'!V184</f>
        <v>0</v>
      </c>
      <c r="AA156" s="217">
        <v>1</v>
      </c>
      <c r="AB156" s="218">
        <f t="shared" si="31"/>
        <v>0</v>
      </c>
      <c r="AC156" s="220">
        <f>'TECH DATA ENTRY'!W184</f>
        <v>0</v>
      </c>
      <c r="AD156" s="217">
        <v>1</v>
      </c>
      <c r="AE156" s="218">
        <f t="shared" si="32"/>
        <v>0</v>
      </c>
      <c r="AF156" s="220">
        <f>'TECH DATA ENTRY'!X184</f>
        <v>0</v>
      </c>
      <c r="AG156" s="217">
        <v>1</v>
      </c>
      <c r="AH156" s="218">
        <f t="shared" si="33"/>
        <v>0</v>
      </c>
      <c r="AI156" s="219" t="e">
        <f t="shared" si="34"/>
        <v>#VALUE!</v>
      </c>
      <c r="AJ156" s="221" t="str">
        <f>'TECH DATA ENTRY'!K184</f>
        <v>n</v>
      </c>
      <c r="AK156" s="222" t="e">
        <f t="shared" si="35"/>
        <v>#VALUE!</v>
      </c>
      <c r="AL156" s="222" t="e">
        <f>VLOOKUP(AK156,'AUX TABLES'!A$2:B$29,2)</f>
        <v>#VALUE!</v>
      </c>
      <c r="AM156" s="223" t="str">
        <f>IF(OR(ISTEXT(B156)=TRUE,ISTEXT('TECH DATA ENTRY'!L184)=TRUE), "NA",AL156*AI156)</f>
        <v>NA</v>
      </c>
      <c r="AN156" s="79"/>
    </row>
    <row r="157" spans="1:40" s="80" customFormat="1" ht="20.149999999999999" customHeight="1">
      <c r="A157" s="216"/>
      <c r="B157" s="249">
        <f>'TECH DATA ENTRY'!B185</f>
        <v>0</v>
      </c>
      <c r="C157" s="217" t="str">
        <f>'TECH DATA ENTRY'!O185</f>
        <v>Stdev 1</v>
      </c>
      <c r="D157" s="217">
        <v>1</v>
      </c>
      <c r="E157" s="218" t="e">
        <f t="shared" si="24"/>
        <v>#VALUE!</v>
      </c>
      <c r="F157" s="217" t="str">
        <f>'TECH DATA ENTRY'!P185</f>
        <v>Stdev 2</v>
      </c>
      <c r="G157" s="217">
        <v>1</v>
      </c>
      <c r="H157" s="218" t="e">
        <f t="shared" si="25"/>
        <v>#VALUE!</v>
      </c>
      <c r="I157" s="219" t="str">
        <f>'TECH DATA ENTRY'!Q185</f>
        <v>Resolution 1</v>
      </c>
      <c r="J157" s="219" t="str">
        <f>'TECH DATA ENTRY'!$G$26</f>
        <v>Digital</v>
      </c>
      <c r="K157" s="217">
        <v>1</v>
      </c>
      <c r="L157" s="218" t="e">
        <f t="shared" si="26"/>
        <v>#VALUE!</v>
      </c>
      <c r="M157" s="219" t="str">
        <f>'TECH DATA ENTRY'!R185</f>
        <v>Resolution 2</v>
      </c>
      <c r="N157" s="219" t="str">
        <f>'TECH DATA ENTRY'!$G$26</f>
        <v>Digital</v>
      </c>
      <c r="O157" s="217">
        <v>1</v>
      </c>
      <c r="P157" s="218" t="e">
        <f t="shared" si="27"/>
        <v>#VALUE!</v>
      </c>
      <c r="Q157" s="220" t="str">
        <f>'TECH DATA ENTRY'!S185</f>
        <v>Scope Uncertainty</v>
      </c>
      <c r="R157" s="217">
        <v>1</v>
      </c>
      <c r="S157" s="218" t="e">
        <f t="shared" si="28"/>
        <v>#VALUE!</v>
      </c>
      <c r="T157" s="220" t="str">
        <f>'TECH DATA ENTRY'!T185</f>
        <v>STD 2 Cal Unc</v>
      </c>
      <c r="U157" s="217">
        <v>1</v>
      </c>
      <c r="V157" s="218" t="e">
        <f t="shared" si="29"/>
        <v>#VALUE!</v>
      </c>
      <c r="W157" s="220" t="str">
        <f>'TECH DATA ENTRY'!U185</f>
        <v>Others 1</v>
      </c>
      <c r="X157" s="217">
        <v>1</v>
      </c>
      <c r="Y157" s="218" t="e">
        <f t="shared" si="30"/>
        <v>#VALUE!</v>
      </c>
      <c r="Z157" s="220" t="str">
        <f>'TECH DATA ENTRY'!V185</f>
        <v>Others 2</v>
      </c>
      <c r="AA157" s="217">
        <v>1</v>
      </c>
      <c r="AB157" s="218" t="e">
        <f t="shared" si="31"/>
        <v>#VALUE!</v>
      </c>
      <c r="AC157" s="220" t="str">
        <f>'TECH DATA ENTRY'!W185</f>
        <v>Others 3</v>
      </c>
      <c r="AD157" s="217">
        <v>1</v>
      </c>
      <c r="AE157" s="218" t="e">
        <f t="shared" si="32"/>
        <v>#VALUE!</v>
      </c>
      <c r="AF157" s="220" t="str">
        <f>'TECH DATA ENTRY'!X185</f>
        <v>Others 4</v>
      </c>
      <c r="AG157" s="217">
        <v>1</v>
      </c>
      <c r="AH157" s="218" t="e">
        <f t="shared" si="33"/>
        <v>#VALUE!</v>
      </c>
      <c r="AI157" s="219" t="e">
        <f t="shared" si="34"/>
        <v>#VALUE!</v>
      </c>
      <c r="AJ157" s="221">
        <f>'TECH DATA ENTRY'!K185</f>
        <v>0</v>
      </c>
      <c r="AK157" s="222" t="e">
        <f t="shared" si="35"/>
        <v>#VALUE!</v>
      </c>
      <c r="AL157" s="222" t="e">
        <f>VLOOKUP(AK157,'AUX TABLES'!A$2:B$29,2)</f>
        <v>#VALUE!</v>
      </c>
      <c r="AM157" s="223" t="e">
        <f>IF(OR(ISTEXT(B157)=TRUE,ISTEXT('TECH DATA ENTRY'!L185)=TRUE), "NA",AL157*AI157)</f>
        <v>#VALUE!</v>
      </c>
      <c r="AN157" s="79"/>
    </row>
    <row r="158" spans="1:40" s="80" customFormat="1" ht="20.149999999999999" customHeight="1">
      <c r="A158" s="216"/>
      <c r="B158" s="249">
        <f>'TECH DATA ENTRY'!B186</f>
        <v>10</v>
      </c>
      <c r="C158" s="217" t="str">
        <f>'TECH DATA ENTRY'!O186</f>
        <v/>
      </c>
      <c r="D158" s="217">
        <v>1</v>
      </c>
      <c r="E158" s="218" t="e">
        <f t="shared" si="24"/>
        <v>#VALUE!</v>
      </c>
      <c r="F158" s="217">
        <f>'TECH DATA ENTRY'!P186</f>
        <v>0</v>
      </c>
      <c r="G158" s="217">
        <v>1</v>
      </c>
      <c r="H158" s="218" t="e">
        <f t="shared" si="25"/>
        <v>#VALUE!</v>
      </c>
      <c r="I158" s="219">
        <f>'TECH DATA ENTRY'!Q186</f>
        <v>1.0000000000000001E-5</v>
      </c>
      <c r="J158" s="219" t="str">
        <f>'TECH DATA ENTRY'!$G$26</f>
        <v>Digital</v>
      </c>
      <c r="K158" s="217">
        <v>1</v>
      </c>
      <c r="L158" s="218">
        <f t="shared" si="26"/>
        <v>2.8867513459481293E-6</v>
      </c>
      <c r="M158" s="219">
        <f>'TECH DATA ENTRY'!R186</f>
        <v>0</v>
      </c>
      <c r="N158" s="219" t="str">
        <f>'TECH DATA ENTRY'!$G$26</f>
        <v>Digital</v>
      </c>
      <c r="O158" s="217">
        <v>1</v>
      </c>
      <c r="P158" s="218">
        <f t="shared" si="27"/>
        <v>0</v>
      </c>
      <c r="Q158" s="220">
        <f>'TECH DATA ENTRY'!S186</f>
        <v>3.2500000000000004E-5</v>
      </c>
      <c r="R158" s="217">
        <v>1</v>
      </c>
      <c r="S158" s="218">
        <f t="shared" si="28"/>
        <v>1.6250000000000002E-5</v>
      </c>
      <c r="T158" s="220">
        <f>'TECH DATA ENTRY'!T186</f>
        <v>0</v>
      </c>
      <c r="U158" s="217">
        <v>1</v>
      </c>
      <c r="V158" s="218">
        <f t="shared" si="29"/>
        <v>0</v>
      </c>
      <c r="W158" s="220">
        <f>'TECH DATA ENTRY'!U186</f>
        <v>0</v>
      </c>
      <c r="X158" s="217">
        <v>1</v>
      </c>
      <c r="Y158" s="218">
        <f t="shared" si="30"/>
        <v>0</v>
      </c>
      <c r="Z158" s="220">
        <f>'TECH DATA ENTRY'!V186</f>
        <v>0</v>
      </c>
      <c r="AA158" s="217">
        <v>1</v>
      </c>
      <c r="AB158" s="218">
        <f t="shared" si="31"/>
        <v>0</v>
      </c>
      <c r="AC158" s="220">
        <f>'TECH DATA ENTRY'!W186</f>
        <v>0</v>
      </c>
      <c r="AD158" s="217">
        <v>1</v>
      </c>
      <c r="AE158" s="218">
        <f t="shared" si="32"/>
        <v>0</v>
      </c>
      <c r="AF158" s="220">
        <f>'TECH DATA ENTRY'!X186</f>
        <v>0</v>
      </c>
      <c r="AG158" s="217">
        <v>1</v>
      </c>
      <c r="AH158" s="218">
        <f t="shared" si="33"/>
        <v>0</v>
      </c>
      <c r="AI158" s="219" t="e">
        <f t="shared" si="34"/>
        <v>#VALUE!</v>
      </c>
      <c r="AJ158" s="221" t="str">
        <f>'TECH DATA ENTRY'!K186</f>
        <v/>
      </c>
      <c r="AK158" s="222" t="e">
        <f t="shared" si="35"/>
        <v>#VALUE!</v>
      </c>
      <c r="AL158" s="222" t="e">
        <f>VLOOKUP(AK158,'AUX TABLES'!A$2:B$29,2)</f>
        <v>#VALUE!</v>
      </c>
      <c r="AM158" s="223" t="str">
        <f>IF(OR(ISTEXT(B158)=TRUE,ISTEXT('TECH DATA ENTRY'!L186)=TRUE), "NA",AL158*AI158)</f>
        <v>NA</v>
      </c>
      <c r="AN158" s="79"/>
    </row>
    <row r="159" spans="1:40" s="80" customFormat="1" ht="20.149999999999999" customHeight="1">
      <c r="A159" s="216"/>
      <c r="B159" s="249">
        <f>'TECH DATA ENTRY'!B187</f>
        <v>1</v>
      </c>
      <c r="C159" s="217" t="str">
        <f>'TECH DATA ENTRY'!O187</f>
        <v/>
      </c>
      <c r="D159" s="217">
        <v>1</v>
      </c>
      <c r="E159" s="218" t="e">
        <f t="shared" si="24"/>
        <v>#VALUE!</v>
      </c>
      <c r="F159" s="217">
        <f>'TECH DATA ENTRY'!P187</f>
        <v>0</v>
      </c>
      <c r="G159" s="217">
        <v>1</v>
      </c>
      <c r="H159" s="218" t="e">
        <f t="shared" si="25"/>
        <v>#VALUE!</v>
      </c>
      <c r="I159" s="219">
        <f>'TECH DATA ENTRY'!Q187</f>
        <v>9.9999999999999995E-7</v>
      </c>
      <c r="J159" s="219" t="str">
        <f>'TECH DATA ENTRY'!$G$26</f>
        <v>Digital</v>
      </c>
      <c r="K159" s="217">
        <v>1</v>
      </c>
      <c r="L159" s="218">
        <f t="shared" si="26"/>
        <v>2.8867513459481289E-7</v>
      </c>
      <c r="M159" s="219">
        <f>'TECH DATA ENTRY'!R187</f>
        <v>0</v>
      </c>
      <c r="N159" s="219" t="str">
        <f>'TECH DATA ENTRY'!$G$26</f>
        <v>Digital</v>
      </c>
      <c r="O159" s="217">
        <v>1</v>
      </c>
      <c r="P159" s="218">
        <f t="shared" si="27"/>
        <v>0</v>
      </c>
      <c r="Q159" s="220">
        <f>'TECH DATA ENTRY'!S187</f>
        <v>3.3000000000000003E-5</v>
      </c>
      <c r="R159" s="217">
        <v>1</v>
      </c>
      <c r="S159" s="218">
        <f t="shared" si="28"/>
        <v>1.6500000000000001E-5</v>
      </c>
      <c r="T159" s="220">
        <f>'TECH DATA ENTRY'!T187</f>
        <v>0</v>
      </c>
      <c r="U159" s="217">
        <v>1</v>
      </c>
      <c r="V159" s="218">
        <f t="shared" si="29"/>
        <v>0</v>
      </c>
      <c r="W159" s="220">
        <f>'TECH DATA ENTRY'!U187</f>
        <v>0</v>
      </c>
      <c r="X159" s="217">
        <v>1</v>
      </c>
      <c r="Y159" s="218">
        <f t="shared" si="30"/>
        <v>0</v>
      </c>
      <c r="Z159" s="220">
        <f>'TECH DATA ENTRY'!V187</f>
        <v>0</v>
      </c>
      <c r="AA159" s="217">
        <v>1</v>
      </c>
      <c r="AB159" s="218">
        <f t="shared" si="31"/>
        <v>0</v>
      </c>
      <c r="AC159" s="220">
        <f>'TECH DATA ENTRY'!W187</f>
        <v>0</v>
      </c>
      <c r="AD159" s="217">
        <v>1</v>
      </c>
      <c r="AE159" s="218">
        <f t="shared" si="32"/>
        <v>0</v>
      </c>
      <c r="AF159" s="220">
        <f>'TECH DATA ENTRY'!X187</f>
        <v>0</v>
      </c>
      <c r="AG159" s="217">
        <v>1</v>
      </c>
      <c r="AH159" s="218">
        <f t="shared" si="33"/>
        <v>0</v>
      </c>
      <c r="AI159" s="219" t="e">
        <f t="shared" si="34"/>
        <v>#VALUE!</v>
      </c>
      <c r="AJ159" s="221" t="str">
        <f>'TECH DATA ENTRY'!K187</f>
        <v/>
      </c>
      <c r="AK159" s="222" t="e">
        <f t="shared" si="35"/>
        <v>#VALUE!</v>
      </c>
      <c r="AL159" s="222" t="e">
        <f>VLOOKUP(AK159,'AUX TABLES'!A$2:B$29,2)</f>
        <v>#VALUE!</v>
      </c>
      <c r="AM159" s="223" t="str">
        <f>IF(OR(ISTEXT(B159)=TRUE,ISTEXT('TECH DATA ENTRY'!L187)=TRUE), "NA",AL159*AI159)</f>
        <v>NA</v>
      </c>
      <c r="AN159" s="79"/>
    </row>
    <row r="160" spans="1:40" s="80" customFormat="1" ht="20.149999999999999" customHeight="1">
      <c r="A160" s="216"/>
      <c r="B160" s="249">
        <f>'TECH DATA ENTRY'!B188</f>
        <v>100</v>
      </c>
      <c r="C160" s="217" t="str">
        <f>'TECH DATA ENTRY'!O188</f>
        <v/>
      </c>
      <c r="D160" s="217">
        <v>1</v>
      </c>
      <c r="E160" s="218" t="e">
        <f t="shared" si="24"/>
        <v>#VALUE!</v>
      </c>
      <c r="F160" s="217">
        <f>'TECH DATA ENTRY'!P188</f>
        <v>0</v>
      </c>
      <c r="G160" s="217">
        <v>1</v>
      </c>
      <c r="H160" s="218" t="e">
        <f t="shared" si="25"/>
        <v>#VALUE!</v>
      </c>
      <c r="I160" s="219">
        <f>'TECH DATA ENTRY'!Q188</f>
        <v>1E-4</v>
      </c>
      <c r="J160" s="219" t="str">
        <f>'TECH DATA ENTRY'!$G$26</f>
        <v>Digital</v>
      </c>
      <c r="K160" s="217">
        <v>1</v>
      </c>
      <c r="L160" s="218">
        <f t="shared" si="26"/>
        <v>2.8867513459481293E-5</v>
      </c>
      <c r="M160" s="219">
        <f>'TECH DATA ENTRY'!R188</f>
        <v>0</v>
      </c>
      <c r="N160" s="219" t="str">
        <f>'TECH DATA ENTRY'!$G$26</f>
        <v>Digital</v>
      </c>
      <c r="O160" s="217">
        <v>1</v>
      </c>
      <c r="P160" s="218">
        <f t="shared" si="27"/>
        <v>0</v>
      </c>
      <c r="Q160" s="220">
        <f>'TECH DATA ENTRY'!S188</f>
        <v>5.8000000000000005E-3</v>
      </c>
      <c r="R160" s="217">
        <v>1</v>
      </c>
      <c r="S160" s="218">
        <f t="shared" si="28"/>
        <v>2.9000000000000002E-3</v>
      </c>
      <c r="T160" s="220">
        <f>'TECH DATA ENTRY'!T188</f>
        <v>0</v>
      </c>
      <c r="U160" s="217">
        <v>1</v>
      </c>
      <c r="V160" s="218">
        <f t="shared" si="29"/>
        <v>0</v>
      </c>
      <c r="W160" s="220">
        <f>'TECH DATA ENTRY'!U188</f>
        <v>0</v>
      </c>
      <c r="X160" s="217">
        <v>1</v>
      </c>
      <c r="Y160" s="218">
        <f t="shared" si="30"/>
        <v>0</v>
      </c>
      <c r="Z160" s="220">
        <f>'TECH DATA ENTRY'!V188</f>
        <v>0</v>
      </c>
      <c r="AA160" s="217">
        <v>1</v>
      </c>
      <c r="AB160" s="218">
        <f t="shared" si="31"/>
        <v>0</v>
      </c>
      <c r="AC160" s="220">
        <f>'TECH DATA ENTRY'!W188</f>
        <v>0</v>
      </c>
      <c r="AD160" s="217">
        <v>1</v>
      </c>
      <c r="AE160" s="218">
        <f t="shared" si="32"/>
        <v>0</v>
      </c>
      <c r="AF160" s="220">
        <f>'TECH DATA ENTRY'!X188</f>
        <v>0</v>
      </c>
      <c r="AG160" s="217">
        <v>1</v>
      </c>
      <c r="AH160" s="218">
        <f t="shared" si="33"/>
        <v>0</v>
      </c>
      <c r="AI160" s="219" t="e">
        <f t="shared" si="34"/>
        <v>#VALUE!</v>
      </c>
      <c r="AJ160" s="221" t="str">
        <f>'TECH DATA ENTRY'!K188</f>
        <v/>
      </c>
      <c r="AK160" s="222" t="e">
        <f t="shared" si="35"/>
        <v>#VALUE!</v>
      </c>
      <c r="AL160" s="222" t="e">
        <f>VLOOKUP(AK160,'AUX TABLES'!A$2:B$29,2)</f>
        <v>#VALUE!</v>
      </c>
      <c r="AM160" s="223" t="str">
        <f>IF(OR(ISTEXT(B160)=TRUE,ISTEXT('TECH DATA ENTRY'!L188)=TRUE), "NA",AL160*AI160)</f>
        <v>NA</v>
      </c>
      <c r="AN160" s="79"/>
    </row>
    <row r="161" spans="1:40" s="80" customFormat="1" ht="20.149999999999999" customHeight="1">
      <c r="A161" s="216"/>
      <c r="B161" s="249">
        <f>'TECH DATA ENTRY'!B189</f>
        <v>0</v>
      </c>
      <c r="C161" s="217">
        <f>'TECH DATA ENTRY'!O189</f>
        <v>0</v>
      </c>
      <c r="D161" s="217">
        <v>1</v>
      </c>
      <c r="E161" s="218" t="e">
        <f t="shared" si="24"/>
        <v>#DIV/0!</v>
      </c>
      <c r="F161" s="217">
        <f>'TECH DATA ENTRY'!P189</f>
        <v>0</v>
      </c>
      <c r="G161" s="217">
        <v>1</v>
      </c>
      <c r="H161" s="218" t="e">
        <f t="shared" si="25"/>
        <v>#DIV/0!</v>
      </c>
      <c r="I161" s="219">
        <f>'TECH DATA ENTRY'!Q189</f>
        <v>0</v>
      </c>
      <c r="J161" s="219" t="str">
        <f>'TECH DATA ENTRY'!$G$26</f>
        <v>Digital</v>
      </c>
      <c r="K161" s="217">
        <v>1</v>
      </c>
      <c r="L161" s="218">
        <f t="shared" si="26"/>
        <v>0</v>
      </c>
      <c r="M161" s="219">
        <f>'TECH DATA ENTRY'!R189</f>
        <v>0</v>
      </c>
      <c r="N161" s="219" t="str">
        <f>'TECH DATA ENTRY'!$G$26</f>
        <v>Digital</v>
      </c>
      <c r="O161" s="217">
        <v>1</v>
      </c>
      <c r="P161" s="218">
        <f t="shared" si="27"/>
        <v>0</v>
      </c>
      <c r="Q161" s="220">
        <f>'TECH DATA ENTRY'!S189</f>
        <v>0</v>
      </c>
      <c r="R161" s="217">
        <v>1</v>
      </c>
      <c r="S161" s="218">
        <f t="shared" si="28"/>
        <v>0</v>
      </c>
      <c r="T161" s="220">
        <f>'TECH DATA ENTRY'!T189</f>
        <v>0</v>
      </c>
      <c r="U161" s="217">
        <v>1</v>
      </c>
      <c r="V161" s="218">
        <f t="shared" si="29"/>
        <v>0</v>
      </c>
      <c r="W161" s="220">
        <f>'TECH DATA ENTRY'!U189</f>
        <v>0</v>
      </c>
      <c r="X161" s="217">
        <v>1</v>
      </c>
      <c r="Y161" s="218">
        <f t="shared" si="30"/>
        <v>0</v>
      </c>
      <c r="Z161" s="220">
        <f>'TECH DATA ENTRY'!V189</f>
        <v>0</v>
      </c>
      <c r="AA161" s="217">
        <v>1</v>
      </c>
      <c r="AB161" s="218">
        <f t="shared" si="31"/>
        <v>0</v>
      </c>
      <c r="AC161" s="220">
        <f>'TECH DATA ENTRY'!W189</f>
        <v>0</v>
      </c>
      <c r="AD161" s="217">
        <v>1</v>
      </c>
      <c r="AE161" s="218">
        <f t="shared" si="32"/>
        <v>0</v>
      </c>
      <c r="AF161" s="220">
        <f>'TECH DATA ENTRY'!X189</f>
        <v>0</v>
      </c>
      <c r="AG161" s="217">
        <v>1</v>
      </c>
      <c r="AH161" s="218">
        <f t="shared" si="33"/>
        <v>0</v>
      </c>
      <c r="AI161" s="219" t="e">
        <f t="shared" si="34"/>
        <v>#DIV/0!</v>
      </c>
      <c r="AJ161" s="221">
        <f>'TECH DATA ENTRY'!K189</f>
        <v>0</v>
      </c>
      <c r="AK161" s="222" t="e">
        <f t="shared" si="35"/>
        <v>#DIV/0!</v>
      </c>
      <c r="AL161" s="222" t="e">
        <f>VLOOKUP(AK161,'AUX TABLES'!A$2:B$29,2)</f>
        <v>#DIV/0!</v>
      </c>
      <c r="AM161" s="223" t="e">
        <f>IF(OR(ISTEXT(B161)=TRUE,ISTEXT('TECH DATA ENTRY'!L189)=TRUE), "NA",AL161*AI161)</f>
        <v>#DIV/0!</v>
      </c>
      <c r="AN161" s="79"/>
    </row>
    <row r="162" spans="1:40" s="80" customFormat="1" ht="20.149999999999999" customHeight="1">
      <c r="A162" s="216"/>
      <c r="B162" s="249">
        <f>'TECH DATA ENTRY'!B190</f>
        <v>0</v>
      </c>
      <c r="C162" s="217">
        <f>'TECH DATA ENTRY'!O190</f>
        <v>0</v>
      </c>
      <c r="D162" s="217">
        <v>1</v>
      </c>
      <c r="E162" s="218" t="e">
        <f t="shared" si="24"/>
        <v>#DIV/0!</v>
      </c>
      <c r="F162" s="217">
        <f>'TECH DATA ENTRY'!P190</f>
        <v>0</v>
      </c>
      <c r="G162" s="217">
        <v>1</v>
      </c>
      <c r="H162" s="218" t="e">
        <f t="shared" si="25"/>
        <v>#DIV/0!</v>
      </c>
      <c r="I162" s="219">
        <f>'TECH DATA ENTRY'!Q190</f>
        <v>0</v>
      </c>
      <c r="J162" s="219" t="str">
        <f>'TECH DATA ENTRY'!$G$26</f>
        <v>Digital</v>
      </c>
      <c r="K162" s="217">
        <v>1</v>
      </c>
      <c r="L162" s="218">
        <f t="shared" si="26"/>
        <v>0</v>
      </c>
      <c r="M162" s="219">
        <f>'TECH DATA ENTRY'!R190</f>
        <v>0</v>
      </c>
      <c r="N162" s="219" t="str">
        <f>'TECH DATA ENTRY'!$G$26</f>
        <v>Digital</v>
      </c>
      <c r="O162" s="217">
        <v>1</v>
      </c>
      <c r="P162" s="218">
        <f t="shared" si="27"/>
        <v>0</v>
      </c>
      <c r="Q162" s="220">
        <f>'TECH DATA ENTRY'!S190</f>
        <v>0</v>
      </c>
      <c r="R162" s="217">
        <v>1</v>
      </c>
      <c r="S162" s="218">
        <f t="shared" si="28"/>
        <v>0</v>
      </c>
      <c r="T162" s="220">
        <f>'TECH DATA ENTRY'!T190</f>
        <v>0</v>
      </c>
      <c r="U162" s="217">
        <v>1</v>
      </c>
      <c r="V162" s="218">
        <f t="shared" si="29"/>
        <v>0</v>
      </c>
      <c r="W162" s="220">
        <f>'TECH DATA ENTRY'!U190</f>
        <v>0</v>
      </c>
      <c r="X162" s="217">
        <v>1</v>
      </c>
      <c r="Y162" s="218">
        <f t="shared" si="30"/>
        <v>0</v>
      </c>
      <c r="Z162" s="220">
        <f>'TECH DATA ENTRY'!V190</f>
        <v>0</v>
      </c>
      <c r="AA162" s="217">
        <v>1</v>
      </c>
      <c r="AB162" s="218">
        <f t="shared" si="31"/>
        <v>0</v>
      </c>
      <c r="AC162" s="220">
        <f>'TECH DATA ENTRY'!W190</f>
        <v>0</v>
      </c>
      <c r="AD162" s="217">
        <v>1</v>
      </c>
      <c r="AE162" s="218">
        <f t="shared" si="32"/>
        <v>0</v>
      </c>
      <c r="AF162" s="220">
        <f>'TECH DATA ENTRY'!X190</f>
        <v>0</v>
      </c>
      <c r="AG162" s="217">
        <v>1</v>
      </c>
      <c r="AH162" s="218">
        <f t="shared" si="33"/>
        <v>0</v>
      </c>
      <c r="AI162" s="219" t="e">
        <f t="shared" si="34"/>
        <v>#DIV/0!</v>
      </c>
      <c r="AJ162" s="221">
        <f>'TECH DATA ENTRY'!K190</f>
        <v>0</v>
      </c>
      <c r="AK162" s="222" t="e">
        <f t="shared" si="35"/>
        <v>#DIV/0!</v>
      </c>
      <c r="AL162" s="222" t="e">
        <f>VLOOKUP(AK162,'AUX TABLES'!A$2:B$29,2)</f>
        <v>#DIV/0!</v>
      </c>
      <c r="AM162" s="223" t="e">
        <f>IF(OR(ISTEXT(B162)=TRUE,ISTEXT('TECH DATA ENTRY'!L190)=TRUE), "NA",AL162*AI162)</f>
        <v>#DIV/0!</v>
      </c>
      <c r="AN162" s="79"/>
    </row>
    <row r="163" spans="1:40" s="80" customFormat="1" ht="20.149999999999999" customHeight="1">
      <c r="A163" s="216"/>
      <c r="B163" s="249">
        <f>'TECH DATA ENTRY'!B191</f>
        <v>0</v>
      </c>
      <c r="C163" s="217">
        <f>'TECH DATA ENTRY'!O191</f>
        <v>0</v>
      </c>
      <c r="D163" s="217">
        <v>1</v>
      </c>
      <c r="E163" s="218" t="e">
        <f t="shared" si="24"/>
        <v>#DIV/0!</v>
      </c>
      <c r="F163" s="217">
        <f>'TECH DATA ENTRY'!P191</f>
        <v>0</v>
      </c>
      <c r="G163" s="217">
        <v>1</v>
      </c>
      <c r="H163" s="218" t="e">
        <f t="shared" si="25"/>
        <v>#DIV/0!</v>
      </c>
      <c r="I163" s="219">
        <f>'TECH DATA ENTRY'!Q191</f>
        <v>0</v>
      </c>
      <c r="J163" s="219" t="str">
        <f>'TECH DATA ENTRY'!$G$26</f>
        <v>Digital</v>
      </c>
      <c r="K163" s="217">
        <v>1</v>
      </c>
      <c r="L163" s="218">
        <f t="shared" si="26"/>
        <v>0</v>
      </c>
      <c r="M163" s="219">
        <f>'TECH DATA ENTRY'!R191</f>
        <v>0</v>
      </c>
      <c r="N163" s="219" t="str">
        <f>'TECH DATA ENTRY'!$G$26</f>
        <v>Digital</v>
      </c>
      <c r="O163" s="217">
        <v>1</v>
      </c>
      <c r="P163" s="218">
        <f t="shared" si="27"/>
        <v>0</v>
      </c>
      <c r="Q163" s="220">
        <f>'TECH DATA ENTRY'!S191</f>
        <v>0</v>
      </c>
      <c r="R163" s="217">
        <v>1</v>
      </c>
      <c r="S163" s="218">
        <f t="shared" si="28"/>
        <v>0</v>
      </c>
      <c r="T163" s="220">
        <f>'TECH DATA ENTRY'!T191</f>
        <v>0</v>
      </c>
      <c r="U163" s="217">
        <v>1</v>
      </c>
      <c r="V163" s="218">
        <f t="shared" si="29"/>
        <v>0</v>
      </c>
      <c r="W163" s="220">
        <f>'TECH DATA ENTRY'!U191</f>
        <v>0</v>
      </c>
      <c r="X163" s="217">
        <v>1</v>
      </c>
      <c r="Y163" s="218">
        <f t="shared" si="30"/>
        <v>0</v>
      </c>
      <c r="Z163" s="220">
        <f>'TECH DATA ENTRY'!V191</f>
        <v>0</v>
      </c>
      <c r="AA163" s="217">
        <v>1</v>
      </c>
      <c r="AB163" s="218">
        <f t="shared" si="31"/>
        <v>0</v>
      </c>
      <c r="AC163" s="220">
        <f>'TECH DATA ENTRY'!W191</f>
        <v>0</v>
      </c>
      <c r="AD163" s="217">
        <v>1</v>
      </c>
      <c r="AE163" s="218">
        <f t="shared" si="32"/>
        <v>0</v>
      </c>
      <c r="AF163" s="220">
        <f>'TECH DATA ENTRY'!X191</f>
        <v>0</v>
      </c>
      <c r="AG163" s="217">
        <v>1</v>
      </c>
      <c r="AH163" s="218">
        <f t="shared" si="33"/>
        <v>0</v>
      </c>
      <c r="AI163" s="219" t="e">
        <f t="shared" si="34"/>
        <v>#DIV/0!</v>
      </c>
      <c r="AJ163" s="221">
        <f>'TECH DATA ENTRY'!K191</f>
        <v>0</v>
      </c>
      <c r="AK163" s="222" t="e">
        <f t="shared" si="35"/>
        <v>#DIV/0!</v>
      </c>
      <c r="AL163" s="222" t="e">
        <f>VLOOKUP(AK163,'AUX TABLES'!A$2:B$29,2)</f>
        <v>#DIV/0!</v>
      </c>
      <c r="AM163" s="223" t="e">
        <f>IF(OR(ISTEXT(B163)=TRUE,ISTEXT('TECH DATA ENTRY'!L191)=TRUE), "NA",AL163*AI163)</f>
        <v>#DIV/0!</v>
      </c>
      <c r="AN163" s="79"/>
    </row>
    <row r="164" spans="1:40" s="80" customFormat="1" ht="20.149999999999999" customHeight="1">
      <c r="A164" s="216"/>
      <c r="B164" s="249">
        <f>'TECH DATA ENTRY'!B192</f>
        <v>0</v>
      </c>
      <c r="C164" s="217">
        <f>'TECH DATA ENTRY'!O192</f>
        <v>0</v>
      </c>
      <c r="D164" s="217">
        <v>1</v>
      </c>
      <c r="E164" s="218" t="e">
        <f t="shared" si="24"/>
        <v>#DIV/0!</v>
      </c>
      <c r="F164" s="217">
        <f>'TECH DATA ENTRY'!P192</f>
        <v>0</v>
      </c>
      <c r="G164" s="217">
        <v>1</v>
      </c>
      <c r="H164" s="218" t="e">
        <f t="shared" si="25"/>
        <v>#DIV/0!</v>
      </c>
      <c r="I164" s="219">
        <f>'TECH DATA ENTRY'!Q192</f>
        <v>0</v>
      </c>
      <c r="J164" s="219" t="str">
        <f>'TECH DATA ENTRY'!$G$26</f>
        <v>Digital</v>
      </c>
      <c r="K164" s="217">
        <v>1</v>
      </c>
      <c r="L164" s="218">
        <f t="shared" si="26"/>
        <v>0</v>
      </c>
      <c r="M164" s="219">
        <f>'TECH DATA ENTRY'!R192</f>
        <v>0</v>
      </c>
      <c r="N164" s="219" t="str">
        <f>'TECH DATA ENTRY'!$G$26</f>
        <v>Digital</v>
      </c>
      <c r="O164" s="217">
        <v>1</v>
      </c>
      <c r="P164" s="218">
        <f t="shared" si="27"/>
        <v>0</v>
      </c>
      <c r="Q164" s="220">
        <f>'TECH DATA ENTRY'!S192</f>
        <v>0</v>
      </c>
      <c r="R164" s="217">
        <v>1</v>
      </c>
      <c r="S164" s="218">
        <f t="shared" si="28"/>
        <v>0</v>
      </c>
      <c r="T164" s="220">
        <f>'TECH DATA ENTRY'!T192</f>
        <v>0</v>
      </c>
      <c r="U164" s="217">
        <v>1</v>
      </c>
      <c r="V164" s="218">
        <f t="shared" si="29"/>
        <v>0</v>
      </c>
      <c r="W164" s="220">
        <f>'TECH DATA ENTRY'!U192</f>
        <v>0</v>
      </c>
      <c r="X164" s="217">
        <v>1</v>
      </c>
      <c r="Y164" s="218">
        <f t="shared" si="30"/>
        <v>0</v>
      </c>
      <c r="Z164" s="220">
        <f>'TECH DATA ENTRY'!V192</f>
        <v>0</v>
      </c>
      <c r="AA164" s="217">
        <v>1</v>
      </c>
      <c r="AB164" s="218">
        <f t="shared" si="31"/>
        <v>0</v>
      </c>
      <c r="AC164" s="220">
        <f>'TECH DATA ENTRY'!W192</f>
        <v>0</v>
      </c>
      <c r="AD164" s="217">
        <v>1</v>
      </c>
      <c r="AE164" s="218">
        <f t="shared" si="32"/>
        <v>0</v>
      </c>
      <c r="AF164" s="220">
        <f>'TECH DATA ENTRY'!X192</f>
        <v>0</v>
      </c>
      <c r="AG164" s="217">
        <v>1</v>
      </c>
      <c r="AH164" s="218">
        <f t="shared" si="33"/>
        <v>0</v>
      </c>
      <c r="AI164" s="219" t="e">
        <f t="shared" si="34"/>
        <v>#DIV/0!</v>
      </c>
      <c r="AJ164" s="221">
        <f>'TECH DATA ENTRY'!K192</f>
        <v>0</v>
      </c>
      <c r="AK164" s="222" t="e">
        <f t="shared" si="35"/>
        <v>#DIV/0!</v>
      </c>
      <c r="AL164" s="222" t="e">
        <f>VLOOKUP(AK164,'AUX TABLES'!A$2:B$29,2)</f>
        <v>#DIV/0!</v>
      </c>
      <c r="AM164" s="223" t="e">
        <f>IF(OR(ISTEXT(B164)=TRUE,ISTEXT('TECH DATA ENTRY'!L192)=TRUE), "NA",AL164*AI164)</f>
        <v>#DIV/0!</v>
      </c>
      <c r="AN164" s="79"/>
    </row>
    <row r="165" spans="1:40" s="80" customFormat="1" ht="20.149999999999999" customHeight="1">
      <c r="A165" s="216"/>
      <c r="B165" s="249" t="str">
        <f>'TECH DATA ENTRY'!B193</f>
        <v>Nominal</v>
      </c>
      <c r="C165" s="217" t="str">
        <f>'TECH DATA ENTRY'!O193</f>
        <v>Uncertainty Components</v>
      </c>
      <c r="D165" s="217">
        <v>1</v>
      </c>
      <c r="E165" s="218" t="e">
        <f t="shared" si="24"/>
        <v>#VALUE!</v>
      </c>
      <c r="F165" s="217">
        <f>'TECH DATA ENTRY'!P193</f>
        <v>0</v>
      </c>
      <c r="G165" s="217">
        <v>1</v>
      </c>
      <c r="H165" s="218" t="e">
        <f t="shared" si="25"/>
        <v>#VALUE!</v>
      </c>
      <c r="I165" s="219">
        <f>'TECH DATA ENTRY'!Q193</f>
        <v>0</v>
      </c>
      <c r="J165" s="219" t="str">
        <f>'TECH DATA ENTRY'!$G$26</f>
        <v>Digital</v>
      </c>
      <c r="K165" s="217">
        <v>1</v>
      </c>
      <c r="L165" s="218">
        <f t="shared" si="26"/>
        <v>0</v>
      </c>
      <c r="M165" s="219">
        <f>'TECH DATA ENTRY'!R193</f>
        <v>0</v>
      </c>
      <c r="N165" s="219" t="str">
        <f>'TECH DATA ENTRY'!$G$26</f>
        <v>Digital</v>
      </c>
      <c r="O165" s="217">
        <v>1</v>
      </c>
      <c r="P165" s="218">
        <f t="shared" si="27"/>
        <v>0</v>
      </c>
      <c r="Q165" s="220">
        <f>'TECH DATA ENTRY'!S193</f>
        <v>0</v>
      </c>
      <c r="R165" s="217">
        <v>1</v>
      </c>
      <c r="S165" s="218">
        <f t="shared" si="28"/>
        <v>0</v>
      </c>
      <c r="T165" s="220">
        <f>'TECH DATA ENTRY'!T193</f>
        <v>0</v>
      </c>
      <c r="U165" s="217">
        <v>1</v>
      </c>
      <c r="V165" s="218">
        <f t="shared" si="29"/>
        <v>0</v>
      </c>
      <c r="W165" s="220">
        <f>'TECH DATA ENTRY'!U193</f>
        <v>0</v>
      </c>
      <c r="X165" s="217">
        <v>1</v>
      </c>
      <c r="Y165" s="218">
        <f t="shared" si="30"/>
        <v>0</v>
      </c>
      <c r="Z165" s="220">
        <f>'TECH DATA ENTRY'!V193</f>
        <v>0</v>
      </c>
      <c r="AA165" s="217">
        <v>1</v>
      </c>
      <c r="AB165" s="218">
        <f t="shared" si="31"/>
        <v>0</v>
      </c>
      <c r="AC165" s="220">
        <f>'TECH DATA ENTRY'!W193</f>
        <v>0</v>
      </c>
      <c r="AD165" s="217">
        <v>1</v>
      </c>
      <c r="AE165" s="218">
        <f t="shared" si="32"/>
        <v>0</v>
      </c>
      <c r="AF165" s="220">
        <f>'TECH DATA ENTRY'!X193</f>
        <v>0</v>
      </c>
      <c r="AG165" s="217">
        <v>1</v>
      </c>
      <c r="AH165" s="218">
        <f t="shared" si="33"/>
        <v>0</v>
      </c>
      <c r="AI165" s="219" t="e">
        <f t="shared" si="34"/>
        <v>#VALUE!</v>
      </c>
      <c r="AJ165" s="221" t="str">
        <f>'TECH DATA ENTRY'!K193</f>
        <v>n</v>
      </c>
      <c r="AK165" s="222" t="e">
        <f t="shared" si="35"/>
        <v>#VALUE!</v>
      </c>
      <c r="AL165" s="222" t="e">
        <f>VLOOKUP(AK165,'AUX TABLES'!A$2:B$29,2)</f>
        <v>#VALUE!</v>
      </c>
      <c r="AM165" s="223" t="str">
        <f>IF(OR(ISTEXT(B165)=TRUE,ISTEXT('TECH DATA ENTRY'!L193)=TRUE), "NA",AL165*AI165)</f>
        <v>NA</v>
      </c>
      <c r="AN165" s="79"/>
    </row>
    <row r="166" spans="1:40" s="80" customFormat="1" ht="20.149999999999999" customHeight="1">
      <c r="A166" s="216"/>
      <c r="B166" s="249">
        <f>'TECH DATA ENTRY'!B194</f>
        <v>0</v>
      </c>
      <c r="C166" s="217" t="str">
        <f>'TECH DATA ENTRY'!O194</f>
        <v>Stdev 1</v>
      </c>
      <c r="D166" s="217">
        <v>1</v>
      </c>
      <c r="E166" s="218" t="e">
        <f t="shared" si="24"/>
        <v>#VALUE!</v>
      </c>
      <c r="F166" s="217" t="str">
        <f>'TECH DATA ENTRY'!P194</f>
        <v>Stdev 2</v>
      </c>
      <c r="G166" s="217">
        <v>1</v>
      </c>
      <c r="H166" s="218" t="e">
        <f t="shared" si="25"/>
        <v>#VALUE!</v>
      </c>
      <c r="I166" s="219" t="str">
        <f>'TECH DATA ENTRY'!Q194</f>
        <v>Resolution 1</v>
      </c>
      <c r="J166" s="219" t="str">
        <f>'TECH DATA ENTRY'!$G$26</f>
        <v>Digital</v>
      </c>
      <c r="K166" s="217">
        <v>1</v>
      </c>
      <c r="L166" s="218" t="e">
        <f t="shared" si="26"/>
        <v>#VALUE!</v>
      </c>
      <c r="M166" s="219" t="str">
        <f>'TECH DATA ENTRY'!R194</f>
        <v>Resolution 2</v>
      </c>
      <c r="N166" s="219" t="str">
        <f>'TECH DATA ENTRY'!$G$26</f>
        <v>Digital</v>
      </c>
      <c r="O166" s="217">
        <v>1</v>
      </c>
      <c r="P166" s="218" t="e">
        <f t="shared" si="27"/>
        <v>#VALUE!</v>
      </c>
      <c r="Q166" s="220" t="str">
        <f>'TECH DATA ENTRY'!S194</f>
        <v>Scope Uncertainty</v>
      </c>
      <c r="R166" s="217">
        <v>1</v>
      </c>
      <c r="S166" s="218" t="e">
        <f t="shared" si="28"/>
        <v>#VALUE!</v>
      </c>
      <c r="T166" s="220" t="str">
        <f>'TECH DATA ENTRY'!T194</f>
        <v>STD 2 Cal Unc</v>
      </c>
      <c r="U166" s="217">
        <v>1</v>
      </c>
      <c r="V166" s="218" t="e">
        <f t="shared" si="29"/>
        <v>#VALUE!</v>
      </c>
      <c r="W166" s="220" t="str">
        <f>'TECH DATA ENTRY'!U194</f>
        <v>Others 1</v>
      </c>
      <c r="X166" s="217">
        <v>1</v>
      </c>
      <c r="Y166" s="218" t="e">
        <f t="shared" si="30"/>
        <v>#VALUE!</v>
      </c>
      <c r="Z166" s="220" t="str">
        <f>'TECH DATA ENTRY'!V194</f>
        <v>Others 2</v>
      </c>
      <c r="AA166" s="217">
        <v>1</v>
      </c>
      <c r="AB166" s="218" t="e">
        <f t="shared" si="31"/>
        <v>#VALUE!</v>
      </c>
      <c r="AC166" s="220" t="str">
        <f>'TECH DATA ENTRY'!W194</f>
        <v>Others 3</v>
      </c>
      <c r="AD166" s="217">
        <v>1</v>
      </c>
      <c r="AE166" s="218" t="e">
        <f t="shared" si="32"/>
        <v>#VALUE!</v>
      </c>
      <c r="AF166" s="220" t="str">
        <f>'TECH DATA ENTRY'!X194</f>
        <v>Others 4</v>
      </c>
      <c r="AG166" s="217">
        <v>1</v>
      </c>
      <c r="AH166" s="218" t="e">
        <f t="shared" si="33"/>
        <v>#VALUE!</v>
      </c>
      <c r="AI166" s="219" t="e">
        <f t="shared" si="34"/>
        <v>#VALUE!</v>
      </c>
      <c r="AJ166" s="221">
        <f>'TECH DATA ENTRY'!K194</f>
        <v>0</v>
      </c>
      <c r="AK166" s="222" t="e">
        <f t="shared" si="35"/>
        <v>#VALUE!</v>
      </c>
      <c r="AL166" s="222" t="e">
        <f>VLOOKUP(AK166,'AUX TABLES'!A$2:B$29,2)</f>
        <v>#VALUE!</v>
      </c>
      <c r="AM166" s="223" t="e">
        <f>IF(OR(ISTEXT(B166)=TRUE,ISTEXT('TECH DATA ENTRY'!L194)=TRUE), "NA",AL166*AI166)</f>
        <v>#VALUE!</v>
      </c>
      <c r="AN166" s="79"/>
    </row>
    <row r="167" spans="1:40" s="80" customFormat="1" ht="20.149999999999999" customHeight="1">
      <c r="A167" s="216"/>
      <c r="B167" s="249">
        <f>'TECH DATA ENTRY'!B195</f>
        <v>0</v>
      </c>
      <c r="C167" s="217" t="str">
        <f>'TECH DATA ENTRY'!O195</f>
        <v/>
      </c>
      <c r="D167" s="217">
        <v>1</v>
      </c>
      <c r="E167" s="218" t="e">
        <f t="shared" si="24"/>
        <v>#VALUE!</v>
      </c>
      <c r="F167" s="217">
        <f>'TECH DATA ENTRY'!P195</f>
        <v>0</v>
      </c>
      <c r="G167" s="217">
        <v>1</v>
      </c>
      <c r="H167" s="218" t="e">
        <f t="shared" si="25"/>
        <v>#VALUE!</v>
      </c>
      <c r="I167" s="219">
        <f>'TECH DATA ENTRY'!Q195</f>
        <v>1E-3</v>
      </c>
      <c r="J167" s="219" t="str">
        <f>'TECH DATA ENTRY'!$G$26</f>
        <v>Digital</v>
      </c>
      <c r="K167" s="217">
        <v>1</v>
      </c>
      <c r="L167" s="218">
        <f t="shared" si="26"/>
        <v>2.886751345948129E-4</v>
      </c>
      <c r="M167" s="219">
        <f>'TECH DATA ENTRY'!R195</f>
        <v>0</v>
      </c>
      <c r="N167" s="219" t="str">
        <f>'TECH DATA ENTRY'!$G$26</f>
        <v>Digital</v>
      </c>
      <c r="O167" s="217">
        <v>1</v>
      </c>
      <c r="P167" s="218">
        <f t="shared" si="27"/>
        <v>0</v>
      </c>
      <c r="Q167" s="220">
        <f>'TECH DATA ENTRY'!S195</f>
        <v>0</v>
      </c>
      <c r="R167" s="217">
        <v>1</v>
      </c>
      <c r="S167" s="218">
        <f t="shared" si="28"/>
        <v>0</v>
      </c>
      <c r="T167" s="220">
        <f>'TECH DATA ENTRY'!T195</f>
        <v>0</v>
      </c>
      <c r="U167" s="217">
        <v>1</v>
      </c>
      <c r="V167" s="218">
        <f t="shared" si="29"/>
        <v>0</v>
      </c>
      <c r="W167" s="220">
        <f>'TECH DATA ENTRY'!U195</f>
        <v>0</v>
      </c>
      <c r="X167" s="217">
        <v>1</v>
      </c>
      <c r="Y167" s="218">
        <f t="shared" si="30"/>
        <v>0</v>
      </c>
      <c r="Z167" s="220">
        <f>'TECH DATA ENTRY'!V195</f>
        <v>0</v>
      </c>
      <c r="AA167" s="217">
        <v>1</v>
      </c>
      <c r="AB167" s="218">
        <f t="shared" si="31"/>
        <v>0</v>
      </c>
      <c r="AC167" s="220">
        <f>'TECH DATA ENTRY'!W195</f>
        <v>0</v>
      </c>
      <c r="AD167" s="217">
        <v>1</v>
      </c>
      <c r="AE167" s="218">
        <f t="shared" si="32"/>
        <v>0</v>
      </c>
      <c r="AF167" s="220">
        <f>'TECH DATA ENTRY'!X195</f>
        <v>0</v>
      </c>
      <c r="AG167" s="217">
        <v>1</v>
      </c>
      <c r="AH167" s="218">
        <f t="shared" si="33"/>
        <v>0</v>
      </c>
      <c r="AI167" s="219" t="e">
        <f t="shared" si="34"/>
        <v>#VALUE!</v>
      </c>
      <c r="AJ167" s="221" t="str">
        <f>'TECH DATA ENTRY'!K195</f>
        <v/>
      </c>
      <c r="AK167" s="222" t="e">
        <f t="shared" si="35"/>
        <v>#VALUE!</v>
      </c>
      <c r="AL167" s="222" t="e">
        <f>VLOOKUP(AK167,'AUX TABLES'!A$2:B$29,2)</f>
        <v>#VALUE!</v>
      </c>
      <c r="AM167" s="223" t="str">
        <f>IF(OR(ISTEXT(B167)=TRUE,ISTEXT('TECH DATA ENTRY'!L195)=TRUE), "NA",AL167*AI167)</f>
        <v>NA</v>
      </c>
      <c r="AN167" s="79"/>
    </row>
    <row r="168" spans="1:40" s="80" customFormat="1" ht="20.149999999999999" customHeight="1">
      <c r="A168" s="216"/>
      <c r="B168" s="249">
        <f>'TECH DATA ENTRY'!B196</f>
        <v>1</v>
      </c>
      <c r="C168" s="217" t="str">
        <f>'TECH DATA ENTRY'!O196</f>
        <v/>
      </c>
      <c r="D168" s="217">
        <v>1</v>
      </c>
      <c r="E168" s="218" t="e">
        <f t="shared" si="24"/>
        <v>#VALUE!</v>
      </c>
      <c r="F168" s="217">
        <f>'TECH DATA ENTRY'!P196</f>
        <v>0</v>
      </c>
      <c r="G168" s="217">
        <v>1</v>
      </c>
      <c r="H168" s="218" t="e">
        <f t="shared" si="25"/>
        <v>#VALUE!</v>
      </c>
      <c r="I168" s="219">
        <f>'TECH DATA ENTRY'!Q196</f>
        <v>1E-3</v>
      </c>
      <c r="J168" s="219" t="str">
        <f>'TECH DATA ENTRY'!$G$26</f>
        <v>Digital</v>
      </c>
      <c r="K168" s="217">
        <v>1</v>
      </c>
      <c r="L168" s="218">
        <f t="shared" si="26"/>
        <v>2.886751345948129E-4</v>
      </c>
      <c r="M168" s="219">
        <f>'TECH DATA ENTRY'!R196</f>
        <v>0</v>
      </c>
      <c r="N168" s="219" t="str">
        <f>'TECH DATA ENTRY'!$G$26</f>
        <v>Digital</v>
      </c>
      <c r="O168" s="217">
        <v>1</v>
      </c>
      <c r="P168" s="218">
        <f t="shared" si="27"/>
        <v>0</v>
      </c>
      <c r="Q168" s="220">
        <f>'TECH DATA ENTRY'!S196</f>
        <v>6.6E-3</v>
      </c>
      <c r="R168" s="217">
        <v>1</v>
      </c>
      <c r="S168" s="218">
        <f t="shared" si="28"/>
        <v>3.3E-3</v>
      </c>
      <c r="T168" s="220">
        <f>'TECH DATA ENTRY'!T196</f>
        <v>0</v>
      </c>
      <c r="U168" s="217">
        <v>1</v>
      </c>
      <c r="V168" s="218">
        <f t="shared" si="29"/>
        <v>0</v>
      </c>
      <c r="W168" s="220">
        <f>'TECH DATA ENTRY'!U196</f>
        <v>0</v>
      </c>
      <c r="X168" s="217">
        <v>1</v>
      </c>
      <c r="Y168" s="218">
        <f t="shared" si="30"/>
        <v>0</v>
      </c>
      <c r="Z168" s="220">
        <f>'TECH DATA ENTRY'!V196</f>
        <v>0</v>
      </c>
      <c r="AA168" s="217">
        <v>1</v>
      </c>
      <c r="AB168" s="218">
        <f t="shared" si="31"/>
        <v>0</v>
      </c>
      <c r="AC168" s="220">
        <f>'TECH DATA ENTRY'!W196</f>
        <v>0</v>
      </c>
      <c r="AD168" s="217">
        <v>1</v>
      </c>
      <c r="AE168" s="218">
        <f t="shared" si="32"/>
        <v>0</v>
      </c>
      <c r="AF168" s="220">
        <f>'TECH DATA ENTRY'!X196</f>
        <v>0</v>
      </c>
      <c r="AG168" s="217">
        <v>1</v>
      </c>
      <c r="AH168" s="218">
        <f t="shared" si="33"/>
        <v>0</v>
      </c>
      <c r="AI168" s="219" t="e">
        <f t="shared" si="34"/>
        <v>#VALUE!</v>
      </c>
      <c r="AJ168" s="221" t="str">
        <f>'TECH DATA ENTRY'!K196</f>
        <v/>
      </c>
      <c r="AK168" s="222" t="e">
        <f t="shared" si="35"/>
        <v>#VALUE!</v>
      </c>
      <c r="AL168" s="222" t="e">
        <f>VLOOKUP(AK168,'AUX TABLES'!A$2:B$29,2)</f>
        <v>#VALUE!</v>
      </c>
      <c r="AM168" s="223" t="str">
        <f>IF(OR(ISTEXT(B168)=TRUE,ISTEXT('TECH DATA ENTRY'!L196)=TRUE), "NA",AL168*AI168)</f>
        <v>NA</v>
      </c>
      <c r="AN168" s="79"/>
    </row>
    <row r="169" spans="1:40" s="80" customFormat="1" ht="20.149999999999999" customHeight="1">
      <c r="A169" s="216"/>
      <c r="B169" s="249">
        <f>'TECH DATA ENTRY'!B197</f>
        <v>10</v>
      </c>
      <c r="C169" s="217" t="str">
        <f>'TECH DATA ENTRY'!O197</f>
        <v/>
      </c>
      <c r="D169" s="217">
        <v>1</v>
      </c>
      <c r="E169" s="218" t="e">
        <f t="shared" si="24"/>
        <v>#VALUE!</v>
      </c>
      <c r="F169" s="217">
        <f>'TECH DATA ENTRY'!P197</f>
        <v>0</v>
      </c>
      <c r="G169" s="217">
        <v>1</v>
      </c>
      <c r="H169" s="218" t="e">
        <f t="shared" si="25"/>
        <v>#VALUE!</v>
      </c>
      <c r="I169" s="219">
        <f>'TECH DATA ENTRY'!Q197</f>
        <v>0.01</v>
      </c>
      <c r="J169" s="219" t="str">
        <f>'TECH DATA ENTRY'!$G$26</f>
        <v>Digital</v>
      </c>
      <c r="K169" s="217">
        <v>1</v>
      </c>
      <c r="L169" s="218">
        <f t="shared" si="26"/>
        <v>2.886751345948129E-3</v>
      </c>
      <c r="M169" s="219">
        <f>'TECH DATA ENTRY'!R197</f>
        <v>0</v>
      </c>
      <c r="N169" s="219" t="str">
        <f>'TECH DATA ENTRY'!$G$26</f>
        <v>Digital</v>
      </c>
      <c r="O169" s="217">
        <v>1</v>
      </c>
      <c r="P169" s="218">
        <f t="shared" si="27"/>
        <v>0</v>
      </c>
      <c r="Q169" s="220">
        <f>'TECH DATA ENTRY'!S197</f>
        <v>2.3999999999999997E-2</v>
      </c>
      <c r="R169" s="217">
        <v>1</v>
      </c>
      <c r="S169" s="218">
        <f t="shared" si="28"/>
        <v>1.1999999999999999E-2</v>
      </c>
      <c r="T169" s="220">
        <f>'TECH DATA ENTRY'!T197</f>
        <v>0</v>
      </c>
      <c r="U169" s="217">
        <v>1</v>
      </c>
      <c r="V169" s="218">
        <f t="shared" si="29"/>
        <v>0</v>
      </c>
      <c r="W169" s="220">
        <f>'TECH DATA ENTRY'!U197</f>
        <v>0</v>
      </c>
      <c r="X169" s="217">
        <v>1</v>
      </c>
      <c r="Y169" s="218">
        <f t="shared" si="30"/>
        <v>0</v>
      </c>
      <c r="Z169" s="220">
        <f>'TECH DATA ENTRY'!V197</f>
        <v>0</v>
      </c>
      <c r="AA169" s="217">
        <v>1</v>
      </c>
      <c r="AB169" s="218">
        <f t="shared" si="31"/>
        <v>0</v>
      </c>
      <c r="AC169" s="220">
        <f>'TECH DATA ENTRY'!W197</f>
        <v>0</v>
      </c>
      <c r="AD169" s="217">
        <v>1</v>
      </c>
      <c r="AE169" s="218">
        <f t="shared" si="32"/>
        <v>0</v>
      </c>
      <c r="AF169" s="220">
        <f>'TECH DATA ENTRY'!X197</f>
        <v>0</v>
      </c>
      <c r="AG169" s="217">
        <v>1</v>
      </c>
      <c r="AH169" s="218">
        <f t="shared" si="33"/>
        <v>0</v>
      </c>
      <c r="AI169" s="219" t="e">
        <f t="shared" si="34"/>
        <v>#VALUE!</v>
      </c>
      <c r="AJ169" s="221" t="str">
        <f>'TECH DATA ENTRY'!K197</f>
        <v/>
      </c>
      <c r="AK169" s="222" t="e">
        <f t="shared" si="35"/>
        <v>#VALUE!</v>
      </c>
      <c r="AL169" s="222" t="e">
        <f>VLOOKUP(AK169,'AUX TABLES'!A$2:B$29,2)</f>
        <v>#VALUE!</v>
      </c>
      <c r="AM169" s="223" t="str">
        <f>IF(OR(ISTEXT(B169)=TRUE,ISTEXT('TECH DATA ENTRY'!L197)=TRUE), "NA",AL169*AI169)</f>
        <v>NA</v>
      </c>
      <c r="AN169" s="79"/>
    </row>
    <row r="170" spans="1:40" s="80" customFormat="1" ht="20.149999999999999" customHeight="1">
      <c r="A170" s="216"/>
      <c r="B170" s="249">
        <f>'TECH DATA ENTRY'!B198</f>
        <v>100</v>
      </c>
      <c r="C170" s="217" t="str">
        <f>'TECH DATA ENTRY'!O198</f>
        <v/>
      </c>
      <c r="D170" s="217">
        <v>1</v>
      </c>
      <c r="E170" s="218" t="e">
        <f t="shared" si="24"/>
        <v>#VALUE!</v>
      </c>
      <c r="F170" s="217">
        <f>'TECH DATA ENTRY'!P198</f>
        <v>0</v>
      </c>
      <c r="G170" s="217">
        <v>1</v>
      </c>
      <c r="H170" s="218" t="e">
        <f t="shared" si="25"/>
        <v>#VALUE!</v>
      </c>
      <c r="I170" s="219">
        <f>'TECH DATA ENTRY'!Q198</f>
        <v>0.1</v>
      </c>
      <c r="J170" s="219" t="str">
        <f>'TECH DATA ENTRY'!$G$26</f>
        <v>Digital</v>
      </c>
      <c r="K170" s="217">
        <v>1</v>
      </c>
      <c r="L170" s="218">
        <f t="shared" si="26"/>
        <v>2.8867513459481291E-2</v>
      </c>
      <c r="M170" s="219">
        <f>'TECH DATA ENTRY'!R198</f>
        <v>0</v>
      </c>
      <c r="N170" s="219" t="str">
        <f>'TECH DATA ENTRY'!$G$26</f>
        <v>Digital</v>
      </c>
      <c r="O170" s="217">
        <v>1</v>
      </c>
      <c r="P170" s="218">
        <f t="shared" si="27"/>
        <v>0</v>
      </c>
      <c r="Q170" s="220">
        <f>'TECH DATA ENTRY'!S198</f>
        <v>0.18</v>
      </c>
      <c r="R170" s="217">
        <v>1</v>
      </c>
      <c r="S170" s="218">
        <f t="shared" si="28"/>
        <v>0.09</v>
      </c>
      <c r="T170" s="220">
        <f>'TECH DATA ENTRY'!T198</f>
        <v>0</v>
      </c>
      <c r="U170" s="217">
        <v>1</v>
      </c>
      <c r="V170" s="218">
        <f t="shared" si="29"/>
        <v>0</v>
      </c>
      <c r="W170" s="220">
        <f>'TECH DATA ENTRY'!U198</f>
        <v>0</v>
      </c>
      <c r="X170" s="217">
        <v>1</v>
      </c>
      <c r="Y170" s="218">
        <f t="shared" si="30"/>
        <v>0</v>
      </c>
      <c r="Z170" s="220">
        <f>'TECH DATA ENTRY'!V198</f>
        <v>0</v>
      </c>
      <c r="AA170" s="217">
        <v>1</v>
      </c>
      <c r="AB170" s="218">
        <f t="shared" si="31"/>
        <v>0</v>
      </c>
      <c r="AC170" s="220">
        <f>'TECH DATA ENTRY'!W198</f>
        <v>0</v>
      </c>
      <c r="AD170" s="217">
        <v>1</v>
      </c>
      <c r="AE170" s="218">
        <f t="shared" si="32"/>
        <v>0</v>
      </c>
      <c r="AF170" s="220">
        <f>'TECH DATA ENTRY'!X198</f>
        <v>0</v>
      </c>
      <c r="AG170" s="217">
        <v>1</v>
      </c>
      <c r="AH170" s="218">
        <f t="shared" si="33"/>
        <v>0</v>
      </c>
      <c r="AI170" s="219" t="e">
        <f t="shared" si="34"/>
        <v>#VALUE!</v>
      </c>
      <c r="AJ170" s="221" t="str">
        <f>'TECH DATA ENTRY'!K198</f>
        <v/>
      </c>
      <c r="AK170" s="222" t="e">
        <f t="shared" si="35"/>
        <v>#VALUE!</v>
      </c>
      <c r="AL170" s="222" t="e">
        <f>VLOOKUP(AK170,'AUX TABLES'!A$2:B$29,2)</f>
        <v>#VALUE!</v>
      </c>
      <c r="AM170" s="223" t="str">
        <f>IF(OR(ISTEXT(B170)=TRUE,ISTEXT('TECH DATA ENTRY'!L198)=TRUE), "NA",AL170*AI170)</f>
        <v>NA</v>
      </c>
      <c r="AN170" s="79"/>
    </row>
    <row r="171" spans="1:40" s="80" customFormat="1" ht="20.149999999999999" customHeight="1">
      <c r="A171" s="216"/>
      <c r="B171" s="249">
        <f>'TECH DATA ENTRY'!B199</f>
        <v>1</v>
      </c>
      <c r="C171" s="217" t="str">
        <f>'TECH DATA ENTRY'!O199</f>
        <v/>
      </c>
      <c r="D171" s="217">
        <v>1</v>
      </c>
      <c r="E171" s="218" t="e">
        <f t="shared" si="24"/>
        <v>#VALUE!</v>
      </c>
      <c r="F171" s="217">
        <f>'TECH DATA ENTRY'!P199</f>
        <v>0</v>
      </c>
      <c r="G171" s="217">
        <v>1</v>
      </c>
      <c r="H171" s="218" t="e">
        <f t="shared" si="25"/>
        <v>#VALUE!</v>
      </c>
      <c r="I171" s="219">
        <f>'TECH DATA ENTRY'!Q199</f>
        <v>1E-3</v>
      </c>
      <c r="J171" s="219" t="str">
        <f>'TECH DATA ENTRY'!$G$26</f>
        <v>Digital</v>
      </c>
      <c r="K171" s="217">
        <v>1</v>
      </c>
      <c r="L171" s="218">
        <f t="shared" si="26"/>
        <v>2.886751345948129E-4</v>
      </c>
      <c r="M171" s="219">
        <f>'TECH DATA ENTRY'!R199</f>
        <v>0</v>
      </c>
      <c r="N171" s="219" t="str">
        <f>'TECH DATA ENTRY'!$G$26</f>
        <v>Digital</v>
      </c>
      <c r="O171" s="217">
        <v>1</v>
      </c>
      <c r="P171" s="218">
        <f t="shared" si="27"/>
        <v>0</v>
      </c>
      <c r="Q171" s="220">
        <f>'TECH DATA ENTRY'!S199</f>
        <v>1.6000000000000001E-3</v>
      </c>
      <c r="R171" s="217">
        <v>1</v>
      </c>
      <c r="S171" s="218">
        <f t="shared" si="28"/>
        <v>8.0000000000000004E-4</v>
      </c>
      <c r="T171" s="220">
        <f>'TECH DATA ENTRY'!T199</f>
        <v>0</v>
      </c>
      <c r="U171" s="217">
        <v>1</v>
      </c>
      <c r="V171" s="218">
        <f t="shared" si="29"/>
        <v>0</v>
      </c>
      <c r="W171" s="220">
        <f>'TECH DATA ENTRY'!U199</f>
        <v>0</v>
      </c>
      <c r="X171" s="217">
        <v>1</v>
      </c>
      <c r="Y171" s="218">
        <f t="shared" si="30"/>
        <v>0</v>
      </c>
      <c r="Z171" s="220">
        <f>'TECH DATA ENTRY'!V199</f>
        <v>0</v>
      </c>
      <c r="AA171" s="217">
        <v>1</v>
      </c>
      <c r="AB171" s="218">
        <f t="shared" si="31"/>
        <v>0</v>
      </c>
      <c r="AC171" s="220">
        <f>'TECH DATA ENTRY'!W199</f>
        <v>0</v>
      </c>
      <c r="AD171" s="217">
        <v>1</v>
      </c>
      <c r="AE171" s="218">
        <f t="shared" si="32"/>
        <v>0</v>
      </c>
      <c r="AF171" s="220">
        <f>'TECH DATA ENTRY'!X199</f>
        <v>0</v>
      </c>
      <c r="AG171" s="217">
        <v>1</v>
      </c>
      <c r="AH171" s="218">
        <f t="shared" si="33"/>
        <v>0</v>
      </c>
      <c r="AI171" s="219" t="e">
        <f t="shared" si="34"/>
        <v>#VALUE!</v>
      </c>
      <c r="AJ171" s="221" t="str">
        <f>'TECH DATA ENTRY'!K199</f>
        <v/>
      </c>
      <c r="AK171" s="222" t="e">
        <f t="shared" si="35"/>
        <v>#VALUE!</v>
      </c>
      <c r="AL171" s="222" t="e">
        <f>VLOOKUP(AK171,'AUX TABLES'!A$2:B$29,2)</f>
        <v>#VALUE!</v>
      </c>
      <c r="AM171" s="223" t="str">
        <f>IF(OR(ISTEXT(B171)=TRUE,ISTEXT('TECH DATA ENTRY'!L199)=TRUE), "NA",AL171*AI171)</f>
        <v>NA</v>
      </c>
      <c r="AN171" s="79"/>
    </row>
    <row r="172" spans="1:40" s="80" customFormat="1" ht="20.149999999999999" customHeight="1">
      <c r="A172" s="216"/>
      <c r="B172" s="249">
        <f>'TECH DATA ENTRY'!B200</f>
        <v>10</v>
      </c>
      <c r="C172" s="217" t="str">
        <f>'TECH DATA ENTRY'!O200</f>
        <v/>
      </c>
      <c r="D172" s="217">
        <v>1</v>
      </c>
      <c r="E172" s="218" t="e">
        <f t="shared" si="24"/>
        <v>#VALUE!</v>
      </c>
      <c r="F172" s="217">
        <f>'TECH DATA ENTRY'!P200</f>
        <v>0</v>
      </c>
      <c r="G172" s="217">
        <v>1</v>
      </c>
      <c r="H172" s="218" t="e">
        <f t="shared" si="25"/>
        <v>#VALUE!</v>
      </c>
      <c r="I172" s="219">
        <f>'TECH DATA ENTRY'!Q200</f>
        <v>0.01</v>
      </c>
      <c r="J172" s="219" t="str">
        <f>'TECH DATA ENTRY'!$G$26</f>
        <v>Digital</v>
      </c>
      <c r="K172" s="217">
        <v>1</v>
      </c>
      <c r="L172" s="218">
        <f t="shared" si="26"/>
        <v>2.886751345948129E-3</v>
      </c>
      <c r="M172" s="219">
        <f>'TECH DATA ENTRY'!R200</f>
        <v>0</v>
      </c>
      <c r="N172" s="219" t="str">
        <f>'TECH DATA ENTRY'!$G$26</f>
        <v>Digital</v>
      </c>
      <c r="O172" s="217">
        <v>1</v>
      </c>
      <c r="P172" s="218">
        <f t="shared" si="27"/>
        <v>0</v>
      </c>
      <c r="Q172" s="220">
        <f>'TECH DATA ENTRY'!S200</f>
        <v>2.3E-2</v>
      </c>
      <c r="R172" s="217">
        <v>1</v>
      </c>
      <c r="S172" s="218">
        <f t="shared" si="28"/>
        <v>1.15E-2</v>
      </c>
      <c r="T172" s="220">
        <f>'TECH DATA ENTRY'!T200</f>
        <v>0</v>
      </c>
      <c r="U172" s="217">
        <v>1</v>
      </c>
      <c r="V172" s="218">
        <f t="shared" si="29"/>
        <v>0</v>
      </c>
      <c r="W172" s="220">
        <f>'TECH DATA ENTRY'!U200</f>
        <v>0</v>
      </c>
      <c r="X172" s="217">
        <v>1</v>
      </c>
      <c r="Y172" s="218">
        <f t="shared" si="30"/>
        <v>0</v>
      </c>
      <c r="Z172" s="220">
        <f>'TECH DATA ENTRY'!V200</f>
        <v>0</v>
      </c>
      <c r="AA172" s="217">
        <v>1</v>
      </c>
      <c r="AB172" s="218">
        <f t="shared" si="31"/>
        <v>0</v>
      </c>
      <c r="AC172" s="220">
        <f>'TECH DATA ENTRY'!W200</f>
        <v>0</v>
      </c>
      <c r="AD172" s="217">
        <v>1</v>
      </c>
      <c r="AE172" s="218">
        <f t="shared" si="32"/>
        <v>0</v>
      </c>
      <c r="AF172" s="220">
        <f>'TECH DATA ENTRY'!X200</f>
        <v>0</v>
      </c>
      <c r="AG172" s="217">
        <v>1</v>
      </c>
      <c r="AH172" s="218">
        <f t="shared" si="33"/>
        <v>0</v>
      </c>
      <c r="AI172" s="219" t="e">
        <f t="shared" si="34"/>
        <v>#VALUE!</v>
      </c>
      <c r="AJ172" s="221" t="str">
        <f>'TECH DATA ENTRY'!K200</f>
        <v/>
      </c>
      <c r="AK172" s="222" t="e">
        <f t="shared" si="35"/>
        <v>#VALUE!</v>
      </c>
      <c r="AL172" s="222" t="e">
        <f>VLOOKUP(AK172,'AUX TABLES'!A$2:B$29,2)</f>
        <v>#VALUE!</v>
      </c>
      <c r="AM172" s="223" t="str">
        <f>IF(OR(ISTEXT(B172)=TRUE,ISTEXT('TECH DATA ENTRY'!L200)=TRUE), "NA",AL172*AI172)</f>
        <v>NA</v>
      </c>
      <c r="AN172" s="79"/>
    </row>
    <row r="173" spans="1:40" s="80" customFormat="1" ht="20.149999999999999" customHeight="1">
      <c r="A173" s="216"/>
      <c r="B173" s="249">
        <f>'TECH DATA ENTRY'!B201</f>
        <v>100</v>
      </c>
      <c r="C173" s="217" t="str">
        <f>'TECH DATA ENTRY'!O201</f>
        <v/>
      </c>
      <c r="D173" s="217">
        <v>1</v>
      </c>
      <c r="E173" s="218" t="e">
        <f t="shared" si="24"/>
        <v>#VALUE!</v>
      </c>
      <c r="F173" s="217">
        <f>'TECH DATA ENTRY'!P201</f>
        <v>0</v>
      </c>
      <c r="G173" s="217">
        <v>1</v>
      </c>
      <c r="H173" s="218" t="e">
        <f t="shared" si="25"/>
        <v>#VALUE!</v>
      </c>
      <c r="I173" s="219">
        <f>'TECH DATA ENTRY'!Q201</f>
        <v>0.1</v>
      </c>
      <c r="J173" s="219" t="str">
        <f>'TECH DATA ENTRY'!$G$26</f>
        <v>Digital</v>
      </c>
      <c r="K173" s="217">
        <v>1</v>
      </c>
      <c r="L173" s="218">
        <f t="shared" si="26"/>
        <v>2.8867513459481291E-2</v>
      </c>
      <c r="M173" s="219">
        <f>'TECH DATA ENTRY'!R201</f>
        <v>0</v>
      </c>
      <c r="N173" s="219" t="str">
        <f>'TECH DATA ENTRY'!$G$26</f>
        <v>Digital</v>
      </c>
      <c r="O173" s="217">
        <v>1</v>
      </c>
      <c r="P173" s="218">
        <f t="shared" si="27"/>
        <v>0</v>
      </c>
      <c r="Q173" s="220">
        <f>'TECH DATA ENTRY'!S201</f>
        <v>0.18</v>
      </c>
      <c r="R173" s="217">
        <v>1</v>
      </c>
      <c r="S173" s="218">
        <f t="shared" si="28"/>
        <v>0.09</v>
      </c>
      <c r="T173" s="220">
        <f>'TECH DATA ENTRY'!T201</f>
        <v>0</v>
      </c>
      <c r="U173" s="217">
        <v>1</v>
      </c>
      <c r="V173" s="218">
        <f t="shared" si="29"/>
        <v>0</v>
      </c>
      <c r="W173" s="220">
        <f>'TECH DATA ENTRY'!U201</f>
        <v>0</v>
      </c>
      <c r="X173" s="217">
        <v>1</v>
      </c>
      <c r="Y173" s="218">
        <f t="shared" si="30"/>
        <v>0</v>
      </c>
      <c r="Z173" s="220">
        <f>'TECH DATA ENTRY'!V201</f>
        <v>0</v>
      </c>
      <c r="AA173" s="217">
        <v>1</v>
      </c>
      <c r="AB173" s="218">
        <f t="shared" si="31"/>
        <v>0</v>
      </c>
      <c r="AC173" s="220">
        <f>'TECH DATA ENTRY'!W201</f>
        <v>0</v>
      </c>
      <c r="AD173" s="217">
        <v>1</v>
      </c>
      <c r="AE173" s="218">
        <f t="shared" si="32"/>
        <v>0</v>
      </c>
      <c r="AF173" s="220">
        <f>'TECH DATA ENTRY'!X201</f>
        <v>0</v>
      </c>
      <c r="AG173" s="217">
        <v>1</v>
      </c>
      <c r="AH173" s="218">
        <f t="shared" si="33"/>
        <v>0</v>
      </c>
      <c r="AI173" s="219" t="e">
        <f t="shared" si="34"/>
        <v>#VALUE!</v>
      </c>
      <c r="AJ173" s="221" t="str">
        <f>'TECH DATA ENTRY'!K201</f>
        <v/>
      </c>
      <c r="AK173" s="222" t="e">
        <f t="shared" si="35"/>
        <v>#VALUE!</v>
      </c>
      <c r="AL173" s="222" t="e">
        <f>VLOOKUP(AK173,'AUX TABLES'!A$2:B$29,2)</f>
        <v>#VALUE!</v>
      </c>
      <c r="AM173" s="223" t="str">
        <f>IF(OR(ISTEXT(B173)=TRUE,ISTEXT('TECH DATA ENTRY'!L201)=TRUE), "NA",AL173*AI173)</f>
        <v>NA</v>
      </c>
      <c r="AN173" s="79"/>
    </row>
    <row r="174" spans="1:40" s="80" customFormat="1" ht="20.149999999999999" customHeight="1">
      <c r="A174" s="216"/>
      <c r="B174" s="249">
        <f>'TECH DATA ENTRY'!B202</f>
        <v>1</v>
      </c>
      <c r="C174" s="217" t="str">
        <f>'TECH DATA ENTRY'!O202</f>
        <v/>
      </c>
      <c r="D174" s="217">
        <v>1</v>
      </c>
      <c r="E174" s="218" t="e">
        <f t="shared" si="24"/>
        <v>#VALUE!</v>
      </c>
      <c r="F174" s="217">
        <f>'TECH DATA ENTRY'!P202</f>
        <v>0</v>
      </c>
      <c r="G174" s="217">
        <v>1</v>
      </c>
      <c r="H174" s="218" t="e">
        <f t="shared" si="25"/>
        <v>#VALUE!</v>
      </c>
      <c r="I174" s="219">
        <f>'TECH DATA ENTRY'!Q202</f>
        <v>1E-3</v>
      </c>
      <c r="J174" s="219" t="str">
        <f>'TECH DATA ENTRY'!$G$26</f>
        <v>Digital</v>
      </c>
      <c r="K174" s="217">
        <v>1</v>
      </c>
      <c r="L174" s="218">
        <f t="shared" si="26"/>
        <v>2.886751345948129E-4</v>
      </c>
      <c r="M174" s="219">
        <f>'TECH DATA ENTRY'!R202</f>
        <v>0</v>
      </c>
      <c r="N174" s="219" t="str">
        <f>'TECH DATA ENTRY'!$G$26</f>
        <v>Digital</v>
      </c>
      <c r="O174" s="217">
        <v>1</v>
      </c>
      <c r="P174" s="218">
        <f t="shared" si="27"/>
        <v>0</v>
      </c>
      <c r="Q174" s="220">
        <f>'TECH DATA ENTRY'!S202</f>
        <v>2.8999999999999998E-3</v>
      </c>
      <c r="R174" s="217">
        <v>1</v>
      </c>
      <c r="S174" s="218">
        <f t="shared" si="28"/>
        <v>1.4499999999999999E-3</v>
      </c>
      <c r="T174" s="220">
        <f>'TECH DATA ENTRY'!T202</f>
        <v>0</v>
      </c>
      <c r="U174" s="217">
        <v>1</v>
      </c>
      <c r="V174" s="218">
        <f t="shared" si="29"/>
        <v>0</v>
      </c>
      <c r="W174" s="220">
        <f>'TECH DATA ENTRY'!U202</f>
        <v>0</v>
      </c>
      <c r="X174" s="217">
        <v>1</v>
      </c>
      <c r="Y174" s="218">
        <f t="shared" si="30"/>
        <v>0</v>
      </c>
      <c r="Z174" s="220">
        <f>'TECH DATA ENTRY'!V202</f>
        <v>0</v>
      </c>
      <c r="AA174" s="217">
        <v>1</v>
      </c>
      <c r="AB174" s="218">
        <f t="shared" si="31"/>
        <v>0</v>
      </c>
      <c r="AC174" s="220">
        <f>'TECH DATA ENTRY'!W202</f>
        <v>0</v>
      </c>
      <c r="AD174" s="217">
        <v>1</v>
      </c>
      <c r="AE174" s="218">
        <f t="shared" si="32"/>
        <v>0</v>
      </c>
      <c r="AF174" s="220">
        <f>'TECH DATA ENTRY'!X202</f>
        <v>0</v>
      </c>
      <c r="AG174" s="217">
        <v>1</v>
      </c>
      <c r="AH174" s="218">
        <f t="shared" si="33"/>
        <v>0</v>
      </c>
      <c r="AI174" s="219" t="e">
        <f t="shared" si="34"/>
        <v>#VALUE!</v>
      </c>
      <c r="AJ174" s="221" t="str">
        <f>'TECH DATA ENTRY'!K202</f>
        <v/>
      </c>
      <c r="AK174" s="222" t="e">
        <f t="shared" si="35"/>
        <v>#VALUE!</v>
      </c>
      <c r="AL174" s="222" t="e">
        <f>VLOOKUP(AK174,'AUX TABLES'!A$2:B$29,2)</f>
        <v>#VALUE!</v>
      </c>
      <c r="AM174" s="223" t="str">
        <f>IF(OR(ISTEXT(B174)=TRUE,ISTEXT('TECH DATA ENTRY'!L202)=TRUE), "NA",AL174*AI174)</f>
        <v>NA</v>
      </c>
      <c r="AN174" s="79"/>
    </row>
    <row r="175" spans="1:40" s="80" customFormat="1" ht="20.149999999999999" customHeight="1">
      <c r="A175" s="216"/>
      <c r="B175" s="249">
        <f>'TECH DATA ENTRY'!B203</f>
        <v>10</v>
      </c>
      <c r="C175" s="217" t="str">
        <f>'TECH DATA ENTRY'!O203</f>
        <v/>
      </c>
      <c r="D175" s="217">
        <v>1</v>
      </c>
      <c r="E175" s="218" t="e">
        <f t="shared" si="24"/>
        <v>#VALUE!</v>
      </c>
      <c r="F175" s="217">
        <f>'TECH DATA ENTRY'!P203</f>
        <v>0</v>
      </c>
      <c r="G175" s="217">
        <v>1</v>
      </c>
      <c r="H175" s="218" t="e">
        <f t="shared" si="25"/>
        <v>#VALUE!</v>
      </c>
      <c r="I175" s="219">
        <f>'TECH DATA ENTRY'!Q203</f>
        <v>0.01</v>
      </c>
      <c r="J175" s="219" t="str">
        <f>'TECH DATA ENTRY'!$G$26</f>
        <v>Digital</v>
      </c>
      <c r="K175" s="217">
        <v>1</v>
      </c>
      <c r="L175" s="218">
        <f t="shared" si="26"/>
        <v>2.886751345948129E-3</v>
      </c>
      <c r="M175" s="219">
        <f>'TECH DATA ENTRY'!R203</f>
        <v>0</v>
      </c>
      <c r="N175" s="219" t="str">
        <f>'TECH DATA ENTRY'!$G$26</f>
        <v>Digital</v>
      </c>
      <c r="O175" s="217">
        <v>1</v>
      </c>
      <c r="P175" s="218">
        <f t="shared" si="27"/>
        <v>0</v>
      </c>
      <c r="Q175" s="220">
        <f>'TECH DATA ENTRY'!S203</f>
        <v>0.03</v>
      </c>
      <c r="R175" s="217">
        <v>1</v>
      </c>
      <c r="S175" s="218">
        <f t="shared" si="28"/>
        <v>1.4999999999999999E-2</v>
      </c>
      <c r="T175" s="220">
        <f>'TECH DATA ENTRY'!T203</f>
        <v>0</v>
      </c>
      <c r="U175" s="217">
        <v>1</v>
      </c>
      <c r="V175" s="218">
        <f t="shared" si="29"/>
        <v>0</v>
      </c>
      <c r="W175" s="220">
        <f>'TECH DATA ENTRY'!U203</f>
        <v>0</v>
      </c>
      <c r="X175" s="217">
        <v>1</v>
      </c>
      <c r="Y175" s="218">
        <f t="shared" si="30"/>
        <v>0</v>
      </c>
      <c r="Z175" s="220">
        <f>'TECH DATA ENTRY'!V203</f>
        <v>0</v>
      </c>
      <c r="AA175" s="217">
        <v>1</v>
      </c>
      <c r="AB175" s="218">
        <f t="shared" si="31"/>
        <v>0</v>
      </c>
      <c r="AC175" s="220">
        <f>'TECH DATA ENTRY'!W203</f>
        <v>0</v>
      </c>
      <c r="AD175" s="217">
        <v>1</v>
      </c>
      <c r="AE175" s="218">
        <f t="shared" si="32"/>
        <v>0</v>
      </c>
      <c r="AF175" s="220">
        <f>'TECH DATA ENTRY'!X203</f>
        <v>0</v>
      </c>
      <c r="AG175" s="217">
        <v>1</v>
      </c>
      <c r="AH175" s="218">
        <f t="shared" si="33"/>
        <v>0</v>
      </c>
      <c r="AI175" s="219" t="e">
        <f t="shared" si="34"/>
        <v>#VALUE!</v>
      </c>
      <c r="AJ175" s="221" t="str">
        <f>'TECH DATA ENTRY'!K203</f>
        <v/>
      </c>
      <c r="AK175" s="222" t="e">
        <f t="shared" si="35"/>
        <v>#VALUE!</v>
      </c>
      <c r="AL175" s="222" t="e">
        <f>VLOOKUP(AK175,'AUX TABLES'!A$2:B$29,2)</f>
        <v>#VALUE!</v>
      </c>
      <c r="AM175" s="223" t="str">
        <f>IF(OR(ISTEXT(B175)=TRUE,ISTEXT('TECH DATA ENTRY'!L203)=TRUE), "NA",AL175*AI175)</f>
        <v>NA</v>
      </c>
      <c r="AN175" s="79"/>
    </row>
    <row r="176" spans="1:40" s="80" customFormat="1" ht="20.149999999999999" customHeight="1">
      <c r="A176" s="216"/>
      <c r="B176" s="249">
        <f>'TECH DATA ENTRY'!B204</f>
        <v>100</v>
      </c>
      <c r="C176" s="217" t="str">
        <f>'TECH DATA ENTRY'!O204</f>
        <v/>
      </c>
      <c r="D176" s="217">
        <v>1</v>
      </c>
      <c r="E176" s="218" t="e">
        <f t="shared" si="24"/>
        <v>#VALUE!</v>
      </c>
      <c r="F176" s="217">
        <f>'TECH DATA ENTRY'!P204</f>
        <v>0</v>
      </c>
      <c r="G176" s="217">
        <v>1</v>
      </c>
      <c r="H176" s="218" t="e">
        <f t="shared" si="25"/>
        <v>#VALUE!</v>
      </c>
      <c r="I176" s="219">
        <f>'TECH DATA ENTRY'!Q204</f>
        <v>0.1</v>
      </c>
      <c r="J176" s="219" t="str">
        <f>'TECH DATA ENTRY'!$G$26</f>
        <v>Digital</v>
      </c>
      <c r="K176" s="217">
        <v>1</v>
      </c>
      <c r="L176" s="218">
        <f t="shared" si="26"/>
        <v>2.8867513459481291E-2</v>
      </c>
      <c r="M176" s="219">
        <f>'TECH DATA ENTRY'!R204</f>
        <v>0</v>
      </c>
      <c r="N176" s="219" t="str">
        <f>'TECH DATA ENTRY'!$G$26</f>
        <v>Digital</v>
      </c>
      <c r="O176" s="217">
        <v>1</v>
      </c>
      <c r="P176" s="218">
        <f t="shared" si="27"/>
        <v>0</v>
      </c>
      <c r="Q176" s="220">
        <f>'TECH DATA ENTRY'!S204</f>
        <v>0.27</v>
      </c>
      <c r="R176" s="217">
        <v>1</v>
      </c>
      <c r="S176" s="218">
        <f t="shared" si="28"/>
        <v>0.13500000000000001</v>
      </c>
      <c r="T176" s="220">
        <f>'TECH DATA ENTRY'!T204</f>
        <v>0</v>
      </c>
      <c r="U176" s="217">
        <v>1</v>
      </c>
      <c r="V176" s="218">
        <f t="shared" si="29"/>
        <v>0</v>
      </c>
      <c r="W176" s="220">
        <f>'TECH DATA ENTRY'!U204</f>
        <v>0</v>
      </c>
      <c r="X176" s="217">
        <v>1</v>
      </c>
      <c r="Y176" s="218">
        <f t="shared" si="30"/>
        <v>0</v>
      </c>
      <c r="Z176" s="220">
        <f>'TECH DATA ENTRY'!V204</f>
        <v>0</v>
      </c>
      <c r="AA176" s="217">
        <v>1</v>
      </c>
      <c r="AB176" s="218">
        <f t="shared" si="31"/>
        <v>0</v>
      </c>
      <c r="AC176" s="220">
        <f>'TECH DATA ENTRY'!W204</f>
        <v>0</v>
      </c>
      <c r="AD176" s="217">
        <v>1</v>
      </c>
      <c r="AE176" s="218">
        <f t="shared" si="32"/>
        <v>0</v>
      </c>
      <c r="AF176" s="220">
        <f>'TECH DATA ENTRY'!X204</f>
        <v>0</v>
      </c>
      <c r="AG176" s="217">
        <v>1</v>
      </c>
      <c r="AH176" s="218">
        <f t="shared" si="33"/>
        <v>0</v>
      </c>
      <c r="AI176" s="219" t="e">
        <f t="shared" si="34"/>
        <v>#VALUE!</v>
      </c>
      <c r="AJ176" s="221" t="str">
        <f>'TECH DATA ENTRY'!K204</f>
        <v/>
      </c>
      <c r="AK176" s="222" t="e">
        <f t="shared" si="35"/>
        <v>#VALUE!</v>
      </c>
      <c r="AL176" s="222" t="e">
        <f>VLOOKUP(AK176,'AUX TABLES'!A$2:B$29,2)</f>
        <v>#VALUE!</v>
      </c>
      <c r="AM176" s="223" t="str">
        <f>IF(OR(ISTEXT(B176)=TRUE,ISTEXT('TECH DATA ENTRY'!L204)=TRUE), "NA",AL176*AI176)</f>
        <v>NA</v>
      </c>
      <c r="AN176" s="79"/>
    </row>
    <row r="177" spans="1:40" s="80" customFormat="1" ht="20.149999999999999" customHeight="1">
      <c r="A177" s="216"/>
      <c r="B177" s="249">
        <f>'TECH DATA ENTRY'!B205</f>
        <v>0</v>
      </c>
      <c r="C177" s="217">
        <f>'TECH DATA ENTRY'!O205</f>
        <v>0</v>
      </c>
      <c r="D177" s="217">
        <v>1</v>
      </c>
      <c r="E177" s="218" t="e">
        <f t="shared" si="24"/>
        <v>#DIV/0!</v>
      </c>
      <c r="F177" s="217">
        <f>'TECH DATA ENTRY'!P205</f>
        <v>0</v>
      </c>
      <c r="G177" s="217">
        <v>1</v>
      </c>
      <c r="H177" s="218" t="e">
        <f t="shared" si="25"/>
        <v>#DIV/0!</v>
      </c>
      <c r="I177" s="219">
        <f>'TECH DATA ENTRY'!Q205</f>
        <v>0</v>
      </c>
      <c r="J177" s="219" t="str">
        <f>'TECH DATA ENTRY'!$G$26</f>
        <v>Digital</v>
      </c>
      <c r="K177" s="217">
        <v>1</v>
      </c>
      <c r="L177" s="218">
        <f t="shared" si="26"/>
        <v>0</v>
      </c>
      <c r="M177" s="219">
        <f>'TECH DATA ENTRY'!R205</f>
        <v>0</v>
      </c>
      <c r="N177" s="219" t="str">
        <f>'TECH DATA ENTRY'!$G$26</f>
        <v>Digital</v>
      </c>
      <c r="O177" s="217">
        <v>1</v>
      </c>
      <c r="P177" s="218">
        <f t="shared" si="27"/>
        <v>0</v>
      </c>
      <c r="Q177" s="220">
        <f>'TECH DATA ENTRY'!S205</f>
        <v>0</v>
      </c>
      <c r="R177" s="217">
        <v>1</v>
      </c>
      <c r="S177" s="218">
        <f t="shared" si="28"/>
        <v>0</v>
      </c>
      <c r="T177" s="220">
        <f>'TECH DATA ENTRY'!T205</f>
        <v>0</v>
      </c>
      <c r="U177" s="217">
        <v>1</v>
      </c>
      <c r="V177" s="218">
        <f t="shared" si="29"/>
        <v>0</v>
      </c>
      <c r="W177" s="220">
        <f>'TECH DATA ENTRY'!U205</f>
        <v>0</v>
      </c>
      <c r="X177" s="217">
        <v>1</v>
      </c>
      <c r="Y177" s="218">
        <f t="shared" si="30"/>
        <v>0</v>
      </c>
      <c r="Z177" s="220">
        <f>'TECH DATA ENTRY'!V205</f>
        <v>0</v>
      </c>
      <c r="AA177" s="217">
        <v>1</v>
      </c>
      <c r="AB177" s="218">
        <f t="shared" si="31"/>
        <v>0</v>
      </c>
      <c r="AC177" s="220">
        <f>'TECH DATA ENTRY'!W205</f>
        <v>0</v>
      </c>
      <c r="AD177" s="217">
        <v>1</v>
      </c>
      <c r="AE177" s="218">
        <f t="shared" si="32"/>
        <v>0</v>
      </c>
      <c r="AF177" s="220">
        <f>'TECH DATA ENTRY'!X205</f>
        <v>0</v>
      </c>
      <c r="AG177" s="217">
        <v>1</v>
      </c>
      <c r="AH177" s="218">
        <f t="shared" si="33"/>
        <v>0</v>
      </c>
      <c r="AI177" s="219" t="e">
        <f t="shared" si="34"/>
        <v>#DIV/0!</v>
      </c>
      <c r="AJ177" s="221">
        <f>'TECH DATA ENTRY'!K205</f>
        <v>0</v>
      </c>
      <c r="AK177" s="222" t="e">
        <f t="shared" si="35"/>
        <v>#DIV/0!</v>
      </c>
      <c r="AL177" s="222" t="e">
        <f>VLOOKUP(AK177,'AUX TABLES'!A$2:B$29,2)</f>
        <v>#DIV/0!</v>
      </c>
      <c r="AM177" s="223" t="e">
        <f>IF(OR(ISTEXT(B177)=TRUE,ISTEXT('TECH DATA ENTRY'!L205)=TRUE), "NA",AL177*AI177)</f>
        <v>#DIV/0!</v>
      </c>
      <c r="AN177" s="79"/>
    </row>
    <row r="178" spans="1:40" s="80" customFormat="1" ht="20.149999999999999" customHeight="1">
      <c r="A178" s="216"/>
      <c r="B178" s="249">
        <f>'TECH DATA ENTRY'!B206</f>
        <v>0</v>
      </c>
      <c r="C178" s="217">
        <f>'TECH DATA ENTRY'!O206</f>
        <v>0</v>
      </c>
      <c r="D178" s="217">
        <v>1</v>
      </c>
      <c r="E178" s="218" t="e">
        <f t="shared" si="24"/>
        <v>#DIV/0!</v>
      </c>
      <c r="F178" s="217">
        <f>'TECH DATA ENTRY'!P206</f>
        <v>0</v>
      </c>
      <c r="G178" s="217">
        <v>1</v>
      </c>
      <c r="H178" s="218" t="e">
        <f t="shared" si="25"/>
        <v>#DIV/0!</v>
      </c>
      <c r="I178" s="219">
        <f>'TECH DATA ENTRY'!Q206</f>
        <v>0</v>
      </c>
      <c r="J178" s="219" t="str">
        <f>'TECH DATA ENTRY'!$G$26</f>
        <v>Digital</v>
      </c>
      <c r="K178" s="217">
        <v>1</v>
      </c>
      <c r="L178" s="218">
        <f t="shared" si="26"/>
        <v>0</v>
      </c>
      <c r="M178" s="219">
        <f>'TECH DATA ENTRY'!R206</f>
        <v>0</v>
      </c>
      <c r="N178" s="219" t="str">
        <f>'TECH DATA ENTRY'!$G$26</f>
        <v>Digital</v>
      </c>
      <c r="O178" s="217">
        <v>1</v>
      </c>
      <c r="P178" s="218">
        <f t="shared" si="27"/>
        <v>0</v>
      </c>
      <c r="Q178" s="220">
        <f>'TECH DATA ENTRY'!S206</f>
        <v>0</v>
      </c>
      <c r="R178" s="217">
        <v>1</v>
      </c>
      <c r="S178" s="218">
        <f t="shared" si="28"/>
        <v>0</v>
      </c>
      <c r="T178" s="220">
        <f>'TECH DATA ENTRY'!T206</f>
        <v>0</v>
      </c>
      <c r="U178" s="217">
        <v>1</v>
      </c>
      <c r="V178" s="218">
        <f t="shared" si="29"/>
        <v>0</v>
      </c>
      <c r="W178" s="220">
        <f>'TECH DATA ENTRY'!U206</f>
        <v>0</v>
      </c>
      <c r="X178" s="217">
        <v>1</v>
      </c>
      <c r="Y178" s="218">
        <f t="shared" si="30"/>
        <v>0</v>
      </c>
      <c r="Z178" s="220">
        <f>'TECH DATA ENTRY'!V206</f>
        <v>0</v>
      </c>
      <c r="AA178" s="217">
        <v>1</v>
      </c>
      <c r="AB178" s="218">
        <f t="shared" si="31"/>
        <v>0</v>
      </c>
      <c r="AC178" s="220">
        <f>'TECH DATA ENTRY'!W206</f>
        <v>0</v>
      </c>
      <c r="AD178" s="217">
        <v>1</v>
      </c>
      <c r="AE178" s="218">
        <f t="shared" si="32"/>
        <v>0</v>
      </c>
      <c r="AF178" s="220">
        <f>'TECH DATA ENTRY'!X206</f>
        <v>0</v>
      </c>
      <c r="AG178" s="217">
        <v>1</v>
      </c>
      <c r="AH178" s="218">
        <f t="shared" si="33"/>
        <v>0</v>
      </c>
      <c r="AI178" s="219" t="e">
        <f t="shared" si="34"/>
        <v>#DIV/0!</v>
      </c>
      <c r="AJ178" s="221">
        <f>'TECH DATA ENTRY'!K206</f>
        <v>0</v>
      </c>
      <c r="AK178" s="222" t="e">
        <f t="shared" si="35"/>
        <v>#DIV/0!</v>
      </c>
      <c r="AL178" s="222" t="e">
        <f>VLOOKUP(AK178,'AUX TABLES'!A$2:B$29,2)</f>
        <v>#DIV/0!</v>
      </c>
      <c r="AM178" s="223" t="e">
        <f>IF(OR(ISTEXT(B178)=TRUE,ISTEXT('TECH DATA ENTRY'!L206)=TRUE), "NA",AL178*AI178)</f>
        <v>#DIV/0!</v>
      </c>
      <c r="AN178" s="79"/>
    </row>
    <row r="179" spans="1:40" s="80" customFormat="1" ht="20.149999999999999" customHeight="1">
      <c r="A179" s="216"/>
      <c r="B179" s="249">
        <f>'TECH DATA ENTRY'!B207</f>
        <v>0</v>
      </c>
      <c r="C179" s="217">
        <f>'TECH DATA ENTRY'!O207</f>
        <v>0</v>
      </c>
      <c r="D179" s="217">
        <v>1</v>
      </c>
      <c r="E179" s="218" t="e">
        <f t="shared" ref="E179:E242" si="36">D179*(C179/SQRT(AJ179))+0.00000000000001</f>
        <v>#DIV/0!</v>
      </c>
      <c r="F179" s="217">
        <f>'TECH DATA ENTRY'!P207</f>
        <v>0</v>
      </c>
      <c r="G179" s="217">
        <v>1</v>
      </c>
      <c r="H179" s="218" t="e">
        <f t="shared" ref="H179:H242" si="37">G179*(F179/SQRT(AJ179))+0.00000000000001</f>
        <v>#DIV/0!</v>
      </c>
      <c r="I179" s="219">
        <f>'TECH DATA ENTRY'!Q207</f>
        <v>0</v>
      </c>
      <c r="J179" s="219" t="str">
        <f>'TECH DATA ENTRY'!$G$26</f>
        <v>Digital</v>
      </c>
      <c r="K179" s="217">
        <v>1</v>
      </c>
      <c r="L179" s="218">
        <f t="shared" si="26"/>
        <v>0</v>
      </c>
      <c r="M179" s="219">
        <f>'TECH DATA ENTRY'!R207</f>
        <v>0</v>
      </c>
      <c r="N179" s="219" t="str">
        <f>'TECH DATA ENTRY'!$G$26</f>
        <v>Digital</v>
      </c>
      <c r="O179" s="217">
        <v>1</v>
      </c>
      <c r="P179" s="218">
        <f t="shared" ref="P179:P242" si="38">IF(N179="Digital",M179/2/SQRT(3),M179/5/SQRT(3))*O179</f>
        <v>0</v>
      </c>
      <c r="Q179" s="220">
        <f>'TECH DATA ENTRY'!S207</f>
        <v>0</v>
      </c>
      <c r="R179" s="217">
        <v>1</v>
      </c>
      <c r="S179" s="218">
        <f t="shared" ref="S179:S242" si="39">Q179/IF(S$6="NORMAL", 2, IF(S$6="TRIANGULAR",SQRT(6),IF(S$6="U-SHAPED",SQRT(2),SQRT(3))))*R179</f>
        <v>0</v>
      </c>
      <c r="T179" s="220">
        <f>'TECH DATA ENTRY'!T207</f>
        <v>0</v>
      </c>
      <c r="U179" s="217">
        <v>1</v>
      </c>
      <c r="V179" s="218">
        <f t="shared" ref="V179:V242" si="40">T179/IF(V$6="NORMAL", 2, IF(V$6="TRIANGULAR",SQRT(6),IF(V$6="U-SHAPED",SQRT(2),SQRT(3))))*U179</f>
        <v>0</v>
      </c>
      <c r="W179" s="220">
        <f>'TECH DATA ENTRY'!U207</f>
        <v>0</v>
      </c>
      <c r="X179" s="217">
        <v>1</v>
      </c>
      <c r="Y179" s="218">
        <f t="shared" ref="Y179:Y242" si="41">W179/IF(Y$6="NORMAL", 2, IF(Y$6="TRIANGULAR",SQRT(6),IF(Y$6="U-SHAPED",SQRT(2),SQRT(3))))*X179</f>
        <v>0</v>
      </c>
      <c r="Z179" s="220">
        <f>'TECH DATA ENTRY'!V207</f>
        <v>0</v>
      </c>
      <c r="AA179" s="217">
        <v>1</v>
      </c>
      <c r="AB179" s="218">
        <f t="shared" ref="AB179:AB242" si="42">Z179/IF(AB$6="NORMAL", 2, IF(AB$6="TRIANGULAR",SQRT(6),IF(AB$6="U-SHAPED",SQRT(2),SQRT(3))))*AA179</f>
        <v>0</v>
      </c>
      <c r="AC179" s="220">
        <f>'TECH DATA ENTRY'!W207</f>
        <v>0</v>
      </c>
      <c r="AD179" s="217">
        <v>1</v>
      </c>
      <c r="AE179" s="218">
        <f t="shared" ref="AE179:AE242" si="43">AC179/IF(AE$6="NORMAL", 2, IF(AE$6="TRIANGULAR",SQRT(6),IF(AE$6="U-SHAPED",SQRT(2),SQRT(3))))*AD179</f>
        <v>0</v>
      </c>
      <c r="AF179" s="220">
        <f>'TECH DATA ENTRY'!X207</f>
        <v>0</v>
      </c>
      <c r="AG179" s="217">
        <v>1</v>
      </c>
      <c r="AH179" s="218">
        <f t="shared" ref="AH179:AH242" si="44">AF179/IF(AH$6="NORMAL", 2, IF(AH$6="TRIANGULAR",SQRT(6),IF(AH$6="U-SHAPED",SQRT(2),SQRT(3))))*AG179</f>
        <v>0</v>
      </c>
      <c r="AI179" s="219" t="e">
        <f t="shared" ref="AI179:AI242" si="45">SQRT(SUM(E179^2, H179^2,L179^2, P179^2,S179^2,V179^2,Y179^2,AB179^2,AE179^2,AH179^2))</f>
        <v>#DIV/0!</v>
      </c>
      <c r="AJ179" s="221">
        <f>'TECH DATA ENTRY'!K207</f>
        <v>0</v>
      </c>
      <c r="AK179" s="222" t="e">
        <f t="shared" ref="AK179:AK242" si="46">IF((AI179^4/(SUM(E179^4,H179^4)/(AJ179-1)))&gt;100,200,(AI179^4/(SUM(E179^4,H179^4)/(AJ179-1))))</f>
        <v>#DIV/0!</v>
      </c>
      <c r="AL179" s="222" t="e">
        <f>VLOOKUP(AK179,'AUX TABLES'!A$2:B$29,2)</f>
        <v>#DIV/0!</v>
      </c>
      <c r="AM179" s="223" t="e">
        <f>IF(OR(ISTEXT(B179)=TRUE,ISTEXT('TECH DATA ENTRY'!L207)=TRUE), "NA",AL179*AI179)</f>
        <v>#DIV/0!</v>
      </c>
      <c r="AN179" s="79"/>
    </row>
    <row r="180" spans="1:40" s="80" customFormat="1" ht="20.149999999999999" customHeight="1">
      <c r="A180" s="216"/>
      <c r="B180" s="249">
        <f>'TECH DATA ENTRY'!B208</f>
        <v>0</v>
      </c>
      <c r="C180" s="217">
        <f>'TECH DATA ENTRY'!O208</f>
        <v>0</v>
      </c>
      <c r="D180" s="217">
        <v>1</v>
      </c>
      <c r="E180" s="218" t="e">
        <f t="shared" si="36"/>
        <v>#DIV/0!</v>
      </c>
      <c r="F180" s="217">
        <f>'TECH DATA ENTRY'!P208</f>
        <v>0</v>
      </c>
      <c r="G180" s="217">
        <v>1</v>
      </c>
      <c r="H180" s="218" t="e">
        <f t="shared" si="37"/>
        <v>#DIV/0!</v>
      </c>
      <c r="I180" s="219">
        <f>'TECH DATA ENTRY'!Q208</f>
        <v>0</v>
      </c>
      <c r="J180" s="219" t="str">
        <f>'TECH DATA ENTRY'!$G$26</f>
        <v>Digital</v>
      </c>
      <c r="K180" s="217">
        <v>1</v>
      </c>
      <c r="L180" s="218">
        <f t="shared" si="26"/>
        <v>0</v>
      </c>
      <c r="M180" s="219">
        <f>'TECH DATA ENTRY'!R208</f>
        <v>0</v>
      </c>
      <c r="N180" s="219" t="str">
        <f>'TECH DATA ENTRY'!$G$26</f>
        <v>Digital</v>
      </c>
      <c r="O180" s="217">
        <v>1</v>
      </c>
      <c r="P180" s="218">
        <f t="shared" si="38"/>
        <v>0</v>
      </c>
      <c r="Q180" s="220">
        <f>'TECH DATA ENTRY'!S208</f>
        <v>0</v>
      </c>
      <c r="R180" s="217">
        <v>1</v>
      </c>
      <c r="S180" s="218">
        <f t="shared" si="39"/>
        <v>0</v>
      </c>
      <c r="T180" s="220">
        <f>'TECH DATA ENTRY'!T208</f>
        <v>0</v>
      </c>
      <c r="U180" s="217">
        <v>1</v>
      </c>
      <c r="V180" s="218">
        <f t="shared" si="40"/>
        <v>0</v>
      </c>
      <c r="W180" s="220">
        <f>'TECH DATA ENTRY'!U208</f>
        <v>0</v>
      </c>
      <c r="X180" s="217">
        <v>1</v>
      </c>
      <c r="Y180" s="218">
        <f t="shared" si="41"/>
        <v>0</v>
      </c>
      <c r="Z180" s="220">
        <f>'TECH DATA ENTRY'!V208</f>
        <v>0</v>
      </c>
      <c r="AA180" s="217">
        <v>1</v>
      </c>
      <c r="AB180" s="218">
        <f t="shared" si="42"/>
        <v>0</v>
      </c>
      <c r="AC180" s="220">
        <f>'TECH DATA ENTRY'!W208</f>
        <v>0</v>
      </c>
      <c r="AD180" s="217">
        <v>1</v>
      </c>
      <c r="AE180" s="218">
        <f t="shared" si="43"/>
        <v>0</v>
      </c>
      <c r="AF180" s="220">
        <f>'TECH DATA ENTRY'!X208</f>
        <v>0</v>
      </c>
      <c r="AG180" s="217">
        <v>1</v>
      </c>
      <c r="AH180" s="218">
        <f t="shared" si="44"/>
        <v>0</v>
      </c>
      <c r="AI180" s="219" t="e">
        <f t="shared" si="45"/>
        <v>#DIV/0!</v>
      </c>
      <c r="AJ180" s="221">
        <f>'TECH DATA ENTRY'!K208</f>
        <v>0</v>
      </c>
      <c r="AK180" s="222" t="e">
        <f t="shared" si="46"/>
        <v>#DIV/0!</v>
      </c>
      <c r="AL180" s="222" t="e">
        <f>VLOOKUP(AK180,'AUX TABLES'!A$2:B$29,2)</f>
        <v>#DIV/0!</v>
      </c>
      <c r="AM180" s="223" t="e">
        <f>IF(OR(ISTEXT(B180)=TRUE,ISTEXT('TECH DATA ENTRY'!L208)=TRUE), "NA",AL180*AI180)</f>
        <v>#DIV/0!</v>
      </c>
      <c r="AN180" s="79"/>
    </row>
    <row r="181" spans="1:40" s="80" customFormat="1" ht="20.149999999999999" customHeight="1">
      <c r="A181" s="216"/>
      <c r="B181" s="249" t="str">
        <f>'TECH DATA ENTRY'!B209</f>
        <v>Nominal</v>
      </c>
      <c r="C181" s="217" t="str">
        <f>'TECH DATA ENTRY'!O209</f>
        <v>Uncertainty Components</v>
      </c>
      <c r="D181" s="217">
        <v>1</v>
      </c>
      <c r="E181" s="218" t="e">
        <f t="shared" si="36"/>
        <v>#VALUE!</v>
      </c>
      <c r="F181" s="217">
        <f>'TECH DATA ENTRY'!P209</f>
        <v>0</v>
      </c>
      <c r="G181" s="217">
        <v>1</v>
      </c>
      <c r="H181" s="218" t="e">
        <f t="shared" si="37"/>
        <v>#VALUE!</v>
      </c>
      <c r="I181" s="219">
        <f>'TECH DATA ENTRY'!Q209</f>
        <v>0</v>
      </c>
      <c r="J181" s="219" t="str">
        <f>'TECH DATA ENTRY'!$G$26</f>
        <v>Digital</v>
      </c>
      <c r="K181" s="217">
        <v>1</v>
      </c>
      <c r="L181" s="218">
        <f t="shared" si="26"/>
        <v>0</v>
      </c>
      <c r="M181" s="219">
        <f>'TECH DATA ENTRY'!R209</f>
        <v>0</v>
      </c>
      <c r="N181" s="219" t="str">
        <f>'TECH DATA ENTRY'!$G$26</f>
        <v>Digital</v>
      </c>
      <c r="O181" s="217">
        <v>1</v>
      </c>
      <c r="P181" s="218">
        <f t="shared" si="38"/>
        <v>0</v>
      </c>
      <c r="Q181" s="220">
        <f>'TECH DATA ENTRY'!S209</f>
        <v>0</v>
      </c>
      <c r="R181" s="217">
        <v>1</v>
      </c>
      <c r="S181" s="218">
        <f t="shared" si="39"/>
        <v>0</v>
      </c>
      <c r="T181" s="220">
        <f>'TECH DATA ENTRY'!T209</f>
        <v>0</v>
      </c>
      <c r="U181" s="217">
        <v>1</v>
      </c>
      <c r="V181" s="218">
        <f t="shared" si="40"/>
        <v>0</v>
      </c>
      <c r="W181" s="220">
        <f>'TECH DATA ENTRY'!U209</f>
        <v>0</v>
      </c>
      <c r="X181" s="217">
        <v>1</v>
      </c>
      <c r="Y181" s="218">
        <f t="shared" si="41"/>
        <v>0</v>
      </c>
      <c r="Z181" s="220">
        <f>'TECH DATA ENTRY'!V209</f>
        <v>0</v>
      </c>
      <c r="AA181" s="217">
        <v>1</v>
      </c>
      <c r="AB181" s="218">
        <f t="shared" si="42"/>
        <v>0</v>
      </c>
      <c r="AC181" s="220">
        <f>'TECH DATA ENTRY'!W209</f>
        <v>0</v>
      </c>
      <c r="AD181" s="217">
        <v>1</v>
      </c>
      <c r="AE181" s="218">
        <f t="shared" si="43"/>
        <v>0</v>
      </c>
      <c r="AF181" s="220">
        <f>'TECH DATA ENTRY'!X209</f>
        <v>0</v>
      </c>
      <c r="AG181" s="217">
        <v>1</v>
      </c>
      <c r="AH181" s="218">
        <f t="shared" si="44"/>
        <v>0</v>
      </c>
      <c r="AI181" s="219" t="e">
        <f t="shared" si="45"/>
        <v>#VALUE!</v>
      </c>
      <c r="AJ181" s="221" t="str">
        <f>'TECH DATA ENTRY'!K209</f>
        <v>n</v>
      </c>
      <c r="AK181" s="222" t="e">
        <f t="shared" si="46"/>
        <v>#VALUE!</v>
      </c>
      <c r="AL181" s="222" t="e">
        <f>VLOOKUP(AK181,'AUX TABLES'!A$2:B$29,2)</f>
        <v>#VALUE!</v>
      </c>
      <c r="AM181" s="223" t="str">
        <f>IF(OR(ISTEXT(B181)=TRUE,ISTEXT('TECH DATA ENTRY'!L209)=TRUE), "NA",AL181*AI181)</f>
        <v>NA</v>
      </c>
      <c r="AN181" s="79"/>
    </row>
    <row r="182" spans="1:40" s="80" customFormat="1" ht="20.149999999999999" customHeight="1">
      <c r="A182" s="216"/>
      <c r="B182" s="249">
        <f>'TECH DATA ENTRY'!B210</f>
        <v>0</v>
      </c>
      <c r="C182" s="217" t="str">
        <f>'TECH DATA ENTRY'!O210</f>
        <v>Stdev 1</v>
      </c>
      <c r="D182" s="217">
        <v>1</v>
      </c>
      <c r="E182" s="218" t="e">
        <f t="shared" si="36"/>
        <v>#VALUE!</v>
      </c>
      <c r="F182" s="217" t="str">
        <f>'TECH DATA ENTRY'!P210</f>
        <v>Stdev 2</v>
      </c>
      <c r="G182" s="217">
        <v>1</v>
      </c>
      <c r="H182" s="218" t="e">
        <f t="shared" si="37"/>
        <v>#VALUE!</v>
      </c>
      <c r="I182" s="219" t="str">
        <f>'TECH DATA ENTRY'!Q210</f>
        <v>Resolution 1</v>
      </c>
      <c r="J182" s="219" t="str">
        <f>'TECH DATA ENTRY'!$G$26</f>
        <v>Digital</v>
      </c>
      <c r="K182" s="217">
        <v>1</v>
      </c>
      <c r="L182" s="218" t="e">
        <f t="shared" si="26"/>
        <v>#VALUE!</v>
      </c>
      <c r="M182" s="219" t="str">
        <f>'TECH DATA ENTRY'!R210</f>
        <v>Resolution 2</v>
      </c>
      <c r="N182" s="219" t="str">
        <f>'TECH DATA ENTRY'!$G$26</f>
        <v>Digital</v>
      </c>
      <c r="O182" s="217">
        <v>1</v>
      </c>
      <c r="P182" s="218" t="e">
        <f t="shared" si="38"/>
        <v>#VALUE!</v>
      </c>
      <c r="Q182" s="220" t="str">
        <f>'TECH DATA ENTRY'!S210</f>
        <v>Scope Uncertainty</v>
      </c>
      <c r="R182" s="217">
        <v>1</v>
      </c>
      <c r="S182" s="218" t="e">
        <f t="shared" si="39"/>
        <v>#VALUE!</v>
      </c>
      <c r="T182" s="220" t="str">
        <f>'TECH DATA ENTRY'!T210</f>
        <v>STD 2 Cal Unc</v>
      </c>
      <c r="U182" s="217">
        <v>1</v>
      </c>
      <c r="V182" s="218" t="e">
        <f t="shared" si="40"/>
        <v>#VALUE!</v>
      </c>
      <c r="W182" s="220" t="str">
        <f>'TECH DATA ENTRY'!U210</f>
        <v>Others 1</v>
      </c>
      <c r="X182" s="217">
        <v>1</v>
      </c>
      <c r="Y182" s="218" t="e">
        <f t="shared" si="41"/>
        <v>#VALUE!</v>
      </c>
      <c r="Z182" s="220" t="str">
        <f>'TECH DATA ENTRY'!V210</f>
        <v>Others 2</v>
      </c>
      <c r="AA182" s="217">
        <v>1</v>
      </c>
      <c r="AB182" s="218" t="e">
        <f t="shared" si="42"/>
        <v>#VALUE!</v>
      </c>
      <c r="AC182" s="220" t="str">
        <f>'TECH DATA ENTRY'!W210</f>
        <v>Others 3</v>
      </c>
      <c r="AD182" s="217">
        <v>1</v>
      </c>
      <c r="AE182" s="218" t="e">
        <f t="shared" si="43"/>
        <v>#VALUE!</v>
      </c>
      <c r="AF182" s="220" t="str">
        <f>'TECH DATA ENTRY'!X210</f>
        <v>Others 4</v>
      </c>
      <c r="AG182" s="217">
        <v>1</v>
      </c>
      <c r="AH182" s="218" t="e">
        <f t="shared" si="44"/>
        <v>#VALUE!</v>
      </c>
      <c r="AI182" s="219" t="e">
        <f t="shared" si="45"/>
        <v>#VALUE!</v>
      </c>
      <c r="AJ182" s="221">
        <f>'TECH DATA ENTRY'!K210</f>
        <v>0</v>
      </c>
      <c r="AK182" s="222" t="e">
        <f t="shared" si="46"/>
        <v>#VALUE!</v>
      </c>
      <c r="AL182" s="222" t="e">
        <f>VLOOKUP(AK182,'AUX TABLES'!A$2:B$29,2)</f>
        <v>#VALUE!</v>
      </c>
      <c r="AM182" s="223" t="e">
        <f>IF(OR(ISTEXT(B182)=TRUE,ISTEXT('TECH DATA ENTRY'!L210)=TRUE), "NA",AL182*AI182)</f>
        <v>#VALUE!</v>
      </c>
      <c r="AN182" s="79"/>
    </row>
    <row r="183" spans="1:40" s="80" customFormat="1" ht="20.149999999999999" customHeight="1">
      <c r="A183" s="216"/>
      <c r="B183" s="249">
        <f>'TECH DATA ENTRY'!B211</f>
        <v>0</v>
      </c>
      <c r="C183" s="217" t="str">
        <f>'TECH DATA ENTRY'!O211</f>
        <v/>
      </c>
      <c r="D183" s="217">
        <v>1</v>
      </c>
      <c r="E183" s="218" t="e">
        <f t="shared" si="36"/>
        <v>#VALUE!</v>
      </c>
      <c r="F183" s="217">
        <f>'TECH DATA ENTRY'!P211</f>
        <v>0</v>
      </c>
      <c r="G183" s="217">
        <v>1</v>
      </c>
      <c r="H183" s="218" t="e">
        <f t="shared" si="37"/>
        <v>#VALUE!</v>
      </c>
      <c r="I183" s="219">
        <f>'TECH DATA ENTRY'!Q211</f>
        <v>1E-4</v>
      </c>
      <c r="J183" s="219" t="str">
        <f>'TECH DATA ENTRY'!$G$26</f>
        <v>Digital</v>
      </c>
      <c r="K183" s="217">
        <v>1</v>
      </c>
      <c r="L183" s="218">
        <f t="shared" si="26"/>
        <v>2.8867513459481293E-5</v>
      </c>
      <c r="M183" s="219">
        <f>'TECH DATA ENTRY'!R211</f>
        <v>0</v>
      </c>
      <c r="N183" s="219" t="str">
        <f>'TECH DATA ENTRY'!$G$26</f>
        <v>Digital</v>
      </c>
      <c r="O183" s="217">
        <v>1</v>
      </c>
      <c r="P183" s="218">
        <f t="shared" si="38"/>
        <v>0</v>
      </c>
      <c r="Q183" s="220">
        <f>'TECH DATA ENTRY'!S211</f>
        <v>6.0000000000000001E-3</v>
      </c>
      <c r="R183" s="217">
        <v>1</v>
      </c>
      <c r="S183" s="218">
        <f t="shared" si="39"/>
        <v>3.0000000000000001E-3</v>
      </c>
      <c r="T183" s="220">
        <f>'TECH DATA ENTRY'!T211</f>
        <v>0</v>
      </c>
      <c r="U183" s="217">
        <v>1</v>
      </c>
      <c r="V183" s="218">
        <f t="shared" si="40"/>
        <v>0</v>
      </c>
      <c r="W183" s="220">
        <f>'TECH DATA ENTRY'!U211</f>
        <v>0</v>
      </c>
      <c r="X183" s="217">
        <v>1</v>
      </c>
      <c r="Y183" s="218">
        <f t="shared" si="41"/>
        <v>0</v>
      </c>
      <c r="Z183" s="220">
        <f>'TECH DATA ENTRY'!V211</f>
        <v>0</v>
      </c>
      <c r="AA183" s="217">
        <v>1</v>
      </c>
      <c r="AB183" s="218">
        <f t="shared" si="42"/>
        <v>0</v>
      </c>
      <c r="AC183" s="220">
        <f>'TECH DATA ENTRY'!W211</f>
        <v>0</v>
      </c>
      <c r="AD183" s="217">
        <v>1</v>
      </c>
      <c r="AE183" s="218">
        <f t="shared" si="43"/>
        <v>0</v>
      </c>
      <c r="AF183" s="220">
        <f>'TECH DATA ENTRY'!X211</f>
        <v>0</v>
      </c>
      <c r="AG183" s="217">
        <v>1</v>
      </c>
      <c r="AH183" s="218">
        <f t="shared" si="44"/>
        <v>0</v>
      </c>
      <c r="AI183" s="219" t="e">
        <f t="shared" si="45"/>
        <v>#VALUE!</v>
      </c>
      <c r="AJ183" s="221" t="str">
        <f>'TECH DATA ENTRY'!K211</f>
        <v/>
      </c>
      <c r="AK183" s="222" t="e">
        <f t="shared" si="46"/>
        <v>#VALUE!</v>
      </c>
      <c r="AL183" s="222" t="e">
        <f>VLOOKUP(AK183,'AUX TABLES'!A$2:B$29,2)</f>
        <v>#VALUE!</v>
      </c>
      <c r="AM183" s="223" t="str">
        <f>IF(OR(ISTEXT(B183)=TRUE,ISTEXT('TECH DATA ENTRY'!L211)=TRUE), "NA",AL183*AI183)</f>
        <v>NA</v>
      </c>
      <c r="AN183" s="79"/>
    </row>
    <row r="184" spans="1:40" s="80" customFormat="1" ht="20.149999999999999" customHeight="1">
      <c r="A184" s="216"/>
      <c r="B184" s="249">
        <f>'TECH DATA ENTRY'!B212</f>
        <v>100</v>
      </c>
      <c r="C184" s="217" t="str">
        <f>'TECH DATA ENTRY'!O212</f>
        <v/>
      </c>
      <c r="D184" s="217">
        <v>1</v>
      </c>
      <c r="E184" s="218" t="e">
        <f t="shared" si="36"/>
        <v>#VALUE!</v>
      </c>
      <c r="F184" s="217">
        <f>'TECH DATA ENTRY'!P212</f>
        <v>0</v>
      </c>
      <c r="G184" s="217">
        <v>1</v>
      </c>
      <c r="H184" s="218" t="e">
        <f t="shared" si="37"/>
        <v>#VALUE!</v>
      </c>
      <c r="I184" s="219">
        <f>'TECH DATA ENTRY'!Q212</f>
        <v>1E-4</v>
      </c>
      <c r="J184" s="219" t="str">
        <f>'TECH DATA ENTRY'!$G$26</f>
        <v>Digital</v>
      </c>
      <c r="K184" s="217">
        <v>1</v>
      </c>
      <c r="L184" s="218">
        <f t="shared" si="26"/>
        <v>2.8867513459481293E-5</v>
      </c>
      <c r="M184" s="219">
        <f>'TECH DATA ENTRY'!R212</f>
        <v>0</v>
      </c>
      <c r="N184" s="219" t="str">
        <f>'TECH DATA ENTRY'!$G$26</f>
        <v>Digital</v>
      </c>
      <c r="O184" s="217">
        <v>1</v>
      </c>
      <c r="P184" s="218">
        <f t="shared" si="38"/>
        <v>0</v>
      </c>
      <c r="Q184" s="220">
        <f>'TECH DATA ENTRY'!S212</f>
        <v>1.03E-2</v>
      </c>
      <c r="R184" s="217">
        <v>1</v>
      </c>
      <c r="S184" s="218">
        <f t="shared" si="39"/>
        <v>5.1500000000000001E-3</v>
      </c>
      <c r="T184" s="220">
        <f>'TECH DATA ENTRY'!T212</f>
        <v>0</v>
      </c>
      <c r="U184" s="217">
        <v>1</v>
      </c>
      <c r="V184" s="218">
        <f t="shared" si="40"/>
        <v>0</v>
      </c>
      <c r="W184" s="220">
        <f>'TECH DATA ENTRY'!U212</f>
        <v>0</v>
      </c>
      <c r="X184" s="217">
        <v>1</v>
      </c>
      <c r="Y184" s="218">
        <f t="shared" si="41"/>
        <v>0</v>
      </c>
      <c r="Z184" s="220">
        <f>'TECH DATA ENTRY'!V212</f>
        <v>0</v>
      </c>
      <c r="AA184" s="217">
        <v>1</v>
      </c>
      <c r="AB184" s="218">
        <f t="shared" si="42"/>
        <v>0</v>
      </c>
      <c r="AC184" s="220">
        <f>'TECH DATA ENTRY'!W212</f>
        <v>0</v>
      </c>
      <c r="AD184" s="217">
        <v>1</v>
      </c>
      <c r="AE184" s="218">
        <f t="shared" si="43"/>
        <v>0</v>
      </c>
      <c r="AF184" s="220">
        <f>'TECH DATA ENTRY'!X212</f>
        <v>0</v>
      </c>
      <c r="AG184" s="217">
        <v>1</v>
      </c>
      <c r="AH184" s="218">
        <f t="shared" si="44"/>
        <v>0</v>
      </c>
      <c r="AI184" s="219" t="e">
        <f t="shared" si="45"/>
        <v>#VALUE!</v>
      </c>
      <c r="AJ184" s="221" t="str">
        <f>'TECH DATA ENTRY'!K212</f>
        <v/>
      </c>
      <c r="AK184" s="222" t="e">
        <f t="shared" si="46"/>
        <v>#VALUE!</v>
      </c>
      <c r="AL184" s="222" t="e">
        <f>VLOOKUP(AK184,'AUX TABLES'!A$2:B$29,2)</f>
        <v>#VALUE!</v>
      </c>
      <c r="AM184" s="223" t="str">
        <f>IF(OR(ISTEXT(B184)=TRUE,ISTEXT('TECH DATA ENTRY'!L212)=TRUE), "NA",AL184*AI184)</f>
        <v>NA</v>
      </c>
      <c r="AN184" s="79"/>
    </row>
    <row r="185" spans="1:40" s="80" customFormat="1" ht="20.149999999999999" customHeight="1">
      <c r="A185" s="216"/>
      <c r="B185" s="249">
        <f>'TECH DATA ENTRY'!B213</f>
        <v>-100</v>
      </c>
      <c r="C185" s="217" t="str">
        <f>'TECH DATA ENTRY'!O213</f>
        <v/>
      </c>
      <c r="D185" s="217">
        <v>1</v>
      </c>
      <c r="E185" s="218" t="e">
        <f t="shared" si="36"/>
        <v>#VALUE!</v>
      </c>
      <c r="F185" s="217">
        <f>'TECH DATA ENTRY'!P213</f>
        <v>0</v>
      </c>
      <c r="G185" s="217">
        <v>1</v>
      </c>
      <c r="H185" s="218" t="e">
        <f t="shared" si="37"/>
        <v>#VALUE!</v>
      </c>
      <c r="I185" s="219">
        <f>'TECH DATA ENTRY'!Q213</f>
        <v>1E-4</v>
      </c>
      <c r="J185" s="219" t="str">
        <f>'TECH DATA ENTRY'!$G$26</f>
        <v>Digital</v>
      </c>
      <c r="K185" s="217">
        <v>1</v>
      </c>
      <c r="L185" s="218">
        <f t="shared" si="26"/>
        <v>2.8867513459481293E-5</v>
      </c>
      <c r="M185" s="219">
        <f>'TECH DATA ENTRY'!R213</f>
        <v>0</v>
      </c>
      <c r="N185" s="219" t="str">
        <f>'TECH DATA ENTRY'!$G$26</f>
        <v>Digital</v>
      </c>
      <c r="O185" s="217">
        <v>1</v>
      </c>
      <c r="P185" s="218">
        <f t="shared" si="38"/>
        <v>0</v>
      </c>
      <c r="Q185" s="220">
        <f>'TECH DATA ENTRY'!S213</f>
        <v>1.03E-2</v>
      </c>
      <c r="R185" s="217">
        <v>1</v>
      </c>
      <c r="S185" s="218">
        <f t="shared" si="39"/>
        <v>5.1500000000000001E-3</v>
      </c>
      <c r="T185" s="220">
        <f>'TECH DATA ENTRY'!T213</f>
        <v>0</v>
      </c>
      <c r="U185" s="217">
        <v>1</v>
      </c>
      <c r="V185" s="218">
        <f t="shared" si="40"/>
        <v>0</v>
      </c>
      <c r="W185" s="220">
        <f>'TECH DATA ENTRY'!U213</f>
        <v>0</v>
      </c>
      <c r="X185" s="217">
        <v>1</v>
      </c>
      <c r="Y185" s="218">
        <f t="shared" si="41"/>
        <v>0</v>
      </c>
      <c r="Z185" s="220">
        <f>'TECH DATA ENTRY'!V213</f>
        <v>0</v>
      </c>
      <c r="AA185" s="217">
        <v>1</v>
      </c>
      <c r="AB185" s="218">
        <f t="shared" si="42"/>
        <v>0</v>
      </c>
      <c r="AC185" s="220">
        <f>'TECH DATA ENTRY'!W213</f>
        <v>0</v>
      </c>
      <c r="AD185" s="217">
        <v>1</v>
      </c>
      <c r="AE185" s="218">
        <f t="shared" si="43"/>
        <v>0</v>
      </c>
      <c r="AF185" s="220">
        <f>'TECH DATA ENTRY'!X213</f>
        <v>0</v>
      </c>
      <c r="AG185" s="217">
        <v>1</v>
      </c>
      <c r="AH185" s="218">
        <f t="shared" si="44"/>
        <v>0</v>
      </c>
      <c r="AI185" s="219" t="e">
        <f t="shared" si="45"/>
        <v>#VALUE!</v>
      </c>
      <c r="AJ185" s="221" t="str">
        <f>'TECH DATA ENTRY'!K213</f>
        <v/>
      </c>
      <c r="AK185" s="222" t="e">
        <f t="shared" si="46"/>
        <v>#VALUE!</v>
      </c>
      <c r="AL185" s="222" t="e">
        <f>VLOOKUP(AK185,'AUX TABLES'!A$2:B$29,2)</f>
        <v>#VALUE!</v>
      </c>
      <c r="AM185" s="223" t="str">
        <f>IF(OR(ISTEXT(B185)=TRUE,ISTEXT('TECH DATA ENTRY'!L213)=TRUE), "NA",AL185*AI185)</f>
        <v>NA</v>
      </c>
      <c r="AN185" s="79"/>
    </row>
    <row r="186" spans="1:40" s="80" customFormat="1" ht="20.149999999999999" customHeight="1">
      <c r="A186" s="216"/>
      <c r="B186" s="249">
        <f>'TECH DATA ENTRY'!B214</f>
        <v>0</v>
      </c>
      <c r="C186" s="217">
        <f>'TECH DATA ENTRY'!O214</f>
        <v>0</v>
      </c>
      <c r="D186" s="217">
        <v>1</v>
      </c>
      <c r="E186" s="218" t="e">
        <f t="shared" si="36"/>
        <v>#DIV/0!</v>
      </c>
      <c r="F186" s="217">
        <f>'TECH DATA ENTRY'!P214</f>
        <v>0</v>
      </c>
      <c r="G186" s="217">
        <v>1</v>
      </c>
      <c r="H186" s="218" t="e">
        <f t="shared" si="37"/>
        <v>#DIV/0!</v>
      </c>
      <c r="I186" s="219">
        <f>'TECH DATA ENTRY'!Q214</f>
        <v>0</v>
      </c>
      <c r="J186" s="219" t="str">
        <f>'TECH DATA ENTRY'!$G$26</f>
        <v>Digital</v>
      </c>
      <c r="K186" s="217">
        <v>1</v>
      </c>
      <c r="L186" s="218">
        <f t="shared" si="26"/>
        <v>0</v>
      </c>
      <c r="M186" s="219">
        <f>'TECH DATA ENTRY'!R214</f>
        <v>0</v>
      </c>
      <c r="N186" s="219" t="str">
        <f>'TECH DATA ENTRY'!$G$26</f>
        <v>Digital</v>
      </c>
      <c r="O186" s="217">
        <v>1</v>
      </c>
      <c r="P186" s="218">
        <f t="shared" si="38"/>
        <v>0</v>
      </c>
      <c r="Q186" s="220">
        <f>'TECH DATA ENTRY'!S214</f>
        <v>0</v>
      </c>
      <c r="R186" s="217">
        <v>1</v>
      </c>
      <c r="S186" s="218">
        <f t="shared" si="39"/>
        <v>0</v>
      </c>
      <c r="T186" s="220">
        <f>'TECH DATA ENTRY'!T214</f>
        <v>0</v>
      </c>
      <c r="U186" s="217">
        <v>1</v>
      </c>
      <c r="V186" s="218">
        <f t="shared" si="40"/>
        <v>0</v>
      </c>
      <c r="W186" s="220">
        <f>'TECH DATA ENTRY'!U214</f>
        <v>0</v>
      </c>
      <c r="X186" s="217">
        <v>1</v>
      </c>
      <c r="Y186" s="218">
        <f t="shared" si="41"/>
        <v>0</v>
      </c>
      <c r="Z186" s="220">
        <f>'TECH DATA ENTRY'!V214</f>
        <v>0</v>
      </c>
      <c r="AA186" s="217">
        <v>1</v>
      </c>
      <c r="AB186" s="218">
        <f t="shared" si="42"/>
        <v>0</v>
      </c>
      <c r="AC186" s="220">
        <f>'TECH DATA ENTRY'!W214</f>
        <v>0</v>
      </c>
      <c r="AD186" s="217">
        <v>1</v>
      </c>
      <c r="AE186" s="218">
        <f t="shared" si="43"/>
        <v>0</v>
      </c>
      <c r="AF186" s="220">
        <f>'TECH DATA ENTRY'!X214</f>
        <v>0</v>
      </c>
      <c r="AG186" s="217">
        <v>1</v>
      </c>
      <c r="AH186" s="218">
        <f t="shared" si="44"/>
        <v>0</v>
      </c>
      <c r="AI186" s="219" t="e">
        <f t="shared" si="45"/>
        <v>#DIV/0!</v>
      </c>
      <c r="AJ186" s="221">
        <f>'TECH DATA ENTRY'!K214</f>
        <v>0</v>
      </c>
      <c r="AK186" s="222" t="e">
        <f t="shared" si="46"/>
        <v>#DIV/0!</v>
      </c>
      <c r="AL186" s="222" t="e">
        <f>VLOOKUP(AK186,'AUX TABLES'!A$2:B$29,2)</f>
        <v>#DIV/0!</v>
      </c>
      <c r="AM186" s="223" t="e">
        <f>IF(OR(ISTEXT(B186)=TRUE,ISTEXT('TECH DATA ENTRY'!L214)=TRUE), "NA",AL186*AI186)</f>
        <v>#DIV/0!</v>
      </c>
      <c r="AN186" s="79"/>
    </row>
    <row r="187" spans="1:40" s="80" customFormat="1" ht="20.149999999999999" customHeight="1">
      <c r="A187" s="216"/>
      <c r="B187" s="249">
        <f>'TECH DATA ENTRY'!B215</f>
        <v>0</v>
      </c>
      <c r="C187" s="217">
        <f>'TECH DATA ENTRY'!O215</f>
        <v>0</v>
      </c>
      <c r="D187" s="217">
        <v>1</v>
      </c>
      <c r="E187" s="218" t="e">
        <f t="shared" si="36"/>
        <v>#DIV/0!</v>
      </c>
      <c r="F187" s="217">
        <f>'TECH DATA ENTRY'!P215</f>
        <v>0</v>
      </c>
      <c r="G187" s="217">
        <v>1</v>
      </c>
      <c r="H187" s="218" t="e">
        <f t="shared" si="37"/>
        <v>#DIV/0!</v>
      </c>
      <c r="I187" s="219">
        <f>'TECH DATA ENTRY'!Q215</f>
        <v>0</v>
      </c>
      <c r="J187" s="219" t="str">
        <f>'TECH DATA ENTRY'!$G$26</f>
        <v>Digital</v>
      </c>
      <c r="K187" s="217">
        <v>1</v>
      </c>
      <c r="L187" s="218">
        <f t="shared" si="26"/>
        <v>0</v>
      </c>
      <c r="M187" s="219">
        <f>'TECH DATA ENTRY'!R215</f>
        <v>0</v>
      </c>
      <c r="N187" s="219" t="str">
        <f>'TECH DATA ENTRY'!$G$26</f>
        <v>Digital</v>
      </c>
      <c r="O187" s="217">
        <v>1</v>
      </c>
      <c r="P187" s="218">
        <f t="shared" si="38"/>
        <v>0</v>
      </c>
      <c r="Q187" s="220">
        <f>'TECH DATA ENTRY'!S215</f>
        <v>0</v>
      </c>
      <c r="R187" s="217">
        <v>1</v>
      </c>
      <c r="S187" s="218">
        <f t="shared" si="39"/>
        <v>0</v>
      </c>
      <c r="T187" s="220">
        <f>'TECH DATA ENTRY'!T215</f>
        <v>0</v>
      </c>
      <c r="U187" s="217">
        <v>1</v>
      </c>
      <c r="V187" s="218">
        <f t="shared" si="40"/>
        <v>0</v>
      </c>
      <c r="W187" s="220">
        <f>'TECH DATA ENTRY'!U215</f>
        <v>0</v>
      </c>
      <c r="X187" s="217">
        <v>1</v>
      </c>
      <c r="Y187" s="218">
        <f t="shared" si="41"/>
        <v>0</v>
      </c>
      <c r="Z187" s="220">
        <f>'TECH DATA ENTRY'!V215</f>
        <v>0</v>
      </c>
      <c r="AA187" s="217">
        <v>1</v>
      </c>
      <c r="AB187" s="218">
        <f t="shared" si="42"/>
        <v>0</v>
      </c>
      <c r="AC187" s="220">
        <f>'TECH DATA ENTRY'!W215</f>
        <v>0</v>
      </c>
      <c r="AD187" s="217">
        <v>1</v>
      </c>
      <c r="AE187" s="218">
        <f t="shared" si="43"/>
        <v>0</v>
      </c>
      <c r="AF187" s="220">
        <f>'TECH DATA ENTRY'!X215</f>
        <v>0</v>
      </c>
      <c r="AG187" s="217">
        <v>1</v>
      </c>
      <c r="AH187" s="218">
        <f t="shared" si="44"/>
        <v>0</v>
      </c>
      <c r="AI187" s="219" t="e">
        <f t="shared" si="45"/>
        <v>#DIV/0!</v>
      </c>
      <c r="AJ187" s="221">
        <f>'TECH DATA ENTRY'!K215</f>
        <v>0</v>
      </c>
      <c r="AK187" s="222" t="e">
        <f t="shared" si="46"/>
        <v>#DIV/0!</v>
      </c>
      <c r="AL187" s="222" t="e">
        <f>VLOOKUP(AK187,'AUX TABLES'!A$2:B$29,2)</f>
        <v>#DIV/0!</v>
      </c>
      <c r="AM187" s="223" t="e">
        <f>IF(OR(ISTEXT(B187)=TRUE,ISTEXT('TECH DATA ENTRY'!L215)=TRUE), "NA",AL187*AI187)</f>
        <v>#DIV/0!</v>
      </c>
      <c r="AN187" s="79"/>
    </row>
    <row r="188" spans="1:40" s="80" customFormat="1" ht="20.149999999999999" customHeight="1">
      <c r="A188" s="216"/>
      <c r="B188" s="249">
        <f>'TECH DATA ENTRY'!B216</f>
        <v>0</v>
      </c>
      <c r="C188" s="217">
        <f>'TECH DATA ENTRY'!O216</f>
        <v>0</v>
      </c>
      <c r="D188" s="217">
        <v>1</v>
      </c>
      <c r="E188" s="218" t="e">
        <f t="shared" si="36"/>
        <v>#DIV/0!</v>
      </c>
      <c r="F188" s="217">
        <f>'TECH DATA ENTRY'!P216</f>
        <v>0</v>
      </c>
      <c r="G188" s="217">
        <v>1</v>
      </c>
      <c r="H188" s="218" t="e">
        <f t="shared" si="37"/>
        <v>#DIV/0!</v>
      </c>
      <c r="I188" s="219">
        <f>'TECH DATA ENTRY'!Q216</f>
        <v>0</v>
      </c>
      <c r="J188" s="219" t="str">
        <f>'TECH DATA ENTRY'!$G$26</f>
        <v>Digital</v>
      </c>
      <c r="K188" s="217">
        <v>1</v>
      </c>
      <c r="L188" s="218">
        <f t="shared" si="26"/>
        <v>0</v>
      </c>
      <c r="M188" s="219">
        <f>'TECH DATA ENTRY'!R216</f>
        <v>0</v>
      </c>
      <c r="N188" s="219" t="str">
        <f>'TECH DATA ENTRY'!$G$26</f>
        <v>Digital</v>
      </c>
      <c r="O188" s="217">
        <v>1</v>
      </c>
      <c r="P188" s="218">
        <f t="shared" si="38"/>
        <v>0</v>
      </c>
      <c r="Q188" s="220">
        <f>'TECH DATA ENTRY'!S216</f>
        <v>0</v>
      </c>
      <c r="R188" s="217">
        <v>1</v>
      </c>
      <c r="S188" s="218">
        <f t="shared" si="39"/>
        <v>0</v>
      </c>
      <c r="T188" s="220">
        <f>'TECH DATA ENTRY'!T216</f>
        <v>0</v>
      </c>
      <c r="U188" s="217">
        <v>1</v>
      </c>
      <c r="V188" s="218">
        <f t="shared" si="40"/>
        <v>0</v>
      </c>
      <c r="W188" s="220">
        <f>'TECH DATA ENTRY'!U216</f>
        <v>0</v>
      </c>
      <c r="X188" s="217">
        <v>1</v>
      </c>
      <c r="Y188" s="218">
        <f t="shared" si="41"/>
        <v>0</v>
      </c>
      <c r="Z188" s="220">
        <f>'TECH DATA ENTRY'!V216</f>
        <v>0</v>
      </c>
      <c r="AA188" s="217">
        <v>1</v>
      </c>
      <c r="AB188" s="218">
        <f t="shared" si="42"/>
        <v>0</v>
      </c>
      <c r="AC188" s="220">
        <f>'TECH DATA ENTRY'!W216</f>
        <v>0</v>
      </c>
      <c r="AD188" s="217">
        <v>1</v>
      </c>
      <c r="AE188" s="218">
        <f t="shared" si="43"/>
        <v>0</v>
      </c>
      <c r="AF188" s="220">
        <f>'TECH DATA ENTRY'!X216</f>
        <v>0</v>
      </c>
      <c r="AG188" s="217">
        <v>1</v>
      </c>
      <c r="AH188" s="218">
        <f t="shared" si="44"/>
        <v>0</v>
      </c>
      <c r="AI188" s="219" t="e">
        <f t="shared" si="45"/>
        <v>#DIV/0!</v>
      </c>
      <c r="AJ188" s="221">
        <f>'TECH DATA ENTRY'!K216</f>
        <v>0</v>
      </c>
      <c r="AK188" s="222" t="e">
        <f t="shared" si="46"/>
        <v>#DIV/0!</v>
      </c>
      <c r="AL188" s="222" t="e">
        <f>VLOOKUP(AK188,'AUX TABLES'!A$2:B$29,2)</f>
        <v>#DIV/0!</v>
      </c>
      <c r="AM188" s="223" t="e">
        <f>IF(OR(ISTEXT(B188)=TRUE,ISTEXT('TECH DATA ENTRY'!L216)=TRUE), "NA",AL188*AI188)</f>
        <v>#DIV/0!</v>
      </c>
      <c r="AN188" s="79"/>
    </row>
    <row r="189" spans="1:40" s="80" customFormat="1" ht="20.149999999999999" customHeight="1">
      <c r="A189" s="216"/>
      <c r="B189" s="249" t="str">
        <f>'TECH DATA ENTRY'!B217</f>
        <v>Nominal</v>
      </c>
      <c r="C189" s="217" t="str">
        <f>'TECH DATA ENTRY'!O217</f>
        <v>Uncertainty Components</v>
      </c>
      <c r="D189" s="217">
        <v>1</v>
      </c>
      <c r="E189" s="218" t="e">
        <f t="shared" si="36"/>
        <v>#VALUE!</v>
      </c>
      <c r="F189" s="217">
        <f>'TECH DATA ENTRY'!P217</f>
        <v>0</v>
      </c>
      <c r="G189" s="217">
        <v>1</v>
      </c>
      <c r="H189" s="218" t="e">
        <f t="shared" si="37"/>
        <v>#VALUE!</v>
      </c>
      <c r="I189" s="219">
        <f>'TECH DATA ENTRY'!Q217</f>
        <v>0</v>
      </c>
      <c r="J189" s="219" t="str">
        <f>'TECH DATA ENTRY'!$G$26</f>
        <v>Digital</v>
      </c>
      <c r="K189" s="217">
        <v>1</v>
      </c>
      <c r="L189" s="218">
        <f t="shared" si="26"/>
        <v>0</v>
      </c>
      <c r="M189" s="219">
        <f>'TECH DATA ENTRY'!R217</f>
        <v>0</v>
      </c>
      <c r="N189" s="219" t="str">
        <f>'TECH DATA ENTRY'!$G$26</f>
        <v>Digital</v>
      </c>
      <c r="O189" s="217">
        <v>1</v>
      </c>
      <c r="P189" s="218">
        <f t="shared" si="38"/>
        <v>0</v>
      </c>
      <c r="Q189" s="220">
        <f>'TECH DATA ENTRY'!S217</f>
        <v>0</v>
      </c>
      <c r="R189" s="217">
        <v>1</v>
      </c>
      <c r="S189" s="218">
        <f t="shared" si="39"/>
        <v>0</v>
      </c>
      <c r="T189" s="220">
        <f>'TECH DATA ENTRY'!T217</f>
        <v>0</v>
      </c>
      <c r="U189" s="217">
        <v>1</v>
      </c>
      <c r="V189" s="218">
        <f t="shared" si="40"/>
        <v>0</v>
      </c>
      <c r="W189" s="220">
        <f>'TECH DATA ENTRY'!U217</f>
        <v>0</v>
      </c>
      <c r="X189" s="217">
        <v>1</v>
      </c>
      <c r="Y189" s="218">
        <f t="shared" si="41"/>
        <v>0</v>
      </c>
      <c r="Z189" s="220">
        <f>'TECH DATA ENTRY'!V217</f>
        <v>0</v>
      </c>
      <c r="AA189" s="217">
        <v>1</v>
      </c>
      <c r="AB189" s="218">
        <f t="shared" si="42"/>
        <v>0</v>
      </c>
      <c r="AC189" s="220">
        <f>'TECH DATA ENTRY'!W217</f>
        <v>0</v>
      </c>
      <c r="AD189" s="217">
        <v>1</v>
      </c>
      <c r="AE189" s="218">
        <f t="shared" si="43"/>
        <v>0</v>
      </c>
      <c r="AF189" s="220">
        <f>'TECH DATA ENTRY'!X217</f>
        <v>0</v>
      </c>
      <c r="AG189" s="217">
        <v>1</v>
      </c>
      <c r="AH189" s="218">
        <f t="shared" si="44"/>
        <v>0</v>
      </c>
      <c r="AI189" s="219" t="e">
        <f t="shared" si="45"/>
        <v>#VALUE!</v>
      </c>
      <c r="AJ189" s="221" t="str">
        <f>'TECH DATA ENTRY'!K217</f>
        <v>n</v>
      </c>
      <c r="AK189" s="222" t="e">
        <f t="shared" si="46"/>
        <v>#VALUE!</v>
      </c>
      <c r="AL189" s="222" t="e">
        <f>VLOOKUP(AK189,'AUX TABLES'!A$2:B$29,2)</f>
        <v>#VALUE!</v>
      </c>
      <c r="AM189" s="223" t="str">
        <f>IF(OR(ISTEXT(B189)=TRUE,ISTEXT('TECH DATA ENTRY'!L217)=TRUE), "NA",AL189*AI189)</f>
        <v>NA</v>
      </c>
      <c r="AN189" s="79"/>
    </row>
    <row r="190" spans="1:40" s="80" customFormat="1" ht="20.149999999999999" customHeight="1">
      <c r="A190" s="216"/>
      <c r="B190" s="249">
        <f>'TECH DATA ENTRY'!B218</f>
        <v>0</v>
      </c>
      <c r="C190" s="217" t="str">
        <f>'TECH DATA ENTRY'!O218</f>
        <v>Stdev 1</v>
      </c>
      <c r="D190" s="217">
        <v>1</v>
      </c>
      <c r="E190" s="218" t="e">
        <f t="shared" si="36"/>
        <v>#VALUE!</v>
      </c>
      <c r="F190" s="217" t="str">
        <f>'TECH DATA ENTRY'!P218</f>
        <v>Stdev 2</v>
      </c>
      <c r="G190" s="217">
        <v>1</v>
      </c>
      <c r="H190" s="218" t="e">
        <f t="shared" si="37"/>
        <v>#VALUE!</v>
      </c>
      <c r="I190" s="219" t="str">
        <f>'TECH DATA ENTRY'!Q218</f>
        <v>Resolution 1</v>
      </c>
      <c r="J190" s="219" t="str">
        <f>'TECH DATA ENTRY'!$G$26</f>
        <v>Digital</v>
      </c>
      <c r="K190" s="217">
        <v>1</v>
      </c>
      <c r="L190" s="218" t="e">
        <f t="shared" si="26"/>
        <v>#VALUE!</v>
      </c>
      <c r="M190" s="219" t="str">
        <f>'TECH DATA ENTRY'!R218</f>
        <v>Resolution 2</v>
      </c>
      <c r="N190" s="219" t="str">
        <f>'TECH DATA ENTRY'!$G$26</f>
        <v>Digital</v>
      </c>
      <c r="O190" s="217">
        <v>1</v>
      </c>
      <c r="P190" s="218" t="e">
        <f t="shared" si="38"/>
        <v>#VALUE!</v>
      </c>
      <c r="Q190" s="220" t="str">
        <f>'TECH DATA ENTRY'!S218</f>
        <v>Scope Uncertainty</v>
      </c>
      <c r="R190" s="217">
        <v>1</v>
      </c>
      <c r="S190" s="218" t="e">
        <f t="shared" si="39"/>
        <v>#VALUE!</v>
      </c>
      <c r="T190" s="220" t="str">
        <f>'TECH DATA ENTRY'!T218</f>
        <v>STD 2 Cal Unc</v>
      </c>
      <c r="U190" s="217">
        <v>1</v>
      </c>
      <c r="V190" s="218" t="e">
        <f t="shared" si="40"/>
        <v>#VALUE!</v>
      </c>
      <c r="W190" s="220" t="str">
        <f>'TECH DATA ENTRY'!U218</f>
        <v>Others 1</v>
      </c>
      <c r="X190" s="217">
        <v>1</v>
      </c>
      <c r="Y190" s="218" t="e">
        <f t="shared" si="41"/>
        <v>#VALUE!</v>
      </c>
      <c r="Z190" s="220" t="str">
        <f>'TECH DATA ENTRY'!V218</f>
        <v>Others 2</v>
      </c>
      <c r="AA190" s="217">
        <v>1</v>
      </c>
      <c r="AB190" s="218" t="e">
        <f t="shared" si="42"/>
        <v>#VALUE!</v>
      </c>
      <c r="AC190" s="220" t="str">
        <f>'TECH DATA ENTRY'!W218</f>
        <v>Others 3</v>
      </c>
      <c r="AD190" s="217">
        <v>1</v>
      </c>
      <c r="AE190" s="218" t="e">
        <f t="shared" si="43"/>
        <v>#VALUE!</v>
      </c>
      <c r="AF190" s="220" t="str">
        <f>'TECH DATA ENTRY'!X218</f>
        <v>Others 4</v>
      </c>
      <c r="AG190" s="217">
        <v>1</v>
      </c>
      <c r="AH190" s="218" t="e">
        <f t="shared" si="44"/>
        <v>#VALUE!</v>
      </c>
      <c r="AI190" s="219" t="e">
        <f t="shared" si="45"/>
        <v>#VALUE!</v>
      </c>
      <c r="AJ190" s="221">
        <f>'TECH DATA ENTRY'!K218</f>
        <v>0</v>
      </c>
      <c r="AK190" s="222" t="e">
        <f t="shared" si="46"/>
        <v>#VALUE!</v>
      </c>
      <c r="AL190" s="222" t="e">
        <f>VLOOKUP(AK190,'AUX TABLES'!A$2:B$29,2)</f>
        <v>#VALUE!</v>
      </c>
      <c r="AM190" s="223" t="e">
        <f>IF(OR(ISTEXT(B190)=TRUE,ISTEXT('TECH DATA ENTRY'!L218)=TRUE), "NA",AL190*AI190)</f>
        <v>#VALUE!</v>
      </c>
      <c r="AN190" s="79"/>
    </row>
    <row r="191" spans="1:40" s="80" customFormat="1" ht="20.149999999999999" customHeight="1">
      <c r="A191" s="216"/>
      <c r="B191" s="249">
        <f>'TECH DATA ENTRY'!B219</f>
        <v>0</v>
      </c>
      <c r="C191" s="217" t="str">
        <f>'TECH DATA ENTRY'!O219</f>
        <v/>
      </c>
      <c r="D191" s="217">
        <v>1</v>
      </c>
      <c r="E191" s="218" t="e">
        <f t="shared" si="36"/>
        <v>#VALUE!</v>
      </c>
      <c r="F191" s="217">
        <f>'TECH DATA ENTRY'!P219</f>
        <v>0</v>
      </c>
      <c r="G191" s="217">
        <v>1</v>
      </c>
      <c r="H191" s="218" t="e">
        <f t="shared" si="37"/>
        <v>#VALUE!</v>
      </c>
      <c r="I191" s="219">
        <f>'TECH DATA ENTRY'!Q219</f>
        <v>9.9999999999999995E-7</v>
      </c>
      <c r="J191" s="219" t="str">
        <f>'TECH DATA ENTRY'!$G$26</f>
        <v>Digital</v>
      </c>
      <c r="K191" s="217">
        <v>1</v>
      </c>
      <c r="L191" s="218">
        <f t="shared" si="26"/>
        <v>2.8867513459481289E-7</v>
      </c>
      <c r="M191" s="219">
        <f>'TECH DATA ENTRY'!R219</f>
        <v>0</v>
      </c>
      <c r="N191" s="219" t="str">
        <f>'TECH DATA ENTRY'!$G$26</f>
        <v>Digital</v>
      </c>
      <c r="O191" s="217">
        <v>1</v>
      </c>
      <c r="P191" s="218">
        <f t="shared" si="38"/>
        <v>0</v>
      </c>
      <c r="Q191" s="220">
        <f>'TECH DATA ENTRY'!S219</f>
        <v>6.9999999999999999E-6</v>
      </c>
      <c r="R191" s="217">
        <v>1</v>
      </c>
      <c r="S191" s="218">
        <f t="shared" si="39"/>
        <v>3.4999999999999999E-6</v>
      </c>
      <c r="T191" s="220">
        <f>'TECH DATA ENTRY'!T219</f>
        <v>0</v>
      </c>
      <c r="U191" s="217">
        <v>1</v>
      </c>
      <c r="V191" s="218">
        <f t="shared" si="40"/>
        <v>0</v>
      </c>
      <c r="W191" s="220">
        <f>'TECH DATA ENTRY'!U219</f>
        <v>0</v>
      </c>
      <c r="X191" s="217">
        <v>1</v>
      </c>
      <c r="Y191" s="218">
        <f t="shared" si="41"/>
        <v>0</v>
      </c>
      <c r="Z191" s="220">
        <f>'TECH DATA ENTRY'!V219</f>
        <v>0</v>
      </c>
      <c r="AA191" s="217">
        <v>1</v>
      </c>
      <c r="AB191" s="218">
        <f t="shared" si="42"/>
        <v>0</v>
      </c>
      <c r="AC191" s="220">
        <f>'TECH DATA ENTRY'!W219</f>
        <v>0</v>
      </c>
      <c r="AD191" s="217">
        <v>1</v>
      </c>
      <c r="AE191" s="218">
        <f t="shared" si="43"/>
        <v>0</v>
      </c>
      <c r="AF191" s="220">
        <f>'TECH DATA ENTRY'!X219</f>
        <v>0</v>
      </c>
      <c r="AG191" s="217">
        <v>1</v>
      </c>
      <c r="AH191" s="218">
        <f t="shared" si="44"/>
        <v>0</v>
      </c>
      <c r="AI191" s="219" t="e">
        <f t="shared" si="45"/>
        <v>#VALUE!</v>
      </c>
      <c r="AJ191" s="221" t="str">
        <f>'TECH DATA ENTRY'!K219</f>
        <v/>
      </c>
      <c r="AK191" s="222" t="e">
        <f t="shared" si="46"/>
        <v>#VALUE!</v>
      </c>
      <c r="AL191" s="222" t="e">
        <f>VLOOKUP(AK191,'AUX TABLES'!A$2:B$29,2)</f>
        <v>#VALUE!</v>
      </c>
      <c r="AM191" s="223" t="str">
        <f>IF(OR(ISTEXT(B191)=TRUE,ISTEXT('TECH DATA ENTRY'!L219)=TRUE), "NA",AL191*AI191)</f>
        <v>NA</v>
      </c>
      <c r="AN191" s="79"/>
    </row>
    <row r="192" spans="1:40" s="80" customFormat="1" ht="20.149999999999999" customHeight="1">
      <c r="A192" s="216"/>
      <c r="B192" s="249">
        <f>'TECH DATA ENTRY'!B220</f>
        <v>1</v>
      </c>
      <c r="C192" s="217" t="str">
        <f>'TECH DATA ENTRY'!O220</f>
        <v/>
      </c>
      <c r="D192" s="217">
        <v>1</v>
      </c>
      <c r="E192" s="218" t="e">
        <f t="shared" si="36"/>
        <v>#VALUE!</v>
      </c>
      <c r="F192" s="217">
        <f>'TECH DATA ENTRY'!P220</f>
        <v>0</v>
      </c>
      <c r="G192" s="217">
        <v>1</v>
      </c>
      <c r="H192" s="218" t="e">
        <f t="shared" si="37"/>
        <v>#VALUE!</v>
      </c>
      <c r="I192" s="219">
        <f>'TECH DATA ENTRY'!Q220</f>
        <v>9.9999999999999995E-7</v>
      </c>
      <c r="J192" s="219" t="str">
        <f>'TECH DATA ENTRY'!$G$26</f>
        <v>Digital</v>
      </c>
      <c r="K192" s="217">
        <v>1</v>
      </c>
      <c r="L192" s="218">
        <f t="shared" si="26"/>
        <v>2.8867513459481289E-7</v>
      </c>
      <c r="M192" s="219">
        <f>'TECH DATA ENTRY'!R220</f>
        <v>0</v>
      </c>
      <c r="N192" s="219" t="str">
        <f>'TECH DATA ENTRY'!$G$26</f>
        <v>Digital</v>
      </c>
      <c r="O192" s="217">
        <v>1</v>
      </c>
      <c r="P192" s="218">
        <f t="shared" si="38"/>
        <v>0</v>
      </c>
      <c r="Q192" s="220">
        <f>'TECH DATA ENTRY'!S220</f>
        <v>6.3999999999999997E-5</v>
      </c>
      <c r="R192" s="217">
        <v>1</v>
      </c>
      <c r="S192" s="218">
        <f t="shared" si="39"/>
        <v>3.1999999999999999E-5</v>
      </c>
      <c r="T192" s="220">
        <f>'TECH DATA ENTRY'!T220</f>
        <v>0</v>
      </c>
      <c r="U192" s="217">
        <v>1</v>
      </c>
      <c r="V192" s="218">
        <f t="shared" si="40"/>
        <v>0</v>
      </c>
      <c r="W192" s="220">
        <f>'TECH DATA ENTRY'!U220</f>
        <v>0</v>
      </c>
      <c r="X192" s="217">
        <v>1</v>
      </c>
      <c r="Y192" s="218">
        <f t="shared" si="41"/>
        <v>0</v>
      </c>
      <c r="Z192" s="220">
        <f>'TECH DATA ENTRY'!V220</f>
        <v>0</v>
      </c>
      <c r="AA192" s="217">
        <v>1</v>
      </c>
      <c r="AB192" s="218">
        <f t="shared" si="42"/>
        <v>0</v>
      </c>
      <c r="AC192" s="220">
        <f>'TECH DATA ENTRY'!W220</f>
        <v>0</v>
      </c>
      <c r="AD192" s="217">
        <v>1</v>
      </c>
      <c r="AE192" s="218">
        <f t="shared" si="43"/>
        <v>0</v>
      </c>
      <c r="AF192" s="220">
        <f>'TECH DATA ENTRY'!X220</f>
        <v>0</v>
      </c>
      <c r="AG192" s="217">
        <v>1</v>
      </c>
      <c r="AH192" s="218">
        <f t="shared" si="44"/>
        <v>0</v>
      </c>
      <c r="AI192" s="219" t="e">
        <f t="shared" si="45"/>
        <v>#VALUE!</v>
      </c>
      <c r="AJ192" s="221" t="str">
        <f>'TECH DATA ENTRY'!K220</f>
        <v/>
      </c>
      <c r="AK192" s="222" t="e">
        <f t="shared" si="46"/>
        <v>#VALUE!</v>
      </c>
      <c r="AL192" s="222" t="e">
        <f>VLOOKUP(AK192,'AUX TABLES'!A$2:B$29,2)</f>
        <v>#VALUE!</v>
      </c>
      <c r="AM192" s="223" t="str">
        <f>IF(OR(ISTEXT(B192)=TRUE,ISTEXT('TECH DATA ENTRY'!L220)=TRUE), "NA",AL192*AI192)</f>
        <v>NA</v>
      </c>
      <c r="AN192" s="79"/>
    </row>
    <row r="193" spans="1:40" s="80" customFormat="1" ht="20.149999999999999" customHeight="1">
      <c r="A193" s="216"/>
      <c r="B193" s="249">
        <f>'TECH DATA ENTRY'!B221</f>
        <v>-1</v>
      </c>
      <c r="C193" s="217" t="str">
        <f>'TECH DATA ENTRY'!O221</f>
        <v/>
      </c>
      <c r="D193" s="217">
        <v>1</v>
      </c>
      <c r="E193" s="218" t="e">
        <f t="shared" si="36"/>
        <v>#VALUE!</v>
      </c>
      <c r="F193" s="217">
        <f>'TECH DATA ENTRY'!P221</f>
        <v>0</v>
      </c>
      <c r="G193" s="217">
        <v>1</v>
      </c>
      <c r="H193" s="218" t="e">
        <f t="shared" si="37"/>
        <v>#VALUE!</v>
      </c>
      <c r="I193" s="219">
        <f>'TECH DATA ENTRY'!Q221</f>
        <v>9.9999999999999995E-7</v>
      </c>
      <c r="J193" s="219" t="str">
        <f>'TECH DATA ENTRY'!$G$26</f>
        <v>Digital</v>
      </c>
      <c r="K193" s="217">
        <v>1</v>
      </c>
      <c r="L193" s="218">
        <f t="shared" si="26"/>
        <v>2.8867513459481289E-7</v>
      </c>
      <c r="M193" s="219">
        <f>'TECH DATA ENTRY'!R221</f>
        <v>0</v>
      </c>
      <c r="N193" s="219" t="str">
        <f>'TECH DATA ENTRY'!$G$26</f>
        <v>Digital</v>
      </c>
      <c r="O193" s="217">
        <v>1</v>
      </c>
      <c r="P193" s="218">
        <f t="shared" si="38"/>
        <v>0</v>
      </c>
      <c r="Q193" s="220">
        <f>'TECH DATA ENTRY'!S221</f>
        <v>6.3999999999999997E-5</v>
      </c>
      <c r="R193" s="217">
        <v>1</v>
      </c>
      <c r="S193" s="218">
        <f t="shared" si="39"/>
        <v>3.1999999999999999E-5</v>
      </c>
      <c r="T193" s="220">
        <f>'TECH DATA ENTRY'!T221</f>
        <v>0</v>
      </c>
      <c r="U193" s="217">
        <v>1</v>
      </c>
      <c r="V193" s="218">
        <f t="shared" si="40"/>
        <v>0</v>
      </c>
      <c r="W193" s="220">
        <f>'TECH DATA ENTRY'!U221</f>
        <v>0</v>
      </c>
      <c r="X193" s="217">
        <v>1</v>
      </c>
      <c r="Y193" s="218">
        <f t="shared" si="41"/>
        <v>0</v>
      </c>
      <c r="Z193" s="220">
        <f>'TECH DATA ENTRY'!V221</f>
        <v>0</v>
      </c>
      <c r="AA193" s="217">
        <v>1</v>
      </c>
      <c r="AB193" s="218">
        <f t="shared" si="42"/>
        <v>0</v>
      </c>
      <c r="AC193" s="220">
        <f>'TECH DATA ENTRY'!W221</f>
        <v>0</v>
      </c>
      <c r="AD193" s="217">
        <v>1</v>
      </c>
      <c r="AE193" s="218">
        <f t="shared" si="43"/>
        <v>0</v>
      </c>
      <c r="AF193" s="220">
        <f>'TECH DATA ENTRY'!X221</f>
        <v>0</v>
      </c>
      <c r="AG193" s="217">
        <v>1</v>
      </c>
      <c r="AH193" s="218">
        <f t="shared" si="44"/>
        <v>0</v>
      </c>
      <c r="AI193" s="219" t="e">
        <f t="shared" si="45"/>
        <v>#VALUE!</v>
      </c>
      <c r="AJ193" s="221" t="str">
        <f>'TECH DATA ENTRY'!K221</f>
        <v/>
      </c>
      <c r="AK193" s="222" t="e">
        <f t="shared" si="46"/>
        <v>#VALUE!</v>
      </c>
      <c r="AL193" s="222" t="e">
        <f>VLOOKUP(AK193,'AUX TABLES'!A$2:B$29,2)</f>
        <v>#VALUE!</v>
      </c>
      <c r="AM193" s="223" t="str">
        <f>IF(OR(ISTEXT(B193)=TRUE,ISTEXT('TECH DATA ENTRY'!L221)=TRUE), "NA",AL193*AI193)</f>
        <v>NA</v>
      </c>
      <c r="AN193" s="79"/>
    </row>
    <row r="194" spans="1:40" s="80" customFormat="1" ht="20.149999999999999" customHeight="1">
      <c r="A194" s="216"/>
      <c r="B194" s="249">
        <f>'TECH DATA ENTRY'!B222</f>
        <v>0</v>
      </c>
      <c r="C194" s="217">
        <f>'TECH DATA ENTRY'!O222</f>
        <v>0</v>
      </c>
      <c r="D194" s="217">
        <v>1</v>
      </c>
      <c r="E194" s="218" t="e">
        <f t="shared" si="36"/>
        <v>#DIV/0!</v>
      </c>
      <c r="F194" s="217">
        <f>'TECH DATA ENTRY'!P222</f>
        <v>0</v>
      </c>
      <c r="G194" s="217">
        <v>1</v>
      </c>
      <c r="H194" s="218" t="e">
        <f t="shared" si="37"/>
        <v>#DIV/0!</v>
      </c>
      <c r="I194" s="219">
        <f>'TECH DATA ENTRY'!Q222</f>
        <v>0</v>
      </c>
      <c r="J194" s="219" t="str">
        <f>'TECH DATA ENTRY'!$G$26</f>
        <v>Digital</v>
      </c>
      <c r="K194" s="217">
        <v>1</v>
      </c>
      <c r="L194" s="218">
        <f t="shared" si="26"/>
        <v>0</v>
      </c>
      <c r="M194" s="219">
        <f>'TECH DATA ENTRY'!R222</f>
        <v>0</v>
      </c>
      <c r="N194" s="219" t="str">
        <f>'TECH DATA ENTRY'!$G$26</f>
        <v>Digital</v>
      </c>
      <c r="O194" s="217">
        <v>1</v>
      </c>
      <c r="P194" s="218">
        <f t="shared" si="38"/>
        <v>0</v>
      </c>
      <c r="Q194" s="220">
        <f>'TECH DATA ENTRY'!S222</f>
        <v>0</v>
      </c>
      <c r="R194" s="217">
        <v>1</v>
      </c>
      <c r="S194" s="218">
        <f t="shared" si="39"/>
        <v>0</v>
      </c>
      <c r="T194" s="220">
        <f>'TECH DATA ENTRY'!T222</f>
        <v>0</v>
      </c>
      <c r="U194" s="217">
        <v>1</v>
      </c>
      <c r="V194" s="218">
        <f t="shared" si="40"/>
        <v>0</v>
      </c>
      <c r="W194" s="220">
        <f>'TECH DATA ENTRY'!U222</f>
        <v>0</v>
      </c>
      <c r="X194" s="217">
        <v>1</v>
      </c>
      <c r="Y194" s="218">
        <f t="shared" si="41"/>
        <v>0</v>
      </c>
      <c r="Z194" s="220">
        <f>'TECH DATA ENTRY'!V222</f>
        <v>0</v>
      </c>
      <c r="AA194" s="217">
        <v>1</v>
      </c>
      <c r="AB194" s="218">
        <f t="shared" si="42"/>
        <v>0</v>
      </c>
      <c r="AC194" s="220">
        <f>'TECH DATA ENTRY'!W222</f>
        <v>0</v>
      </c>
      <c r="AD194" s="217">
        <v>1</v>
      </c>
      <c r="AE194" s="218">
        <f t="shared" si="43"/>
        <v>0</v>
      </c>
      <c r="AF194" s="220">
        <f>'TECH DATA ENTRY'!X222</f>
        <v>0</v>
      </c>
      <c r="AG194" s="217">
        <v>1</v>
      </c>
      <c r="AH194" s="218">
        <f t="shared" si="44"/>
        <v>0</v>
      </c>
      <c r="AI194" s="219" t="e">
        <f t="shared" si="45"/>
        <v>#DIV/0!</v>
      </c>
      <c r="AJ194" s="221">
        <f>'TECH DATA ENTRY'!K222</f>
        <v>0</v>
      </c>
      <c r="AK194" s="222" t="e">
        <f t="shared" si="46"/>
        <v>#DIV/0!</v>
      </c>
      <c r="AL194" s="222" t="e">
        <f>VLOOKUP(AK194,'AUX TABLES'!A$2:B$29,2)</f>
        <v>#DIV/0!</v>
      </c>
      <c r="AM194" s="223" t="e">
        <f>IF(OR(ISTEXT(B194)=TRUE,ISTEXT('TECH DATA ENTRY'!L222)=TRUE), "NA",AL194*AI194)</f>
        <v>#DIV/0!</v>
      </c>
      <c r="AN194" s="79"/>
    </row>
    <row r="195" spans="1:40" s="80" customFormat="1" ht="20.149999999999999" customHeight="1">
      <c r="A195" s="216"/>
      <c r="B195" s="249">
        <f>'TECH DATA ENTRY'!B223</f>
        <v>0</v>
      </c>
      <c r="C195" s="217">
        <f>'TECH DATA ENTRY'!O223</f>
        <v>0</v>
      </c>
      <c r="D195" s="217">
        <v>1</v>
      </c>
      <c r="E195" s="218" t="e">
        <f t="shared" si="36"/>
        <v>#DIV/0!</v>
      </c>
      <c r="F195" s="217">
        <f>'TECH DATA ENTRY'!P223</f>
        <v>0</v>
      </c>
      <c r="G195" s="217">
        <v>1</v>
      </c>
      <c r="H195" s="218" t="e">
        <f t="shared" si="37"/>
        <v>#DIV/0!</v>
      </c>
      <c r="I195" s="219">
        <f>'TECH DATA ENTRY'!Q223</f>
        <v>0</v>
      </c>
      <c r="J195" s="219" t="str">
        <f>'TECH DATA ENTRY'!$G$26</f>
        <v>Digital</v>
      </c>
      <c r="K195" s="217">
        <v>1</v>
      </c>
      <c r="L195" s="218">
        <f t="shared" si="26"/>
        <v>0</v>
      </c>
      <c r="M195" s="219">
        <f>'TECH DATA ENTRY'!R223</f>
        <v>0</v>
      </c>
      <c r="N195" s="219" t="str">
        <f>'TECH DATA ENTRY'!$G$26</f>
        <v>Digital</v>
      </c>
      <c r="O195" s="217">
        <v>1</v>
      </c>
      <c r="P195" s="218">
        <f t="shared" si="38"/>
        <v>0</v>
      </c>
      <c r="Q195" s="220">
        <f>'TECH DATA ENTRY'!S223</f>
        <v>0</v>
      </c>
      <c r="R195" s="217">
        <v>1</v>
      </c>
      <c r="S195" s="218">
        <f t="shared" si="39"/>
        <v>0</v>
      </c>
      <c r="T195" s="220">
        <f>'TECH DATA ENTRY'!T223</f>
        <v>0</v>
      </c>
      <c r="U195" s="217">
        <v>1</v>
      </c>
      <c r="V195" s="218">
        <f t="shared" si="40"/>
        <v>0</v>
      </c>
      <c r="W195" s="220">
        <f>'TECH DATA ENTRY'!U223</f>
        <v>0</v>
      </c>
      <c r="X195" s="217">
        <v>1</v>
      </c>
      <c r="Y195" s="218">
        <f t="shared" si="41"/>
        <v>0</v>
      </c>
      <c r="Z195" s="220">
        <f>'TECH DATA ENTRY'!V223</f>
        <v>0</v>
      </c>
      <c r="AA195" s="217">
        <v>1</v>
      </c>
      <c r="AB195" s="218">
        <f t="shared" si="42"/>
        <v>0</v>
      </c>
      <c r="AC195" s="220">
        <f>'TECH DATA ENTRY'!W223</f>
        <v>0</v>
      </c>
      <c r="AD195" s="217">
        <v>1</v>
      </c>
      <c r="AE195" s="218">
        <f t="shared" si="43"/>
        <v>0</v>
      </c>
      <c r="AF195" s="220">
        <f>'TECH DATA ENTRY'!X223</f>
        <v>0</v>
      </c>
      <c r="AG195" s="217">
        <v>1</v>
      </c>
      <c r="AH195" s="218">
        <f t="shared" si="44"/>
        <v>0</v>
      </c>
      <c r="AI195" s="219" t="e">
        <f t="shared" si="45"/>
        <v>#DIV/0!</v>
      </c>
      <c r="AJ195" s="221">
        <f>'TECH DATA ENTRY'!K223</f>
        <v>0</v>
      </c>
      <c r="AK195" s="222" t="e">
        <f t="shared" si="46"/>
        <v>#DIV/0!</v>
      </c>
      <c r="AL195" s="222" t="e">
        <f>VLOOKUP(AK195,'AUX TABLES'!A$2:B$29,2)</f>
        <v>#DIV/0!</v>
      </c>
      <c r="AM195" s="223" t="e">
        <f>IF(OR(ISTEXT(B195)=TRUE,ISTEXT('TECH DATA ENTRY'!L223)=TRUE), "NA",AL195*AI195)</f>
        <v>#DIV/0!</v>
      </c>
      <c r="AN195" s="79"/>
    </row>
    <row r="196" spans="1:40" s="80" customFormat="1" ht="20.149999999999999" customHeight="1">
      <c r="A196" s="216"/>
      <c r="B196" s="249">
        <f>'TECH DATA ENTRY'!B224</f>
        <v>0</v>
      </c>
      <c r="C196" s="217">
        <f>'TECH DATA ENTRY'!O224</f>
        <v>0</v>
      </c>
      <c r="D196" s="217">
        <v>1</v>
      </c>
      <c r="E196" s="218" t="e">
        <f t="shared" si="36"/>
        <v>#DIV/0!</v>
      </c>
      <c r="F196" s="217">
        <f>'TECH DATA ENTRY'!P224</f>
        <v>0</v>
      </c>
      <c r="G196" s="217">
        <v>1</v>
      </c>
      <c r="H196" s="218" t="e">
        <f t="shared" si="37"/>
        <v>#DIV/0!</v>
      </c>
      <c r="I196" s="219">
        <f>'TECH DATA ENTRY'!Q224</f>
        <v>0</v>
      </c>
      <c r="J196" s="219" t="str">
        <f>'TECH DATA ENTRY'!$G$26</f>
        <v>Digital</v>
      </c>
      <c r="K196" s="217">
        <v>1</v>
      </c>
      <c r="L196" s="218">
        <f t="shared" si="26"/>
        <v>0</v>
      </c>
      <c r="M196" s="219">
        <f>'TECH DATA ENTRY'!R224</f>
        <v>0</v>
      </c>
      <c r="N196" s="219" t="str">
        <f>'TECH DATA ENTRY'!$G$26</f>
        <v>Digital</v>
      </c>
      <c r="O196" s="217">
        <v>1</v>
      </c>
      <c r="P196" s="218">
        <f t="shared" si="38"/>
        <v>0</v>
      </c>
      <c r="Q196" s="220">
        <f>'TECH DATA ENTRY'!S224</f>
        <v>0</v>
      </c>
      <c r="R196" s="217">
        <v>1</v>
      </c>
      <c r="S196" s="218">
        <f t="shared" si="39"/>
        <v>0</v>
      </c>
      <c r="T196" s="220">
        <f>'TECH DATA ENTRY'!T224</f>
        <v>0</v>
      </c>
      <c r="U196" s="217">
        <v>1</v>
      </c>
      <c r="V196" s="218">
        <f t="shared" si="40"/>
        <v>0</v>
      </c>
      <c r="W196" s="220">
        <f>'TECH DATA ENTRY'!U224</f>
        <v>0</v>
      </c>
      <c r="X196" s="217">
        <v>1</v>
      </c>
      <c r="Y196" s="218">
        <f t="shared" si="41"/>
        <v>0</v>
      </c>
      <c r="Z196" s="220">
        <f>'TECH DATA ENTRY'!V224</f>
        <v>0</v>
      </c>
      <c r="AA196" s="217">
        <v>1</v>
      </c>
      <c r="AB196" s="218">
        <f t="shared" si="42"/>
        <v>0</v>
      </c>
      <c r="AC196" s="220">
        <f>'TECH DATA ENTRY'!W224</f>
        <v>0</v>
      </c>
      <c r="AD196" s="217">
        <v>1</v>
      </c>
      <c r="AE196" s="218">
        <f t="shared" si="43"/>
        <v>0</v>
      </c>
      <c r="AF196" s="220">
        <f>'TECH DATA ENTRY'!X224</f>
        <v>0</v>
      </c>
      <c r="AG196" s="217">
        <v>1</v>
      </c>
      <c r="AH196" s="218">
        <f t="shared" si="44"/>
        <v>0</v>
      </c>
      <c r="AI196" s="219" t="e">
        <f t="shared" si="45"/>
        <v>#DIV/0!</v>
      </c>
      <c r="AJ196" s="221">
        <f>'TECH DATA ENTRY'!K224</f>
        <v>0</v>
      </c>
      <c r="AK196" s="222" t="e">
        <f t="shared" si="46"/>
        <v>#DIV/0!</v>
      </c>
      <c r="AL196" s="222" t="e">
        <f>VLOOKUP(AK196,'AUX TABLES'!A$2:B$29,2)</f>
        <v>#DIV/0!</v>
      </c>
      <c r="AM196" s="223" t="e">
        <f>IF(OR(ISTEXT(B196)=TRUE,ISTEXT('TECH DATA ENTRY'!L224)=TRUE), "NA",AL196*AI196)</f>
        <v>#DIV/0!</v>
      </c>
      <c r="AN196" s="79"/>
    </row>
    <row r="197" spans="1:40" s="80" customFormat="1" ht="20.149999999999999" customHeight="1">
      <c r="A197" s="216"/>
      <c r="B197" s="249" t="str">
        <f>'TECH DATA ENTRY'!B225</f>
        <v>Nominal</v>
      </c>
      <c r="C197" s="217" t="str">
        <f>'TECH DATA ENTRY'!O225</f>
        <v>Uncertainty Components</v>
      </c>
      <c r="D197" s="217">
        <v>1</v>
      </c>
      <c r="E197" s="218" t="e">
        <f t="shared" si="36"/>
        <v>#VALUE!</v>
      </c>
      <c r="F197" s="217">
        <f>'TECH DATA ENTRY'!P225</f>
        <v>0</v>
      </c>
      <c r="G197" s="217">
        <v>1</v>
      </c>
      <c r="H197" s="218" t="e">
        <f t="shared" si="37"/>
        <v>#VALUE!</v>
      </c>
      <c r="I197" s="219">
        <f>'TECH DATA ENTRY'!Q225</f>
        <v>0</v>
      </c>
      <c r="J197" s="219" t="str">
        <f>'TECH DATA ENTRY'!$G$26</f>
        <v>Digital</v>
      </c>
      <c r="K197" s="217">
        <v>1</v>
      </c>
      <c r="L197" s="218">
        <f t="shared" si="26"/>
        <v>0</v>
      </c>
      <c r="M197" s="219">
        <f>'TECH DATA ENTRY'!R225</f>
        <v>0</v>
      </c>
      <c r="N197" s="219" t="str">
        <f>'TECH DATA ENTRY'!$G$26</f>
        <v>Digital</v>
      </c>
      <c r="O197" s="217">
        <v>1</v>
      </c>
      <c r="P197" s="218">
        <f t="shared" si="38"/>
        <v>0</v>
      </c>
      <c r="Q197" s="220">
        <f>'TECH DATA ENTRY'!S225</f>
        <v>0</v>
      </c>
      <c r="R197" s="217">
        <v>1</v>
      </c>
      <c r="S197" s="218">
        <f t="shared" si="39"/>
        <v>0</v>
      </c>
      <c r="T197" s="220">
        <f>'TECH DATA ENTRY'!T225</f>
        <v>0</v>
      </c>
      <c r="U197" s="217">
        <v>1</v>
      </c>
      <c r="V197" s="218">
        <f t="shared" si="40"/>
        <v>0</v>
      </c>
      <c r="W197" s="220">
        <f>'TECH DATA ENTRY'!U225</f>
        <v>0</v>
      </c>
      <c r="X197" s="217">
        <v>1</v>
      </c>
      <c r="Y197" s="218">
        <f t="shared" si="41"/>
        <v>0</v>
      </c>
      <c r="Z197" s="220">
        <f>'TECH DATA ENTRY'!V225</f>
        <v>0</v>
      </c>
      <c r="AA197" s="217">
        <v>1</v>
      </c>
      <c r="AB197" s="218">
        <f t="shared" si="42"/>
        <v>0</v>
      </c>
      <c r="AC197" s="220">
        <f>'TECH DATA ENTRY'!W225</f>
        <v>0</v>
      </c>
      <c r="AD197" s="217">
        <v>1</v>
      </c>
      <c r="AE197" s="218">
        <f t="shared" si="43"/>
        <v>0</v>
      </c>
      <c r="AF197" s="220">
        <f>'TECH DATA ENTRY'!X225</f>
        <v>0</v>
      </c>
      <c r="AG197" s="217">
        <v>1</v>
      </c>
      <c r="AH197" s="218">
        <f t="shared" si="44"/>
        <v>0</v>
      </c>
      <c r="AI197" s="219" t="e">
        <f t="shared" si="45"/>
        <v>#VALUE!</v>
      </c>
      <c r="AJ197" s="221" t="str">
        <f>'TECH DATA ENTRY'!K225</f>
        <v>n</v>
      </c>
      <c r="AK197" s="222" t="e">
        <f t="shared" si="46"/>
        <v>#VALUE!</v>
      </c>
      <c r="AL197" s="222" t="e">
        <f>VLOOKUP(AK197,'AUX TABLES'!A$2:B$29,2)</f>
        <v>#VALUE!</v>
      </c>
      <c r="AM197" s="223" t="str">
        <f>IF(OR(ISTEXT(B197)=TRUE,ISTEXT('TECH DATA ENTRY'!L225)=TRUE), "NA",AL197*AI197)</f>
        <v>NA</v>
      </c>
      <c r="AN197" s="79"/>
    </row>
    <row r="198" spans="1:40" s="80" customFormat="1" ht="20.149999999999999" customHeight="1">
      <c r="A198" s="216"/>
      <c r="B198" s="249">
        <f>'TECH DATA ENTRY'!B226</f>
        <v>0</v>
      </c>
      <c r="C198" s="217" t="str">
        <f>'TECH DATA ENTRY'!O226</f>
        <v>Stdev 1</v>
      </c>
      <c r="D198" s="217">
        <v>1</v>
      </c>
      <c r="E198" s="218" t="e">
        <f t="shared" si="36"/>
        <v>#VALUE!</v>
      </c>
      <c r="F198" s="217" t="str">
        <f>'TECH DATA ENTRY'!P226</f>
        <v>Stdev 2</v>
      </c>
      <c r="G198" s="217">
        <v>1</v>
      </c>
      <c r="H198" s="218" t="e">
        <f t="shared" si="37"/>
        <v>#VALUE!</v>
      </c>
      <c r="I198" s="219" t="str">
        <f>'TECH DATA ENTRY'!Q226</f>
        <v>Resolution 1</v>
      </c>
      <c r="J198" s="219" t="str">
        <f>'TECH DATA ENTRY'!$G$26</f>
        <v>Digital</v>
      </c>
      <c r="K198" s="217">
        <v>1</v>
      </c>
      <c r="L198" s="218" t="e">
        <f t="shared" si="26"/>
        <v>#VALUE!</v>
      </c>
      <c r="M198" s="219" t="str">
        <f>'TECH DATA ENTRY'!R226</f>
        <v>Resolution 2</v>
      </c>
      <c r="N198" s="219" t="str">
        <f>'TECH DATA ENTRY'!$G$26</f>
        <v>Digital</v>
      </c>
      <c r="O198" s="217">
        <v>1</v>
      </c>
      <c r="P198" s="218" t="e">
        <f t="shared" si="38"/>
        <v>#VALUE!</v>
      </c>
      <c r="Q198" s="220" t="str">
        <f>'TECH DATA ENTRY'!S226</f>
        <v>Scope Uncertainty</v>
      </c>
      <c r="R198" s="217">
        <v>1</v>
      </c>
      <c r="S198" s="218" t="e">
        <f t="shared" si="39"/>
        <v>#VALUE!</v>
      </c>
      <c r="T198" s="220" t="str">
        <f>'TECH DATA ENTRY'!T226</f>
        <v>STD 2 Cal Unc</v>
      </c>
      <c r="U198" s="217">
        <v>1</v>
      </c>
      <c r="V198" s="218" t="e">
        <f t="shared" si="40"/>
        <v>#VALUE!</v>
      </c>
      <c r="W198" s="220" t="str">
        <f>'TECH DATA ENTRY'!U226</f>
        <v>Others 1</v>
      </c>
      <c r="X198" s="217">
        <v>1</v>
      </c>
      <c r="Y198" s="218" t="e">
        <f t="shared" si="41"/>
        <v>#VALUE!</v>
      </c>
      <c r="Z198" s="220" t="str">
        <f>'TECH DATA ENTRY'!V226</f>
        <v>Others 2</v>
      </c>
      <c r="AA198" s="217">
        <v>1</v>
      </c>
      <c r="AB198" s="218" t="e">
        <f t="shared" si="42"/>
        <v>#VALUE!</v>
      </c>
      <c r="AC198" s="220" t="str">
        <f>'TECH DATA ENTRY'!W226</f>
        <v>Others 3</v>
      </c>
      <c r="AD198" s="217">
        <v>1</v>
      </c>
      <c r="AE198" s="218" t="e">
        <f t="shared" si="43"/>
        <v>#VALUE!</v>
      </c>
      <c r="AF198" s="220" t="str">
        <f>'TECH DATA ENTRY'!X226</f>
        <v>Others 4</v>
      </c>
      <c r="AG198" s="217">
        <v>1</v>
      </c>
      <c r="AH198" s="218" t="e">
        <f t="shared" si="44"/>
        <v>#VALUE!</v>
      </c>
      <c r="AI198" s="219" t="e">
        <f t="shared" si="45"/>
        <v>#VALUE!</v>
      </c>
      <c r="AJ198" s="221">
        <f>'TECH DATA ENTRY'!K226</f>
        <v>0</v>
      </c>
      <c r="AK198" s="222" t="e">
        <f t="shared" si="46"/>
        <v>#VALUE!</v>
      </c>
      <c r="AL198" s="222" t="e">
        <f>VLOOKUP(AK198,'AUX TABLES'!A$2:B$29,2)</f>
        <v>#VALUE!</v>
      </c>
      <c r="AM198" s="223" t="e">
        <f>IF(OR(ISTEXT(B198)=TRUE,ISTEXT('TECH DATA ENTRY'!L226)=TRUE), "NA",AL198*AI198)</f>
        <v>#VALUE!</v>
      </c>
      <c r="AN198" s="79"/>
    </row>
    <row r="199" spans="1:40" s="80" customFormat="1" ht="20.149999999999999" customHeight="1">
      <c r="A199" s="216"/>
      <c r="B199" s="249">
        <f>'TECH DATA ENTRY'!B227</f>
        <v>0</v>
      </c>
      <c r="C199" s="217" t="str">
        <f>'TECH DATA ENTRY'!O227</f>
        <v/>
      </c>
      <c r="D199" s="217">
        <v>1</v>
      </c>
      <c r="E199" s="218" t="e">
        <f t="shared" si="36"/>
        <v>#VALUE!</v>
      </c>
      <c r="F199" s="217">
        <f>'TECH DATA ENTRY'!P227</f>
        <v>0</v>
      </c>
      <c r="G199" s="217">
        <v>1</v>
      </c>
      <c r="H199" s="218" t="e">
        <f t="shared" si="37"/>
        <v>#VALUE!</v>
      </c>
      <c r="I199" s="219">
        <f>'TECH DATA ENTRY'!Q227</f>
        <v>1.0000000000000001E-5</v>
      </c>
      <c r="J199" s="219" t="str">
        <f>'TECH DATA ENTRY'!$G$26</f>
        <v>Digital</v>
      </c>
      <c r="K199" s="217">
        <v>1</v>
      </c>
      <c r="L199" s="218">
        <f t="shared" si="26"/>
        <v>2.8867513459481293E-6</v>
      </c>
      <c r="M199" s="219">
        <f>'TECH DATA ENTRY'!R227</f>
        <v>0</v>
      </c>
      <c r="N199" s="219" t="str">
        <f>'TECH DATA ENTRY'!$G$26</f>
        <v>Digital</v>
      </c>
      <c r="O199" s="217">
        <v>1</v>
      </c>
      <c r="P199" s="218">
        <f t="shared" si="38"/>
        <v>0</v>
      </c>
      <c r="Q199" s="220">
        <f>'TECH DATA ENTRY'!S227</f>
        <v>4.0000000000000003E-5</v>
      </c>
      <c r="R199" s="217">
        <v>1</v>
      </c>
      <c r="S199" s="218">
        <f t="shared" si="39"/>
        <v>2.0000000000000002E-5</v>
      </c>
      <c r="T199" s="220">
        <f>'TECH DATA ENTRY'!T227</f>
        <v>0</v>
      </c>
      <c r="U199" s="217">
        <v>1</v>
      </c>
      <c r="V199" s="218">
        <f t="shared" si="40"/>
        <v>0</v>
      </c>
      <c r="W199" s="220">
        <f>'TECH DATA ENTRY'!U227</f>
        <v>0</v>
      </c>
      <c r="X199" s="217">
        <v>1</v>
      </c>
      <c r="Y199" s="218">
        <f t="shared" si="41"/>
        <v>0</v>
      </c>
      <c r="Z199" s="220">
        <f>'TECH DATA ENTRY'!V227</f>
        <v>0</v>
      </c>
      <c r="AA199" s="217">
        <v>1</v>
      </c>
      <c r="AB199" s="218">
        <f t="shared" si="42"/>
        <v>0</v>
      </c>
      <c r="AC199" s="220">
        <f>'TECH DATA ENTRY'!W227</f>
        <v>0</v>
      </c>
      <c r="AD199" s="217">
        <v>1</v>
      </c>
      <c r="AE199" s="218">
        <f t="shared" si="43"/>
        <v>0</v>
      </c>
      <c r="AF199" s="220">
        <f>'TECH DATA ENTRY'!X227</f>
        <v>0</v>
      </c>
      <c r="AG199" s="217">
        <v>1</v>
      </c>
      <c r="AH199" s="218">
        <f t="shared" si="44"/>
        <v>0</v>
      </c>
      <c r="AI199" s="219" t="e">
        <f t="shared" si="45"/>
        <v>#VALUE!</v>
      </c>
      <c r="AJ199" s="221" t="str">
        <f>'TECH DATA ENTRY'!K227</f>
        <v/>
      </c>
      <c r="AK199" s="222" t="e">
        <f t="shared" si="46"/>
        <v>#VALUE!</v>
      </c>
      <c r="AL199" s="222" t="e">
        <f>VLOOKUP(AK199,'AUX TABLES'!A$2:B$29,2)</f>
        <v>#VALUE!</v>
      </c>
      <c r="AM199" s="223" t="str">
        <f>IF(OR(ISTEXT(B199)=TRUE,ISTEXT('TECH DATA ENTRY'!L227)=TRUE), "NA",AL199*AI199)</f>
        <v>NA</v>
      </c>
      <c r="AN199" s="79"/>
    </row>
    <row r="200" spans="1:40" s="80" customFormat="1" ht="20.149999999999999" customHeight="1">
      <c r="A200" s="216"/>
      <c r="B200" s="249">
        <f>'TECH DATA ENTRY'!B228</f>
        <v>10</v>
      </c>
      <c r="C200" s="217" t="str">
        <f>'TECH DATA ENTRY'!O228</f>
        <v/>
      </c>
      <c r="D200" s="217">
        <v>1</v>
      </c>
      <c r="E200" s="218" t="e">
        <f t="shared" si="36"/>
        <v>#VALUE!</v>
      </c>
      <c r="F200" s="217">
        <f>'TECH DATA ENTRY'!P228</f>
        <v>0</v>
      </c>
      <c r="G200" s="217">
        <v>1</v>
      </c>
      <c r="H200" s="218" t="e">
        <f t="shared" si="37"/>
        <v>#VALUE!</v>
      </c>
      <c r="I200" s="219">
        <f>'TECH DATA ENTRY'!Q228</f>
        <v>1.0000000000000001E-5</v>
      </c>
      <c r="J200" s="219" t="str">
        <f>'TECH DATA ENTRY'!$G$26</f>
        <v>Digital</v>
      </c>
      <c r="K200" s="217">
        <v>1</v>
      </c>
      <c r="L200" s="218">
        <f t="shared" si="26"/>
        <v>2.8867513459481293E-6</v>
      </c>
      <c r="M200" s="219">
        <f>'TECH DATA ENTRY'!R228</f>
        <v>0</v>
      </c>
      <c r="N200" s="219" t="str">
        <f>'TECH DATA ENTRY'!$G$26</f>
        <v>Digital</v>
      </c>
      <c r="O200" s="217">
        <v>1</v>
      </c>
      <c r="P200" s="218">
        <f t="shared" si="38"/>
        <v>0</v>
      </c>
      <c r="Q200" s="220">
        <f>'TECH DATA ENTRY'!S228</f>
        <v>8.299999999999999E-4</v>
      </c>
      <c r="R200" s="217">
        <v>1</v>
      </c>
      <c r="S200" s="218">
        <f t="shared" si="39"/>
        <v>4.1499999999999995E-4</v>
      </c>
      <c r="T200" s="220">
        <f>'TECH DATA ENTRY'!T228</f>
        <v>0</v>
      </c>
      <c r="U200" s="217">
        <v>1</v>
      </c>
      <c r="V200" s="218">
        <f t="shared" si="40"/>
        <v>0</v>
      </c>
      <c r="W200" s="220">
        <f>'TECH DATA ENTRY'!U228</f>
        <v>0</v>
      </c>
      <c r="X200" s="217">
        <v>1</v>
      </c>
      <c r="Y200" s="218">
        <f t="shared" si="41"/>
        <v>0</v>
      </c>
      <c r="Z200" s="220">
        <f>'TECH DATA ENTRY'!V228</f>
        <v>0</v>
      </c>
      <c r="AA200" s="217">
        <v>1</v>
      </c>
      <c r="AB200" s="218">
        <f t="shared" si="42"/>
        <v>0</v>
      </c>
      <c r="AC200" s="220">
        <f>'TECH DATA ENTRY'!W228</f>
        <v>0</v>
      </c>
      <c r="AD200" s="217">
        <v>1</v>
      </c>
      <c r="AE200" s="218">
        <f t="shared" si="43"/>
        <v>0</v>
      </c>
      <c r="AF200" s="220">
        <f>'TECH DATA ENTRY'!X228</f>
        <v>0</v>
      </c>
      <c r="AG200" s="217">
        <v>1</v>
      </c>
      <c r="AH200" s="218">
        <f t="shared" si="44"/>
        <v>0</v>
      </c>
      <c r="AI200" s="219" t="e">
        <f t="shared" si="45"/>
        <v>#VALUE!</v>
      </c>
      <c r="AJ200" s="221" t="str">
        <f>'TECH DATA ENTRY'!K228</f>
        <v/>
      </c>
      <c r="AK200" s="222" t="e">
        <f t="shared" si="46"/>
        <v>#VALUE!</v>
      </c>
      <c r="AL200" s="222" t="e">
        <f>VLOOKUP(AK200,'AUX TABLES'!A$2:B$29,2)</f>
        <v>#VALUE!</v>
      </c>
      <c r="AM200" s="223" t="str">
        <f>IF(OR(ISTEXT(B200)=TRUE,ISTEXT('TECH DATA ENTRY'!L228)=TRUE), "NA",AL200*AI200)</f>
        <v>NA</v>
      </c>
      <c r="AN200" s="79"/>
    </row>
    <row r="201" spans="1:40" s="80" customFormat="1" ht="20.149999999999999" customHeight="1">
      <c r="A201" s="216"/>
      <c r="B201" s="249">
        <f>'TECH DATA ENTRY'!B229</f>
        <v>-10</v>
      </c>
      <c r="C201" s="217" t="str">
        <f>'TECH DATA ENTRY'!O229</f>
        <v/>
      </c>
      <c r="D201" s="217">
        <v>1</v>
      </c>
      <c r="E201" s="218" t="e">
        <f t="shared" si="36"/>
        <v>#VALUE!</v>
      </c>
      <c r="F201" s="217">
        <f>'TECH DATA ENTRY'!P229</f>
        <v>0</v>
      </c>
      <c r="G201" s="217">
        <v>1</v>
      </c>
      <c r="H201" s="218" t="e">
        <f t="shared" si="37"/>
        <v>#VALUE!</v>
      </c>
      <c r="I201" s="219">
        <f>'TECH DATA ENTRY'!Q229</f>
        <v>1.0000000000000001E-5</v>
      </c>
      <c r="J201" s="219" t="str">
        <f>'TECH DATA ENTRY'!$G$26</f>
        <v>Digital</v>
      </c>
      <c r="K201" s="217">
        <v>1</v>
      </c>
      <c r="L201" s="218">
        <f t="shared" ref="L201:L264" si="47">IF(J201="Digital",I201/2/SQRT(3),I201/5/SQRT(3))*K201</f>
        <v>2.8867513459481293E-6</v>
      </c>
      <c r="M201" s="219">
        <f>'TECH DATA ENTRY'!R229</f>
        <v>0</v>
      </c>
      <c r="N201" s="219" t="str">
        <f>'TECH DATA ENTRY'!$G$26</f>
        <v>Digital</v>
      </c>
      <c r="O201" s="217">
        <v>1</v>
      </c>
      <c r="P201" s="218">
        <f t="shared" si="38"/>
        <v>0</v>
      </c>
      <c r="Q201" s="220">
        <f>'TECH DATA ENTRY'!S229</f>
        <v>8.299999999999999E-4</v>
      </c>
      <c r="R201" s="217">
        <v>1</v>
      </c>
      <c r="S201" s="218">
        <f t="shared" si="39"/>
        <v>4.1499999999999995E-4</v>
      </c>
      <c r="T201" s="220">
        <f>'TECH DATA ENTRY'!T229</f>
        <v>0</v>
      </c>
      <c r="U201" s="217">
        <v>1</v>
      </c>
      <c r="V201" s="218">
        <f t="shared" si="40"/>
        <v>0</v>
      </c>
      <c r="W201" s="220">
        <f>'TECH DATA ENTRY'!U229</f>
        <v>0</v>
      </c>
      <c r="X201" s="217">
        <v>1</v>
      </c>
      <c r="Y201" s="218">
        <f t="shared" si="41"/>
        <v>0</v>
      </c>
      <c r="Z201" s="220">
        <f>'TECH DATA ENTRY'!V229</f>
        <v>0</v>
      </c>
      <c r="AA201" s="217">
        <v>1</v>
      </c>
      <c r="AB201" s="218">
        <f t="shared" si="42"/>
        <v>0</v>
      </c>
      <c r="AC201" s="220">
        <f>'TECH DATA ENTRY'!W229</f>
        <v>0</v>
      </c>
      <c r="AD201" s="217">
        <v>1</v>
      </c>
      <c r="AE201" s="218">
        <f t="shared" si="43"/>
        <v>0</v>
      </c>
      <c r="AF201" s="220">
        <f>'TECH DATA ENTRY'!X229</f>
        <v>0</v>
      </c>
      <c r="AG201" s="217">
        <v>1</v>
      </c>
      <c r="AH201" s="218">
        <f t="shared" si="44"/>
        <v>0</v>
      </c>
      <c r="AI201" s="219" t="e">
        <f t="shared" si="45"/>
        <v>#VALUE!</v>
      </c>
      <c r="AJ201" s="221" t="str">
        <f>'TECH DATA ENTRY'!K229</f>
        <v/>
      </c>
      <c r="AK201" s="222" t="e">
        <f t="shared" si="46"/>
        <v>#VALUE!</v>
      </c>
      <c r="AL201" s="222" t="e">
        <f>VLOOKUP(AK201,'AUX TABLES'!A$2:B$29,2)</f>
        <v>#VALUE!</v>
      </c>
      <c r="AM201" s="223" t="str">
        <f>IF(OR(ISTEXT(B201)=TRUE,ISTEXT('TECH DATA ENTRY'!L229)=TRUE), "NA",AL201*AI201)</f>
        <v>NA</v>
      </c>
      <c r="AN201" s="79"/>
    </row>
    <row r="202" spans="1:40" s="80" customFormat="1" ht="20.149999999999999" customHeight="1">
      <c r="A202" s="216"/>
      <c r="B202" s="249">
        <f>'TECH DATA ENTRY'!B230</f>
        <v>0</v>
      </c>
      <c r="C202" s="217">
        <f>'TECH DATA ENTRY'!O230</f>
        <v>0</v>
      </c>
      <c r="D202" s="217">
        <v>1</v>
      </c>
      <c r="E202" s="218" t="e">
        <f t="shared" si="36"/>
        <v>#DIV/0!</v>
      </c>
      <c r="F202" s="217">
        <f>'TECH DATA ENTRY'!P230</f>
        <v>0</v>
      </c>
      <c r="G202" s="217">
        <v>1</v>
      </c>
      <c r="H202" s="218" t="e">
        <f t="shared" si="37"/>
        <v>#DIV/0!</v>
      </c>
      <c r="I202" s="219">
        <f>'TECH DATA ENTRY'!Q230</f>
        <v>0</v>
      </c>
      <c r="J202" s="219" t="str">
        <f>'TECH DATA ENTRY'!$G$26</f>
        <v>Digital</v>
      </c>
      <c r="K202" s="217">
        <v>1</v>
      </c>
      <c r="L202" s="218">
        <f t="shared" si="47"/>
        <v>0</v>
      </c>
      <c r="M202" s="219">
        <f>'TECH DATA ENTRY'!R230</f>
        <v>0</v>
      </c>
      <c r="N202" s="219" t="str">
        <f>'TECH DATA ENTRY'!$G$26</f>
        <v>Digital</v>
      </c>
      <c r="O202" s="217">
        <v>1</v>
      </c>
      <c r="P202" s="218">
        <f t="shared" si="38"/>
        <v>0</v>
      </c>
      <c r="Q202" s="220">
        <f>'TECH DATA ENTRY'!S230</f>
        <v>0</v>
      </c>
      <c r="R202" s="217">
        <v>1</v>
      </c>
      <c r="S202" s="218">
        <f t="shared" si="39"/>
        <v>0</v>
      </c>
      <c r="T202" s="220">
        <f>'TECH DATA ENTRY'!T230</f>
        <v>0</v>
      </c>
      <c r="U202" s="217">
        <v>1</v>
      </c>
      <c r="V202" s="218">
        <f t="shared" si="40"/>
        <v>0</v>
      </c>
      <c r="W202" s="220">
        <f>'TECH DATA ENTRY'!U230</f>
        <v>0</v>
      </c>
      <c r="X202" s="217">
        <v>1</v>
      </c>
      <c r="Y202" s="218">
        <f t="shared" si="41"/>
        <v>0</v>
      </c>
      <c r="Z202" s="220">
        <f>'TECH DATA ENTRY'!V230</f>
        <v>0</v>
      </c>
      <c r="AA202" s="217">
        <v>1</v>
      </c>
      <c r="AB202" s="218">
        <f t="shared" si="42"/>
        <v>0</v>
      </c>
      <c r="AC202" s="220">
        <f>'TECH DATA ENTRY'!W230</f>
        <v>0</v>
      </c>
      <c r="AD202" s="217">
        <v>1</v>
      </c>
      <c r="AE202" s="218">
        <f t="shared" si="43"/>
        <v>0</v>
      </c>
      <c r="AF202" s="220">
        <f>'TECH DATA ENTRY'!X230</f>
        <v>0</v>
      </c>
      <c r="AG202" s="217">
        <v>1</v>
      </c>
      <c r="AH202" s="218">
        <f t="shared" si="44"/>
        <v>0</v>
      </c>
      <c r="AI202" s="219" t="e">
        <f t="shared" si="45"/>
        <v>#DIV/0!</v>
      </c>
      <c r="AJ202" s="221">
        <f>'TECH DATA ENTRY'!K230</f>
        <v>0</v>
      </c>
      <c r="AK202" s="222" t="e">
        <f t="shared" si="46"/>
        <v>#DIV/0!</v>
      </c>
      <c r="AL202" s="222" t="e">
        <f>VLOOKUP(AK202,'AUX TABLES'!A$2:B$29,2)</f>
        <v>#DIV/0!</v>
      </c>
      <c r="AM202" s="223" t="e">
        <f>IF(OR(ISTEXT(B202)=TRUE,ISTEXT('TECH DATA ENTRY'!L230)=TRUE), "NA",AL202*AI202)</f>
        <v>#DIV/0!</v>
      </c>
      <c r="AN202" s="79"/>
    </row>
    <row r="203" spans="1:40" s="80" customFormat="1" ht="20.149999999999999" customHeight="1">
      <c r="A203" s="216"/>
      <c r="B203" s="249">
        <f>'TECH DATA ENTRY'!B231</f>
        <v>0</v>
      </c>
      <c r="C203" s="217">
        <f>'TECH DATA ENTRY'!O231</f>
        <v>0</v>
      </c>
      <c r="D203" s="217">
        <v>1</v>
      </c>
      <c r="E203" s="218" t="e">
        <f t="shared" si="36"/>
        <v>#DIV/0!</v>
      </c>
      <c r="F203" s="217">
        <f>'TECH DATA ENTRY'!P231</f>
        <v>0</v>
      </c>
      <c r="G203" s="217">
        <v>1</v>
      </c>
      <c r="H203" s="218" t="e">
        <f t="shared" si="37"/>
        <v>#DIV/0!</v>
      </c>
      <c r="I203" s="219">
        <f>'TECH DATA ENTRY'!Q231</f>
        <v>0</v>
      </c>
      <c r="J203" s="219" t="str">
        <f>'TECH DATA ENTRY'!$G$26</f>
        <v>Digital</v>
      </c>
      <c r="K203" s="217">
        <v>1</v>
      </c>
      <c r="L203" s="218">
        <f t="shared" si="47"/>
        <v>0</v>
      </c>
      <c r="M203" s="219">
        <f>'TECH DATA ENTRY'!R231</f>
        <v>0</v>
      </c>
      <c r="N203" s="219" t="str">
        <f>'TECH DATA ENTRY'!$G$26</f>
        <v>Digital</v>
      </c>
      <c r="O203" s="217">
        <v>1</v>
      </c>
      <c r="P203" s="218">
        <f t="shared" si="38"/>
        <v>0</v>
      </c>
      <c r="Q203" s="220">
        <f>'TECH DATA ENTRY'!S231</f>
        <v>0</v>
      </c>
      <c r="R203" s="217">
        <v>1</v>
      </c>
      <c r="S203" s="218">
        <f t="shared" si="39"/>
        <v>0</v>
      </c>
      <c r="T203" s="220">
        <f>'TECH DATA ENTRY'!T231</f>
        <v>0</v>
      </c>
      <c r="U203" s="217">
        <v>1</v>
      </c>
      <c r="V203" s="218">
        <f t="shared" si="40"/>
        <v>0</v>
      </c>
      <c r="W203" s="220">
        <f>'TECH DATA ENTRY'!U231</f>
        <v>0</v>
      </c>
      <c r="X203" s="217">
        <v>1</v>
      </c>
      <c r="Y203" s="218">
        <f t="shared" si="41"/>
        <v>0</v>
      </c>
      <c r="Z203" s="220">
        <f>'TECH DATA ENTRY'!V231</f>
        <v>0</v>
      </c>
      <c r="AA203" s="217">
        <v>1</v>
      </c>
      <c r="AB203" s="218">
        <f t="shared" si="42"/>
        <v>0</v>
      </c>
      <c r="AC203" s="220">
        <f>'TECH DATA ENTRY'!W231</f>
        <v>0</v>
      </c>
      <c r="AD203" s="217">
        <v>1</v>
      </c>
      <c r="AE203" s="218">
        <f t="shared" si="43"/>
        <v>0</v>
      </c>
      <c r="AF203" s="220">
        <f>'TECH DATA ENTRY'!X231</f>
        <v>0</v>
      </c>
      <c r="AG203" s="217">
        <v>1</v>
      </c>
      <c r="AH203" s="218">
        <f t="shared" si="44"/>
        <v>0</v>
      </c>
      <c r="AI203" s="219" t="e">
        <f t="shared" si="45"/>
        <v>#DIV/0!</v>
      </c>
      <c r="AJ203" s="221">
        <f>'TECH DATA ENTRY'!K231</f>
        <v>0</v>
      </c>
      <c r="AK203" s="222" t="e">
        <f t="shared" si="46"/>
        <v>#DIV/0!</v>
      </c>
      <c r="AL203" s="222" t="e">
        <f>VLOOKUP(AK203,'AUX TABLES'!A$2:B$29,2)</f>
        <v>#DIV/0!</v>
      </c>
      <c r="AM203" s="223" t="e">
        <f>IF(OR(ISTEXT(B203)=TRUE,ISTEXT('TECH DATA ENTRY'!L231)=TRUE), "NA",AL203*AI203)</f>
        <v>#DIV/0!</v>
      </c>
      <c r="AN203" s="79"/>
    </row>
    <row r="204" spans="1:40" s="80" customFormat="1" ht="20.149999999999999" customHeight="1">
      <c r="A204" s="216"/>
      <c r="B204" s="249">
        <f>'TECH DATA ENTRY'!B232</f>
        <v>0</v>
      </c>
      <c r="C204" s="217">
        <f>'TECH DATA ENTRY'!O232</f>
        <v>0</v>
      </c>
      <c r="D204" s="217">
        <v>1</v>
      </c>
      <c r="E204" s="218" t="e">
        <f t="shared" si="36"/>
        <v>#DIV/0!</v>
      </c>
      <c r="F204" s="217">
        <f>'TECH DATA ENTRY'!P232</f>
        <v>0</v>
      </c>
      <c r="G204" s="217">
        <v>1</v>
      </c>
      <c r="H204" s="218" t="e">
        <f t="shared" si="37"/>
        <v>#DIV/0!</v>
      </c>
      <c r="I204" s="219">
        <f>'TECH DATA ENTRY'!Q232</f>
        <v>0</v>
      </c>
      <c r="J204" s="219" t="str">
        <f>'TECH DATA ENTRY'!$G$26</f>
        <v>Digital</v>
      </c>
      <c r="K204" s="217">
        <v>1</v>
      </c>
      <c r="L204" s="218">
        <f t="shared" si="47"/>
        <v>0</v>
      </c>
      <c r="M204" s="219">
        <f>'TECH DATA ENTRY'!R232</f>
        <v>0</v>
      </c>
      <c r="N204" s="219" t="str">
        <f>'TECH DATA ENTRY'!$G$26</f>
        <v>Digital</v>
      </c>
      <c r="O204" s="217">
        <v>1</v>
      </c>
      <c r="P204" s="218">
        <f t="shared" si="38"/>
        <v>0</v>
      </c>
      <c r="Q204" s="220">
        <f>'TECH DATA ENTRY'!S232</f>
        <v>0</v>
      </c>
      <c r="R204" s="217">
        <v>1</v>
      </c>
      <c r="S204" s="218">
        <f t="shared" si="39"/>
        <v>0</v>
      </c>
      <c r="T204" s="220">
        <f>'TECH DATA ENTRY'!T232</f>
        <v>0</v>
      </c>
      <c r="U204" s="217">
        <v>1</v>
      </c>
      <c r="V204" s="218">
        <f t="shared" si="40"/>
        <v>0</v>
      </c>
      <c r="W204" s="220">
        <f>'TECH DATA ENTRY'!U232</f>
        <v>0</v>
      </c>
      <c r="X204" s="217">
        <v>1</v>
      </c>
      <c r="Y204" s="218">
        <f t="shared" si="41"/>
        <v>0</v>
      </c>
      <c r="Z204" s="220">
        <f>'TECH DATA ENTRY'!V232</f>
        <v>0</v>
      </c>
      <c r="AA204" s="217">
        <v>1</v>
      </c>
      <c r="AB204" s="218">
        <f t="shared" si="42"/>
        <v>0</v>
      </c>
      <c r="AC204" s="220">
        <f>'TECH DATA ENTRY'!W232</f>
        <v>0</v>
      </c>
      <c r="AD204" s="217">
        <v>1</v>
      </c>
      <c r="AE204" s="218">
        <f t="shared" si="43"/>
        <v>0</v>
      </c>
      <c r="AF204" s="220">
        <f>'TECH DATA ENTRY'!X232</f>
        <v>0</v>
      </c>
      <c r="AG204" s="217">
        <v>1</v>
      </c>
      <c r="AH204" s="218">
        <f t="shared" si="44"/>
        <v>0</v>
      </c>
      <c r="AI204" s="219" t="e">
        <f t="shared" si="45"/>
        <v>#DIV/0!</v>
      </c>
      <c r="AJ204" s="221">
        <f>'TECH DATA ENTRY'!K232</f>
        <v>0</v>
      </c>
      <c r="AK204" s="222" t="e">
        <f t="shared" si="46"/>
        <v>#DIV/0!</v>
      </c>
      <c r="AL204" s="222" t="e">
        <f>VLOOKUP(AK204,'AUX TABLES'!A$2:B$29,2)</f>
        <v>#DIV/0!</v>
      </c>
      <c r="AM204" s="223" t="e">
        <f>IF(OR(ISTEXT(B204)=TRUE,ISTEXT('TECH DATA ENTRY'!L232)=TRUE), "NA",AL204*AI204)</f>
        <v>#DIV/0!</v>
      </c>
      <c r="AN204" s="79"/>
    </row>
    <row r="205" spans="1:40" s="80" customFormat="1" ht="20.149999999999999" customHeight="1">
      <c r="A205" s="216"/>
      <c r="B205" s="249" t="str">
        <f>'TECH DATA ENTRY'!B233</f>
        <v>Nominal</v>
      </c>
      <c r="C205" s="217" t="str">
        <f>'TECH DATA ENTRY'!O233</f>
        <v>Uncertainty Components</v>
      </c>
      <c r="D205" s="217">
        <v>1</v>
      </c>
      <c r="E205" s="218" t="e">
        <f t="shared" si="36"/>
        <v>#VALUE!</v>
      </c>
      <c r="F205" s="217">
        <f>'TECH DATA ENTRY'!P233</f>
        <v>0</v>
      </c>
      <c r="G205" s="217">
        <v>1</v>
      </c>
      <c r="H205" s="218" t="e">
        <f t="shared" si="37"/>
        <v>#VALUE!</v>
      </c>
      <c r="I205" s="219">
        <f>'TECH DATA ENTRY'!Q233</f>
        <v>0</v>
      </c>
      <c r="J205" s="219" t="str">
        <f>'TECH DATA ENTRY'!$G$26</f>
        <v>Digital</v>
      </c>
      <c r="K205" s="217">
        <v>1</v>
      </c>
      <c r="L205" s="218">
        <f t="shared" si="47"/>
        <v>0</v>
      </c>
      <c r="M205" s="219">
        <f>'TECH DATA ENTRY'!R233</f>
        <v>0</v>
      </c>
      <c r="N205" s="219" t="str">
        <f>'TECH DATA ENTRY'!$G$26</f>
        <v>Digital</v>
      </c>
      <c r="O205" s="217">
        <v>1</v>
      </c>
      <c r="P205" s="218">
        <f t="shared" si="38"/>
        <v>0</v>
      </c>
      <c r="Q205" s="220">
        <f>'TECH DATA ENTRY'!S233</f>
        <v>0</v>
      </c>
      <c r="R205" s="217">
        <v>1</v>
      </c>
      <c r="S205" s="218">
        <f t="shared" si="39"/>
        <v>0</v>
      </c>
      <c r="T205" s="220">
        <f>'TECH DATA ENTRY'!T233</f>
        <v>0</v>
      </c>
      <c r="U205" s="217">
        <v>1</v>
      </c>
      <c r="V205" s="218">
        <f t="shared" si="40"/>
        <v>0</v>
      </c>
      <c r="W205" s="220">
        <f>'TECH DATA ENTRY'!U233</f>
        <v>0</v>
      </c>
      <c r="X205" s="217">
        <v>1</v>
      </c>
      <c r="Y205" s="218">
        <f t="shared" si="41"/>
        <v>0</v>
      </c>
      <c r="Z205" s="220">
        <f>'TECH DATA ENTRY'!V233</f>
        <v>0</v>
      </c>
      <c r="AA205" s="217">
        <v>1</v>
      </c>
      <c r="AB205" s="218">
        <f t="shared" si="42"/>
        <v>0</v>
      </c>
      <c r="AC205" s="220">
        <f>'TECH DATA ENTRY'!W233</f>
        <v>0</v>
      </c>
      <c r="AD205" s="217">
        <v>1</v>
      </c>
      <c r="AE205" s="218">
        <f t="shared" si="43"/>
        <v>0</v>
      </c>
      <c r="AF205" s="220">
        <f>'TECH DATA ENTRY'!X233</f>
        <v>0</v>
      </c>
      <c r="AG205" s="217">
        <v>1</v>
      </c>
      <c r="AH205" s="218">
        <f t="shared" si="44"/>
        <v>0</v>
      </c>
      <c r="AI205" s="219" t="e">
        <f t="shared" si="45"/>
        <v>#VALUE!</v>
      </c>
      <c r="AJ205" s="221" t="str">
        <f>'TECH DATA ENTRY'!K233</f>
        <v>n</v>
      </c>
      <c r="AK205" s="222" t="e">
        <f t="shared" si="46"/>
        <v>#VALUE!</v>
      </c>
      <c r="AL205" s="222" t="e">
        <f>VLOOKUP(AK205,'AUX TABLES'!A$2:B$29,2)</f>
        <v>#VALUE!</v>
      </c>
      <c r="AM205" s="223" t="str">
        <f>IF(OR(ISTEXT(B205)=TRUE,ISTEXT('TECH DATA ENTRY'!L233)=TRUE), "NA",AL205*AI205)</f>
        <v>NA</v>
      </c>
      <c r="AN205" s="79"/>
    </row>
    <row r="206" spans="1:40" s="80" customFormat="1" ht="20.149999999999999" customHeight="1">
      <c r="A206" s="216"/>
      <c r="B206" s="249">
        <f>'TECH DATA ENTRY'!B234</f>
        <v>0</v>
      </c>
      <c r="C206" s="217" t="str">
        <f>'TECH DATA ENTRY'!O234</f>
        <v>Stdev 1</v>
      </c>
      <c r="D206" s="217">
        <v>1</v>
      </c>
      <c r="E206" s="218" t="e">
        <f t="shared" si="36"/>
        <v>#VALUE!</v>
      </c>
      <c r="F206" s="217" t="str">
        <f>'TECH DATA ENTRY'!P234</f>
        <v>Stdev 2</v>
      </c>
      <c r="G206" s="217">
        <v>1</v>
      </c>
      <c r="H206" s="218" t="e">
        <f t="shared" si="37"/>
        <v>#VALUE!</v>
      </c>
      <c r="I206" s="219" t="str">
        <f>'TECH DATA ENTRY'!Q234</f>
        <v>Resolution 1</v>
      </c>
      <c r="J206" s="219" t="str">
        <f>'TECH DATA ENTRY'!$G$26</f>
        <v>Digital</v>
      </c>
      <c r="K206" s="217">
        <v>1</v>
      </c>
      <c r="L206" s="218" t="e">
        <f t="shared" si="47"/>
        <v>#VALUE!</v>
      </c>
      <c r="M206" s="219" t="str">
        <f>'TECH DATA ENTRY'!R234</f>
        <v>Resolution 2</v>
      </c>
      <c r="N206" s="219" t="str">
        <f>'TECH DATA ENTRY'!$G$26</f>
        <v>Digital</v>
      </c>
      <c r="O206" s="217">
        <v>1</v>
      </c>
      <c r="P206" s="218" t="e">
        <f t="shared" si="38"/>
        <v>#VALUE!</v>
      </c>
      <c r="Q206" s="220" t="str">
        <f>'TECH DATA ENTRY'!S234</f>
        <v>Scope Uncertainty</v>
      </c>
      <c r="R206" s="217">
        <v>1</v>
      </c>
      <c r="S206" s="218" t="e">
        <f t="shared" si="39"/>
        <v>#VALUE!</v>
      </c>
      <c r="T206" s="220" t="str">
        <f>'TECH DATA ENTRY'!T234</f>
        <v>STD 2 Cal Unc</v>
      </c>
      <c r="U206" s="217">
        <v>1</v>
      </c>
      <c r="V206" s="218" t="e">
        <f t="shared" si="40"/>
        <v>#VALUE!</v>
      </c>
      <c r="W206" s="220" t="str">
        <f>'TECH DATA ENTRY'!U234</f>
        <v>Others 1</v>
      </c>
      <c r="X206" s="217">
        <v>1</v>
      </c>
      <c r="Y206" s="218" t="e">
        <f t="shared" si="41"/>
        <v>#VALUE!</v>
      </c>
      <c r="Z206" s="220" t="str">
        <f>'TECH DATA ENTRY'!V234</f>
        <v>Others 2</v>
      </c>
      <c r="AA206" s="217">
        <v>1</v>
      </c>
      <c r="AB206" s="218" t="e">
        <f t="shared" si="42"/>
        <v>#VALUE!</v>
      </c>
      <c r="AC206" s="220" t="str">
        <f>'TECH DATA ENTRY'!W234</f>
        <v>Others 3</v>
      </c>
      <c r="AD206" s="217">
        <v>1</v>
      </c>
      <c r="AE206" s="218" t="e">
        <f t="shared" si="43"/>
        <v>#VALUE!</v>
      </c>
      <c r="AF206" s="220" t="str">
        <f>'TECH DATA ENTRY'!X234</f>
        <v>Others 4</v>
      </c>
      <c r="AG206" s="217">
        <v>1</v>
      </c>
      <c r="AH206" s="218" t="e">
        <f t="shared" si="44"/>
        <v>#VALUE!</v>
      </c>
      <c r="AI206" s="219" t="e">
        <f t="shared" si="45"/>
        <v>#VALUE!</v>
      </c>
      <c r="AJ206" s="221">
        <f>'TECH DATA ENTRY'!K234</f>
        <v>0</v>
      </c>
      <c r="AK206" s="222" t="e">
        <f t="shared" si="46"/>
        <v>#VALUE!</v>
      </c>
      <c r="AL206" s="222" t="e">
        <f>VLOOKUP(AK206,'AUX TABLES'!A$2:B$29,2)</f>
        <v>#VALUE!</v>
      </c>
      <c r="AM206" s="223" t="e">
        <f>IF(OR(ISTEXT(B206)=TRUE,ISTEXT('TECH DATA ENTRY'!L234)=TRUE), "NA",AL206*AI206)</f>
        <v>#VALUE!</v>
      </c>
      <c r="AN206" s="79"/>
    </row>
    <row r="207" spans="1:40" s="80" customFormat="1" ht="20.149999999999999" customHeight="1">
      <c r="A207" s="216"/>
      <c r="B207" s="249">
        <f>'TECH DATA ENTRY'!B235</f>
        <v>0</v>
      </c>
      <c r="C207" s="217" t="str">
        <f>'TECH DATA ENTRY'!O235</f>
        <v/>
      </c>
      <c r="D207" s="217">
        <v>1</v>
      </c>
      <c r="E207" s="218" t="e">
        <f t="shared" si="36"/>
        <v>#VALUE!</v>
      </c>
      <c r="F207" s="217">
        <f>'TECH DATA ENTRY'!P235</f>
        <v>0</v>
      </c>
      <c r="G207" s="217">
        <v>1</v>
      </c>
      <c r="H207" s="218" t="e">
        <f t="shared" si="37"/>
        <v>#VALUE!</v>
      </c>
      <c r="I207" s="219">
        <f>'TECH DATA ENTRY'!Q235</f>
        <v>1E-4</v>
      </c>
      <c r="J207" s="219" t="str">
        <f>'TECH DATA ENTRY'!$G$26</f>
        <v>Digital</v>
      </c>
      <c r="K207" s="217">
        <v>1</v>
      </c>
      <c r="L207" s="218">
        <f t="shared" si="47"/>
        <v>2.8867513459481293E-5</v>
      </c>
      <c r="M207" s="219">
        <f>'TECH DATA ENTRY'!R235</f>
        <v>0</v>
      </c>
      <c r="N207" s="219" t="str">
        <f>'TECH DATA ENTRY'!$G$26</f>
        <v>Digital</v>
      </c>
      <c r="O207" s="217">
        <v>1</v>
      </c>
      <c r="P207" s="218">
        <f t="shared" si="38"/>
        <v>0</v>
      </c>
      <c r="Q207" s="220">
        <f>'TECH DATA ENTRY'!S235</f>
        <v>6.9999999999999999E-4</v>
      </c>
      <c r="R207" s="217">
        <v>1</v>
      </c>
      <c r="S207" s="218">
        <f t="shared" si="39"/>
        <v>3.5E-4</v>
      </c>
      <c r="T207" s="220">
        <f>'TECH DATA ENTRY'!T235</f>
        <v>0</v>
      </c>
      <c r="U207" s="217">
        <v>1</v>
      </c>
      <c r="V207" s="218">
        <f t="shared" si="40"/>
        <v>0</v>
      </c>
      <c r="W207" s="220">
        <f>'TECH DATA ENTRY'!U235</f>
        <v>0</v>
      </c>
      <c r="X207" s="217">
        <v>1</v>
      </c>
      <c r="Y207" s="218">
        <f t="shared" si="41"/>
        <v>0</v>
      </c>
      <c r="Z207" s="220">
        <f>'TECH DATA ENTRY'!V235</f>
        <v>0</v>
      </c>
      <c r="AA207" s="217">
        <v>1</v>
      </c>
      <c r="AB207" s="218">
        <f t="shared" si="42"/>
        <v>0</v>
      </c>
      <c r="AC207" s="220">
        <f>'TECH DATA ENTRY'!W235</f>
        <v>0</v>
      </c>
      <c r="AD207" s="217">
        <v>1</v>
      </c>
      <c r="AE207" s="218">
        <f t="shared" si="43"/>
        <v>0</v>
      </c>
      <c r="AF207" s="220">
        <f>'TECH DATA ENTRY'!X235</f>
        <v>0</v>
      </c>
      <c r="AG207" s="217">
        <v>1</v>
      </c>
      <c r="AH207" s="218">
        <f t="shared" si="44"/>
        <v>0</v>
      </c>
      <c r="AI207" s="219" t="e">
        <f t="shared" si="45"/>
        <v>#VALUE!</v>
      </c>
      <c r="AJ207" s="221" t="str">
        <f>'TECH DATA ENTRY'!K235</f>
        <v/>
      </c>
      <c r="AK207" s="222" t="e">
        <f t="shared" si="46"/>
        <v>#VALUE!</v>
      </c>
      <c r="AL207" s="222" t="e">
        <f>VLOOKUP(AK207,'AUX TABLES'!A$2:B$29,2)</f>
        <v>#VALUE!</v>
      </c>
      <c r="AM207" s="223" t="str">
        <f>IF(OR(ISTEXT(B207)=TRUE,ISTEXT('TECH DATA ENTRY'!L235)=TRUE), "NA",AL207*AI207)</f>
        <v>NA</v>
      </c>
      <c r="AN207" s="79"/>
    </row>
    <row r="208" spans="1:40" s="80" customFormat="1" ht="20.149999999999999" customHeight="1">
      <c r="A208" s="216"/>
      <c r="B208" s="249">
        <f>'TECH DATA ENTRY'!B236</f>
        <v>100</v>
      </c>
      <c r="C208" s="217" t="str">
        <f>'TECH DATA ENTRY'!O236</f>
        <v/>
      </c>
      <c r="D208" s="217">
        <v>1</v>
      </c>
      <c r="E208" s="218" t="e">
        <f t="shared" si="36"/>
        <v>#VALUE!</v>
      </c>
      <c r="F208" s="217">
        <f>'TECH DATA ENTRY'!P236</f>
        <v>0</v>
      </c>
      <c r="G208" s="217">
        <v>1</v>
      </c>
      <c r="H208" s="218" t="e">
        <f t="shared" si="37"/>
        <v>#VALUE!</v>
      </c>
      <c r="I208" s="219">
        <f>'TECH DATA ENTRY'!Q236</f>
        <v>1E-4</v>
      </c>
      <c r="J208" s="219" t="str">
        <f>'TECH DATA ENTRY'!$G$26</f>
        <v>Digital</v>
      </c>
      <c r="K208" s="217">
        <v>1</v>
      </c>
      <c r="L208" s="218">
        <f t="shared" si="47"/>
        <v>2.8867513459481293E-5</v>
      </c>
      <c r="M208" s="219">
        <f>'TECH DATA ENTRY'!R236</f>
        <v>0</v>
      </c>
      <c r="N208" s="219" t="str">
        <f>'TECH DATA ENTRY'!$G$26</f>
        <v>Digital</v>
      </c>
      <c r="O208" s="217">
        <v>1</v>
      </c>
      <c r="P208" s="218">
        <f t="shared" si="38"/>
        <v>0</v>
      </c>
      <c r="Q208" s="220">
        <f>'TECH DATA ENTRY'!S236</f>
        <v>5.8000000000000005E-3</v>
      </c>
      <c r="R208" s="217">
        <v>1</v>
      </c>
      <c r="S208" s="218">
        <f t="shared" si="39"/>
        <v>2.9000000000000002E-3</v>
      </c>
      <c r="T208" s="220">
        <f>'TECH DATA ENTRY'!T236</f>
        <v>0</v>
      </c>
      <c r="U208" s="217">
        <v>1</v>
      </c>
      <c r="V208" s="218">
        <f t="shared" si="40"/>
        <v>0</v>
      </c>
      <c r="W208" s="220">
        <f>'TECH DATA ENTRY'!U236</f>
        <v>0</v>
      </c>
      <c r="X208" s="217">
        <v>1</v>
      </c>
      <c r="Y208" s="218">
        <f t="shared" si="41"/>
        <v>0</v>
      </c>
      <c r="Z208" s="220">
        <f>'TECH DATA ENTRY'!V236</f>
        <v>0</v>
      </c>
      <c r="AA208" s="217">
        <v>1</v>
      </c>
      <c r="AB208" s="218">
        <f t="shared" si="42"/>
        <v>0</v>
      </c>
      <c r="AC208" s="220">
        <f>'TECH DATA ENTRY'!W236</f>
        <v>0</v>
      </c>
      <c r="AD208" s="217">
        <v>1</v>
      </c>
      <c r="AE208" s="218">
        <f t="shared" si="43"/>
        <v>0</v>
      </c>
      <c r="AF208" s="220">
        <f>'TECH DATA ENTRY'!X236</f>
        <v>0</v>
      </c>
      <c r="AG208" s="217">
        <v>1</v>
      </c>
      <c r="AH208" s="218">
        <f t="shared" si="44"/>
        <v>0</v>
      </c>
      <c r="AI208" s="219" t="e">
        <f t="shared" si="45"/>
        <v>#VALUE!</v>
      </c>
      <c r="AJ208" s="221" t="str">
        <f>'TECH DATA ENTRY'!K236</f>
        <v/>
      </c>
      <c r="AK208" s="222" t="e">
        <f t="shared" si="46"/>
        <v>#VALUE!</v>
      </c>
      <c r="AL208" s="222" t="e">
        <f>VLOOKUP(AK208,'AUX TABLES'!A$2:B$29,2)</f>
        <v>#VALUE!</v>
      </c>
      <c r="AM208" s="223" t="str">
        <f>IF(OR(ISTEXT(B208)=TRUE,ISTEXT('TECH DATA ENTRY'!L236)=TRUE), "NA",AL208*AI208)</f>
        <v>NA</v>
      </c>
      <c r="AN208" s="79"/>
    </row>
    <row r="209" spans="1:40" s="80" customFormat="1" ht="20.149999999999999" customHeight="1">
      <c r="A209" s="216"/>
      <c r="B209" s="249">
        <f>'TECH DATA ENTRY'!B237</f>
        <v>-100</v>
      </c>
      <c r="C209" s="217" t="str">
        <f>'TECH DATA ENTRY'!O237</f>
        <v/>
      </c>
      <c r="D209" s="217">
        <v>1</v>
      </c>
      <c r="E209" s="218" t="e">
        <f t="shared" si="36"/>
        <v>#VALUE!</v>
      </c>
      <c r="F209" s="217">
        <f>'TECH DATA ENTRY'!P237</f>
        <v>0</v>
      </c>
      <c r="G209" s="217">
        <v>1</v>
      </c>
      <c r="H209" s="218" t="e">
        <f t="shared" si="37"/>
        <v>#VALUE!</v>
      </c>
      <c r="I209" s="219">
        <f>'TECH DATA ENTRY'!Q237</f>
        <v>1E-4</v>
      </c>
      <c r="J209" s="219" t="str">
        <f>'TECH DATA ENTRY'!$G$26</f>
        <v>Digital</v>
      </c>
      <c r="K209" s="217">
        <v>1</v>
      </c>
      <c r="L209" s="218">
        <f t="shared" si="47"/>
        <v>2.8867513459481293E-5</v>
      </c>
      <c r="M209" s="219">
        <f>'TECH DATA ENTRY'!R237</f>
        <v>0</v>
      </c>
      <c r="N209" s="219" t="str">
        <f>'TECH DATA ENTRY'!$G$26</f>
        <v>Digital</v>
      </c>
      <c r="O209" s="217">
        <v>1</v>
      </c>
      <c r="P209" s="218">
        <f t="shared" si="38"/>
        <v>0</v>
      </c>
      <c r="Q209" s="220">
        <f>'TECH DATA ENTRY'!S237</f>
        <v>5.8000000000000005E-3</v>
      </c>
      <c r="R209" s="217">
        <v>1</v>
      </c>
      <c r="S209" s="218">
        <f t="shared" si="39"/>
        <v>2.9000000000000002E-3</v>
      </c>
      <c r="T209" s="220">
        <f>'TECH DATA ENTRY'!T237</f>
        <v>0</v>
      </c>
      <c r="U209" s="217">
        <v>1</v>
      </c>
      <c r="V209" s="218">
        <f t="shared" si="40"/>
        <v>0</v>
      </c>
      <c r="W209" s="220">
        <f>'TECH DATA ENTRY'!U237</f>
        <v>0</v>
      </c>
      <c r="X209" s="217">
        <v>1</v>
      </c>
      <c r="Y209" s="218">
        <f t="shared" si="41"/>
        <v>0</v>
      </c>
      <c r="Z209" s="220">
        <f>'TECH DATA ENTRY'!V237</f>
        <v>0</v>
      </c>
      <c r="AA209" s="217">
        <v>1</v>
      </c>
      <c r="AB209" s="218">
        <f t="shared" si="42"/>
        <v>0</v>
      </c>
      <c r="AC209" s="220">
        <f>'TECH DATA ENTRY'!W237</f>
        <v>0</v>
      </c>
      <c r="AD209" s="217">
        <v>1</v>
      </c>
      <c r="AE209" s="218">
        <f t="shared" si="43"/>
        <v>0</v>
      </c>
      <c r="AF209" s="220">
        <f>'TECH DATA ENTRY'!X237</f>
        <v>0</v>
      </c>
      <c r="AG209" s="217">
        <v>1</v>
      </c>
      <c r="AH209" s="218">
        <f t="shared" si="44"/>
        <v>0</v>
      </c>
      <c r="AI209" s="219" t="e">
        <f t="shared" si="45"/>
        <v>#VALUE!</v>
      </c>
      <c r="AJ209" s="221" t="str">
        <f>'TECH DATA ENTRY'!K237</f>
        <v/>
      </c>
      <c r="AK209" s="222" t="e">
        <f t="shared" si="46"/>
        <v>#VALUE!</v>
      </c>
      <c r="AL209" s="222" t="e">
        <f>VLOOKUP(AK209,'AUX TABLES'!A$2:B$29,2)</f>
        <v>#VALUE!</v>
      </c>
      <c r="AM209" s="223" t="str">
        <f>IF(OR(ISTEXT(B209)=TRUE,ISTEXT('TECH DATA ENTRY'!L237)=TRUE), "NA",AL209*AI209)</f>
        <v>NA</v>
      </c>
      <c r="AN209" s="79"/>
    </row>
    <row r="210" spans="1:40" s="80" customFormat="1" ht="20.149999999999999" customHeight="1">
      <c r="A210" s="216"/>
      <c r="B210" s="249">
        <f>'TECH DATA ENTRY'!B238</f>
        <v>0</v>
      </c>
      <c r="C210" s="217">
        <f>'TECH DATA ENTRY'!O238</f>
        <v>0</v>
      </c>
      <c r="D210" s="217">
        <v>1</v>
      </c>
      <c r="E210" s="218" t="e">
        <f t="shared" si="36"/>
        <v>#DIV/0!</v>
      </c>
      <c r="F210" s="217">
        <f>'TECH DATA ENTRY'!P238</f>
        <v>0</v>
      </c>
      <c r="G210" s="217">
        <v>1</v>
      </c>
      <c r="H210" s="218" t="e">
        <f t="shared" si="37"/>
        <v>#DIV/0!</v>
      </c>
      <c r="I210" s="219">
        <f>'TECH DATA ENTRY'!Q238</f>
        <v>0</v>
      </c>
      <c r="J210" s="219" t="str">
        <f>'TECH DATA ENTRY'!$G$26</f>
        <v>Digital</v>
      </c>
      <c r="K210" s="217">
        <v>1</v>
      </c>
      <c r="L210" s="218">
        <f t="shared" si="47"/>
        <v>0</v>
      </c>
      <c r="M210" s="219">
        <f>'TECH DATA ENTRY'!R238</f>
        <v>0</v>
      </c>
      <c r="N210" s="219" t="str">
        <f>'TECH DATA ENTRY'!$G$26</f>
        <v>Digital</v>
      </c>
      <c r="O210" s="217">
        <v>1</v>
      </c>
      <c r="P210" s="218">
        <f t="shared" si="38"/>
        <v>0</v>
      </c>
      <c r="Q210" s="220">
        <f>'TECH DATA ENTRY'!S238</f>
        <v>0</v>
      </c>
      <c r="R210" s="217">
        <v>1</v>
      </c>
      <c r="S210" s="218">
        <f t="shared" si="39"/>
        <v>0</v>
      </c>
      <c r="T210" s="220">
        <f>'TECH DATA ENTRY'!T238</f>
        <v>0</v>
      </c>
      <c r="U210" s="217">
        <v>1</v>
      </c>
      <c r="V210" s="218">
        <f t="shared" si="40"/>
        <v>0</v>
      </c>
      <c r="W210" s="220">
        <f>'TECH DATA ENTRY'!U238</f>
        <v>0</v>
      </c>
      <c r="X210" s="217">
        <v>1</v>
      </c>
      <c r="Y210" s="218">
        <f t="shared" si="41"/>
        <v>0</v>
      </c>
      <c r="Z210" s="220">
        <f>'TECH DATA ENTRY'!V238</f>
        <v>0</v>
      </c>
      <c r="AA210" s="217">
        <v>1</v>
      </c>
      <c r="AB210" s="218">
        <f t="shared" si="42"/>
        <v>0</v>
      </c>
      <c r="AC210" s="220">
        <f>'TECH DATA ENTRY'!W238</f>
        <v>0</v>
      </c>
      <c r="AD210" s="217">
        <v>1</v>
      </c>
      <c r="AE210" s="218">
        <f t="shared" si="43"/>
        <v>0</v>
      </c>
      <c r="AF210" s="220">
        <f>'TECH DATA ENTRY'!X238</f>
        <v>0</v>
      </c>
      <c r="AG210" s="217">
        <v>1</v>
      </c>
      <c r="AH210" s="218">
        <f t="shared" si="44"/>
        <v>0</v>
      </c>
      <c r="AI210" s="219" t="e">
        <f t="shared" si="45"/>
        <v>#DIV/0!</v>
      </c>
      <c r="AJ210" s="221">
        <f>'TECH DATA ENTRY'!K238</f>
        <v>0</v>
      </c>
      <c r="AK210" s="222" t="e">
        <f t="shared" si="46"/>
        <v>#DIV/0!</v>
      </c>
      <c r="AL210" s="222" t="e">
        <f>VLOOKUP(AK210,'AUX TABLES'!A$2:B$29,2)</f>
        <v>#DIV/0!</v>
      </c>
      <c r="AM210" s="223" t="e">
        <f>IF(OR(ISTEXT(B210)=TRUE,ISTEXT('TECH DATA ENTRY'!L238)=TRUE), "NA",AL210*AI210)</f>
        <v>#DIV/0!</v>
      </c>
      <c r="AN210" s="79"/>
    </row>
    <row r="211" spans="1:40" s="80" customFormat="1" ht="20.149999999999999" customHeight="1">
      <c r="A211" s="216"/>
      <c r="B211" s="249">
        <f>'TECH DATA ENTRY'!B239</f>
        <v>0</v>
      </c>
      <c r="C211" s="217">
        <f>'TECH DATA ENTRY'!O239</f>
        <v>0</v>
      </c>
      <c r="D211" s="217">
        <v>1</v>
      </c>
      <c r="E211" s="218" t="e">
        <f t="shared" si="36"/>
        <v>#DIV/0!</v>
      </c>
      <c r="F211" s="217">
        <f>'TECH DATA ENTRY'!P239</f>
        <v>0</v>
      </c>
      <c r="G211" s="217">
        <v>1</v>
      </c>
      <c r="H211" s="218" t="e">
        <f t="shared" si="37"/>
        <v>#DIV/0!</v>
      </c>
      <c r="I211" s="219">
        <f>'TECH DATA ENTRY'!Q239</f>
        <v>0</v>
      </c>
      <c r="J211" s="219" t="str">
        <f>'TECH DATA ENTRY'!$G$26</f>
        <v>Digital</v>
      </c>
      <c r="K211" s="217">
        <v>1</v>
      </c>
      <c r="L211" s="218">
        <f t="shared" si="47"/>
        <v>0</v>
      </c>
      <c r="M211" s="219">
        <f>'TECH DATA ENTRY'!R239</f>
        <v>0</v>
      </c>
      <c r="N211" s="219" t="str">
        <f>'TECH DATA ENTRY'!$G$26</f>
        <v>Digital</v>
      </c>
      <c r="O211" s="217">
        <v>1</v>
      </c>
      <c r="P211" s="218">
        <f t="shared" si="38"/>
        <v>0</v>
      </c>
      <c r="Q211" s="220">
        <f>'TECH DATA ENTRY'!S239</f>
        <v>0</v>
      </c>
      <c r="R211" s="217">
        <v>1</v>
      </c>
      <c r="S211" s="218">
        <f t="shared" si="39"/>
        <v>0</v>
      </c>
      <c r="T211" s="220">
        <f>'TECH DATA ENTRY'!T239</f>
        <v>0</v>
      </c>
      <c r="U211" s="217">
        <v>1</v>
      </c>
      <c r="V211" s="218">
        <f t="shared" si="40"/>
        <v>0</v>
      </c>
      <c r="W211" s="220">
        <f>'TECH DATA ENTRY'!U239</f>
        <v>0</v>
      </c>
      <c r="X211" s="217">
        <v>1</v>
      </c>
      <c r="Y211" s="218">
        <f t="shared" si="41"/>
        <v>0</v>
      </c>
      <c r="Z211" s="220">
        <f>'TECH DATA ENTRY'!V239</f>
        <v>0</v>
      </c>
      <c r="AA211" s="217">
        <v>1</v>
      </c>
      <c r="AB211" s="218">
        <f t="shared" si="42"/>
        <v>0</v>
      </c>
      <c r="AC211" s="220">
        <f>'TECH DATA ENTRY'!W239</f>
        <v>0</v>
      </c>
      <c r="AD211" s="217">
        <v>1</v>
      </c>
      <c r="AE211" s="218">
        <f t="shared" si="43"/>
        <v>0</v>
      </c>
      <c r="AF211" s="220">
        <f>'TECH DATA ENTRY'!X239</f>
        <v>0</v>
      </c>
      <c r="AG211" s="217">
        <v>1</v>
      </c>
      <c r="AH211" s="218">
        <f t="shared" si="44"/>
        <v>0</v>
      </c>
      <c r="AI211" s="219" t="e">
        <f t="shared" si="45"/>
        <v>#DIV/0!</v>
      </c>
      <c r="AJ211" s="221">
        <f>'TECH DATA ENTRY'!K239</f>
        <v>0</v>
      </c>
      <c r="AK211" s="222" t="e">
        <f t="shared" si="46"/>
        <v>#DIV/0!</v>
      </c>
      <c r="AL211" s="222" t="e">
        <f>VLOOKUP(AK211,'AUX TABLES'!A$2:B$29,2)</f>
        <v>#DIV/0!</v>
      </c>
      <c r="AM211" s="223" t="e">
        <f>IF(OR(ISTEXT(B211)=TRUE,ISTEXT('TECH DATA ENTRY'!L239)=TRUE), "NA",AL211*AI211)</f>
        <v>#DIV/0!</v>
      </c>
      <c r="AN211" s="79"/>
    </row>
    <row r="212" spans="1:40" s="80" customFormat="1" ht="20.149999999999999" customHeight="1">
      <c r="A212" s="216"/>
      <c r="B212" s="249">
        <f>'TECH DATA ENTRY'!B240</f>
        <v>0</v>
      </c>
      <c r="C212" s="217">
        <f>'TECH DATA ENTRY'!O240</f>
        <v>0</v>
      </c>
      <c r="D212" s="217">
        <v>1</v>
      </c>
      <c r="E212" s="218" t="e">
        <f t="shared" si="36"/>
        <v>#DIV/0!</v>
      </c>
      <c r="F212" s="217">
        <f>'TECH DATA ENTRY'!P240</f>
        <v>0</v>
      </c>
      <c r="G212" s="217">
        <v>1</v>
      </c>
      <c r="H212" s="218" t="e">
        <f t="shared" si="37"/>
        <v>#DIV/0!</v>
      </c>
      <c r="I212" s="219">
        <f>'TECH DATA ENTRY'!Q240</f>
        <v>0</v>
      </c>
      <c r="J212" s="219" t="str">
        <f>'TECH DATA ENTRY'!$G$26</f>
        <v>Digital</v>
      </c>
      <c r="K212" s="217">
        <v>1</v>
      </c>
      <c r="L212" s="218">
        <f t="shared" si="47"/>
        <v>0</v>
      </c>
      <c r="M212" s="219">
        <f>'TECH DATA ENTRY'!R240</f>
        <v>0</v>
      </c>
      <c r="N212" s="219" t="str">
        <f>'TECH DATA ENTRY'!$G$26</f>
        <v>Digital</v>
      </c>
      <c r="O212" s="217">
        <v>1</v>
      </c>
      <c r="P212" s="218">
        <f t="shared" si="38"/>
        <v>0</v>
      </c>
      <c r="Q212" s="220">
        <f>'TECH DATA ENTRY'!S240</f>
        <v>0</v>
      </c>
      <c r="R212" s="217">
        <v>1</v>
      </c>
      <c r="S212" s="218">
        <f t="shared" si="39"/>
        <v>0</v>
      </c>
      <c r="T212" s="220">
        <f>'TECH DATA ENTRY'!T240</f>
        <v>0</v>
      </c>
      <c r="U212" s="217">
        <v>1</v>
      </c>
      <c r="V212" s="218">
        <f t="shared" si="40"/>
        <v>0</v>
      </c>
      <c r="W212" s="220">
        <f>'TECH DATA ENTRY'!U240</f>
        <v>0</v>
      </c>
      <c r="X212" s="217">
        <v>1</v>
      </c>
      <c r="Y212" s="218">
        <f t="shared" si="41"/>
        <v>0</v>
      </c>
      <c r="Z212" s="220">
        <f>'TECH DATA ENTRY'!V240</f>
        <v>0</v>
      </c>
      <c r="AA212" s="217">
        <v>1</v>
      </c>
      <c r="AB212" s="218">
        <f t="shared" si="42"/>
        <v>0</v>
      </c>
      <c r="AC212" s="220">
        <f>'TECH DATA ENTRY'!W240</f>
        <v>0</v>
      </c>
      <c r="AD212" s="217">
        <v>1</v>
      </c>
      <c r="AE212" s="218">
        <f t="shared" si="43"/>
        <v>0</v>
      </c>
      <c r="AF212" s="220">
        <f>'TECH DATA ENTRY'!X240</f>
        <v>0</v>
      </c>
      <c r="AG212" s="217">
        <v>1</v>
      </c>
      <c r="AH212" s="218">
        <f t="shared" si="44"/>
        <v>0</v>
      </c>
      <c r="AI212" s="219" t="e">
        <f t="shared" si="45"/>
        <v>#DIV/0!</v>
      </c>
      <c r="AJ212" s="221">
        <f>'TECH DATA ENTRY'!K240</f>
        <v>0</v>
      </c>
      <c r="AK212" s="222" t="e">
        <f t="shared" si="46"/>
        <v>#DIV/0!</v>
      </c>
      <c r="AL212" s="222" t="e">
        <f>VLOOKUP(AK212,'AUX TABLES'!A$2:B$29,2)</f>
        <v>#DIV/0!</v>
      </c>
      <c r="AM212" s="223" t="e">
        <f>IF(OR(ISTEXT(B212)=TRUE,ISTEXT('TECH DATA ENTRY'!L240)=TRUE), "NA",AL212*AI212)</f>
        <v>#DIV/0!</v>
      </c>
      <c r="AN212" s="79"/>
    </row>
    <row r="213" spans="1:40" s="80" customFormat="1" ht="20.149999999999999" customHeight="1">
      <c r="A213" s="216"/>
      <c r="B213" s="249" t="str">
        <f>'TECH DATA ENTRY'!B241</f>
        <v>Nominal</v>
      </c>
      <c r="C213" s="217" t="str">
        <f>'TECH DATA ENTRY'!O241</f>
        <v>Uncertainty Components</v>
      </c>
      <c r="D213" s="217">
        <v>1</v>
      </c>
      <c r="E213" s="218" t="e">
        <f t="shared" si="36"/>
        <v>#VALUE!</v>
      </c>
      <c r="F213" s="217">
        <f>'TECH DATA ENTRY'!P241</f>
        <v>0</v>
      </c>
      <c r="G213" s="217">
        <v>1</v>
      </c>
      <c r="H213" s="218" t="e">
        <f t="shared" si="37"/>
        <v>#VALUE!</v>
      </c>
      <c r="I213" s="219">
        <f>'TECH DATA ENTRY'!Q241</f>
        <v>0</v>
      </c>
      <c r="J213" s="219" t="str">
        <f>'TECH DATA ENTRY'!$G$26</f>
        <v>Digital</v>
      </c>
      <c r="K213" s="217">
        <v>1</v>
      </c>
      <c r="L213" s="218">
        <f t="shared" si="47"/>
        <v>0</v>
      </c>
      <c r="M213" s="219">
        <f>'TECH DATA ENTRY'!R241</f>
        <v>0</v>
      </c>
      <c r="N213" s="219" t="str">
        <f>'TECH DATA ENTRY'!$G$26</f>
        <v>Digital</v>
      </c>
      <c r="O213" s="217">
        <v>1</v>
      </c>
      <c r="P213" s="218">
        <f t="shared" si="38"/>
        <v>0</v>
      </c>
      <c r="Q213" s="220">
        <f>'TECH DATA ENTRY'!S241</f>
        <v>0</v>
      </c>
      <c r="R213" s="217">
        <v>1</v>
      </c>
      <c r="S213" s="218">
        <f t="shared" si="39"/>
        <v>0</v>
      </c>
      <c r="T213" s="220">
        <f>'TECH DATA ENTRY'!T241</f>
        <v>0</v>
      </c>
      <c r="U213" s="217">
        <v>1</v>
      </c>
      <c r="V213" s="218">
        <f t="shared" si="40"/>
        <v>0</v>
      </c>
      <c r="W213" s="220">
        <f>'TECH DATA ENTRY'!U241</f>
        <v>0</v>
      </c>
      <c r="X213" s="217">
        <v>1</v>
      </c>
      <c r="Y213" s="218">
        <f t="shared" si="41"/>
        <v>0</v>
      </c>
      <c r="Z213" s="220">
        <f>'TECH DATA ENTRY'!V241</f>
        <v>0</v>
      </c>
      <c r="AA213" s="217">
        <v>1</v>
      </c>
      <c r="AB213" s="218">
        <f t="shared" si="42"/>
        <v>0</v>
      </c>
      <c r="AC213" s="220">
        <f>'TECH DATA ENTRY'!W241</f>
        <v>0</v>
      </c>
      <c r="AD213" s="217">
        <v>1</v>
      </c>
      <c r="AE213" s="218">
        <f t="shared" si="43"/>
        <v>0</v>
      </c>
      <c r="AF213" s="220">
        <f>'TECH DATA ENTRY'!X241</f>
        <v>0</v>
      </c>
      <c r="AG213" s="217">
        <v>1</v>
      </c>
      <c r="AH213" s="218">
        <f t="shared" si="44"/>
        <v>0</v>
      </c>
      <c r="AI213" s="219" t="e">
        <f t="shared" si="45"/>
        <v>#VALUE!</v>
      </c>
      <c r="AJ213" s="221" t="str">
        <f>'TECH DATA ENTRY'!K241</f>
        <v>n</v>
      </c>
      <c r="AK213" s="222" t="e">
        <f t="shared" si="46"/>
        <v>#VALUE!</v>
      </c>
      <c r="AL213" s="222" t="e">
        <f>VLOOKUP(AK213,'AUX TABLES'!A$2:B$29,2)</f>
        <v>#VALUE!</v>
      </c>
      <c r="AM213" s="223" t="str">
        <f>IF(OR(ISTEXT(B213)=TRUE,ISTEXT('TECH DATA ENTRY'!L241)=TRUE), "NA",AL213*AI213)</f>
        <v>NA</v>
      </c>
      <c r="AN213" s="79"/>
    </row>
    <row r="214" spans="1:40" s="80" customFormat="1" ht="20.149999999999999" customHeight="1">
      <c r="A214" s="216"/>
      <c r="B214" s="249">
        <f>'TECH DATA ENTRY'!B242</f>
        <v>0</v>
      </c>
      <c r="C214" s="217" t="str">
        <f>'TECH DATA ENTRY'!O242</f>
        <v>Stdev 1</v>
      </c>
      <c r="D214" s="217">
        <v>1</v>
      </c>
      <c r="E214" s="218" t="e">
        <f t="shared" si="36"/>
        <v>#VALUE!</v>
      </c>
      <c r="F214" s="217" t="str">
        <f>'TECH DATA ENTRY'!P242</f>
        <v>Stdev 2</v>
      </c>
      <c r="G214" s="217">
        <v>1</v>
      </c>
      <c r="H214" s="218" t="e">
        <f t="shared" si="37"/>
        <v>#VALUE!</v>
      </c>
      <c r="I214" s="219" t="str">
        <f>'TECH DATA ENTRY'!Q242</f>
        <v>Resolution 1</v>
      </c>
      <c r="J214" s="219" t="str">
        <f>'TECH DATA ENTRY'!$G$26</f>
        <v>Digital</v>
      </c>
      <c r="K214" s="217">
        <v>1</v>
      </c>
      <c r="L214" s="218" t="e">
        <f t="shared" si="47"/>
        <v>#VALUE!</v>
      </c>
      <c r="M214" s="219" t="str">
        <f>'TECH DATA ENTRY'!R242</f>
        <v>Resolution 2</v>
      </c>
      <c r="N214" s="219" t="str">
        <f>'TECH DATA ENTRY'!$G$26</f>
        <v>Digital</v>
      </c>
      <c r="O214" s="217">
        <v>1</v>
      </c>
      <c r="P214" s="218" t="e">
        <f t="shared" si="38"/>
        <v>#VALUE!</v>
      </c>
      <c r="Q214" s="220" t="str">
        <f>'TECH DATA ENTRY'!S242</f>
        <v>Scope Uncertainty</v>
      </c>
      <c r="R214" s="217">
        <v>1</v>
      </c>
      <c r="S214" s="218" t="e">
        <f t="shared" si="39"/>
        <v>#VALUE!</v>
      </c>
      <c r="T214" s="220" t="str">
        <f>'TECH DATA ENTRY'!T242</f>
        <v>STD 2 Cal Unc</v>
      </c>
      <c r="U214" s="217">
        <v>1</v>
      </c>
      <c r="V214" s="218" t="e">
        <f t="shared" si="40"/>
        <v>#VALUE!</v>
      </c>
      <c r="W214" s="220" t="str">
        <f>'TECH DATA ENTRY'!U242</f>
        <v>Others 1</v>
      </c>
      <c r="X214" s="217">
        <v>1</v>
      </c>
      <c r="Y214" s="218" t="e">
        <f t="shared" si="41"/>
        <v>#VALUE!</v>
      </c>
      <c r="Z214" s="220" t="str">
        <f>'TECH DATA ENTRY'!V242</f>
        <v>Others 2</v>
      </c>
      <c r="AA214" s="217">
        <v>1</v>
      </c>
      <c r="AB214" s="218" t="e">
        <f t="shared" si="42"/>
        <v>#VALUE!</v>
      </c>
      <c r="AC214" s="220" t="str">
        <f>'TECH DATA ENTRY'!W242</f>
        <v>Others 3</v>
      </c>
      <c r="AD214" s="217">
        <v>1</v>
      </c>
      <c r="AE214" s="218" t="e">
        <f t="shared" si="43"/>
        <v>#VALUE!</v>
      </c>
      <c r="AF214" s="220" t="str">
        <f>'TECH DATA ENTRY'!X242</f>
        <v>Others 4</v>
      </c>
      <c r="AG214" s="217">
        <v>1</v>
      </c>
      <c r="AH214" s="218" t="e">
        <f t="shared" si="44"/>
        <v>#VALUE!</v>
      </c>
      <c r="AI214" s="219" t="e">
        <f t="shared" si="45"/>
        <v>#VALUE!</v>
      </c>
      <c r="AJ214" s="221">
        <f>'TECH DATA ENTRY'!K242</f>
        <v>0</v>
      </c>
      <c r="AK214" s="222" t="e">
        <f t="shared" si="46"/>
        <v>#VALUE!</v>
      </c>
      <c r="AL214" s="222" t="e">
        <f>VLOOKUP(AK214,'AUX TABLES'!A$2:B$29,2)</f>
        <v>#VALUE!</v>
      </c>
      <c r="AM214" s="223" t="e">
        <f>IF(OR(ISTEXT(B214)=TRUE,ISTEXT('TECH DATA ENTRY'!L242)=TRUE), "NA",AL214*AI214)</f>
        <v>#VALUE!</v>
      </c>
      <c r="AN214" s="79"/>
    </row>
    <row r="215" spans="1:40" s="80" customFormat="1" ht="20.149999999999999" customHeight="1">
      <c r="A215" s="216"/>
      <c r="B215" s="249">
        <f>'TECH DATA ENTRY'!B243</f>
        <v>0</v>
      </c>
      <c r="C215" s="217" t="str">
        <f>'TECH DATA ENTRY'!O243</f>
        <v/>
      </c>
      <c r="D215" s="217">
        <v>1</v>
      </c>
      <c r="E215" s="218" t="e">
        <f t="shared" si="36"/>
        <v>#VALUE!</v>
      </c>
      <c r="F215" s="217">
        <f>'TECH DATA ENTRY'!P243</f>
        <v>0</v>
      </c>
      <c r="G215" s="217">
        <v>1</v>
      </c>
      <c r="H215" s="218" t="e">
        <f t="shared" si="37"/>
        <v>#VALUE!</v>
      </c>
      <c r="I215" s="219">
        <f>'TECH DATA ENTRY'!Q243</f>
        <v>1E-3</v>
      </c>
      <c r="J215" s="219" t="str">
        <f>'TECH DATA ENTRY'!$G$26</f>
        <v>Digital</v>
      </c>
      <c r="K215" s="217">
        <v>1</v>
      </c>
      <c r="L215" s="218">
        <f t="shared" si="47"/>
        <v>2.886751345948129E-4</v>
      </c>
      <c r="M215" s="219">
        <f>'TECH DATA ENTRY'!R243</f>
        <v>0</v>
      </c>
      <c r="N215" s="219" t="str">
        <f>'TECH DATA ENTRY'!$G$26</f>
        <v>Digital</v>
      </c>
      <c r="O215" s="217">
        <v>1</v>
      </c>
      <c r="P215" s="218">
        <f t="shared" si="38"/>
        <v>0</v>
      </c>
      <c r="Q215" s="220">
        <f>'TECH DATA ENTRY'!S243</f>
        <v>1.2E-2</v>
      </c>
      <c r="R215" s="217">
        <v>1</v>
      </c>
      <c r="S215" s="218">
        <f t="shared" si="39"/>
        <v>6.0000000000000001E-3</v>
      </c>
      <c r="T215" s="220">
        <f>'TECH DATA ENTRY'!T243</f>
        <v>0</v>
      </c>
      <c r="U215" s="217">
        <v>1</v>
      </c>
      <c r="V215" s="218">
        <f t="shared" si="40"/>
        <v>0</v>
      </c>
      <c r="W215" s="220">
        <f>'TECH DATA ENTRY'!U243</f>
        <v>0</v>
      </c>
      <c r="X215" s="217">
        <v>1</v>
      </c>
      <c r="Y215" s="218">
        <f t="shared" si="41"/>
        <v>0</v>
      </c>
      <c r="Z215" s="220">
        <f>'TECH DATA ENTRY'!V243</f>
        <v>0</v>
      </c>
      <c r="AA215" s="217">
        <v>1</v>
      </c>
      <c r="AB215" s="218">
        <f t="shared" si="42"/>
        <v>0</v>
      </c>
      <c r="AC215" s="220">
        <f>'TECH DATA ENTRY'!W243</f>
        <v>0</v>
      </c>
      <c r="AD215" s="217">
        <v>1</v>
      </c>
      <c r="AE215" s="218">
        <f t="shared" si="43"/>
        <v>0</v>
      </c>
      <c r="AF215" s="220">
        <f>'TECH DATA ENTRY'!X243</f>
        <v>0</v>
      </c>
      <c r="AG215" s="217">
        <v>1</v>
      </c>
      <c r="AH215" s="218">
        <f t="shared" si="44"/>
        <v>0</v>
      </c>
      <c r="AI215" s="219" t="e">
        <f t="shared" si="45"/>
        <v>#VALUE!</v>
      </c>
      <c r="AJ215" s="221" t="str">
        <f>'TECH DATA ENTRY'!K243</f>
        <v/>
      </c>
      <c r="AK215" s="222" t="e">
        <f t="shared" si="46"/>
        <v>#VALUE!</v>
      </c>
      <c r="AL215" s="222" t="e">
        <f>VLOOKUP(AK215,'AUX TABLES'!A$2:B$29,2)</f>
        <v>#VALUE!</v>
      </c>
      <c r="AM215" s="223" t="str">
        <f>IF(OR(ISTEXT(B215)=TRUE,ISTEXT('TECH DATA ENTRY'!L243)=TRUE), "NA",AL215*AI215)</f>
        <v>NA</v>
      </c>
      <c r="AN215" s="79"/>
    </row>
    <row r="216" spans="1:40" s="80" customFormat="1" ht="20.149999999999999" customHeight="1">
      <c r="A216" s="216"/>
      <c r="B216" s="249">
        <f>'TECH DATA ENTRY'!B244</f>
        <v>400</v>
      </c>
      <c r="C216" s="217" t="str">
        <f>'TECH DATA ENTRY'!O244</f>
        <v/>
      </c>
      <c r="D216" s="217">
        <v>1</v>
      </c>
      <c r="E216" s="218" t="e">
        <f t="shared" si="36"/>
        <v>#VALUE!</v>
      </c>
      <c r="F216" s="217">
        <f>'TECH DATA ENTRY'!P244</f>
        <v>0</v>
      </c>
      <c r="G216" s="217">
        <v>1</v>
      </c>
      <c r="H216" s="218" t="e">
        <f t="shared" si="37"/>
        <v>#VALUE!</v>
      </c>
      <c r="I216" s="219">
        <f>'TECH DATA ENTRY'!Q244</f>
        <v>1E-3</v>
      </c>
      <c r="J216" s="219" t="str">
        <f>'TECH DATA ENTRY'!$G$26</f>
        <v>Digital</v>
      </c>
      <c r="K216" s="217">
        <v>1</v>
      </c>
      <c r="L216" s="218">
        <f t="shared" si="47"/>
        <v>2.886751345948129E-4</v>
      </c>
      <c r="M216" s="219">
        <f>'TECH DATA ENTRY'!R244</f>
        <v>0</v>
      </c>
      <c r="N216" s="219" t="str">
        <f>'TECH DATA ENTRY'!$G$26</f>
        <v>Digital</v>
      </c>
      <c r="O216" s="217">
        <v>1</v>
      </c>
      <c r="P216" s="218">
        <f t="shared" si="38"/>
        <v>0</v>
      </c>
      <c r="Q216" s="220">
        <f>'TECH DATA ENTRY'!S244</f>
        <v>0.05</v>
      </c>
      <c r="R216" s="217">
        <v>1</v>
      </c>
      <c r="S216" s="218">
        <f t="shared" si="39"/>
        <v>2.5000000000000001E-2</v>
      </c>
      <c r="T216" s="220">
        <f>'TECH DATA ENTRY'!T244</f>
        <v>0</v>
      </c>
      <c r="U216" s="217">
        <v>1</v>
      </c>
      <c r="V216" s="218">
        <f t="shared" si="40"/>
        <v>0</v>
      </c>
      <c r="W216" s="220">
        <f>'TECH DATA ENTRY'!U244</f>
        <v>0</v>
      </c>
      <c r="X216" s="217">
        <v>1</v>
      </c>
      <c r="Y216" s="218">
        <f t="shared" si="41"/>
        <v>0</v>
      </c>
      <c r="Z216" s="220">
        <f>'TECH DATA ENTRY'!V244</f>
        <v>0</v>
      </c>
      <c r="AA216" s="217">
        <v>1</v>
      </c>
      <c r="AB216" s="218">
        <f t="shared" si="42"/>
        <v>0</v>
      </c>
      <c r="AC216" s="220">
        <f>'TECH DATA ENTRY'!W244</f>
        <v>0</v>
      </c>
      <c r="AD216" s="217">
        <v>1</v>
      </c>
      <c r="AE216" s="218">
        <f t="shared" si="43"/>
        <v>0</v>
      </c>
      <c r="AF216" s="220">
        <f>'TECH DATA ENTRY'!X244</f>
        <v>0</v>
      </c>
      <c r="AG216" s="217">
        <v>1</v>
      </c>
      <c r="AH216" s="218">
        <f t="shared" si="44"/>
        <v>0</v>
      </c>
      <c r="AI216" s="219" t="e">
        <f t="shared" si="45"/>
        <v>#VALUE!</v>
      </c>
      <c r="AJ216" s="221" t="str">
        <f>'TECH DATA ENTRY'!K244</f>
        <v/>
      </c>
      <c r="AK216" s="222" t="e">
        <f t="shared" si="46"/>
        <v>#VALUE!</v>
      </c>
      <c r="AL216" s="222" t="e">
        <f>VLOOKUP(AK216,'AUX TABLES'!A$2:B$29,2)</f>
        <v>#VALUE!</v>
      </c>
      <c r="AM216" s="223" t="str">
        <f>IF(OR(ISTEXT(B216)=TRUE,ISTEXT('TECH DATA ENTRY'!L244)=TRUE), "NA",AL216*AI216)</f>
        <v>NA</v>
      </c>
      <c r="AN216" s="79"/>
    </row>
    <row r="217" spans="1:40" s="80" customFormat="1" ht="20.149999999999999" customHeight="1">
      <c r="A217" s="216"/>
      <c r="B217" s="249">
        <f>'TECH DATA ENTRY'!B245</f>
        <v>-400</v>
      </c>
      <c r="C217" s="217" t="str">
        <f>'TECH DATA ENTRY'!O245</f>
        <v/>
      </c>
      <c r="D217" s="217">
        <v>1</v>
      </c>
      <c r="E217" s="218" t="e">
        <f t="shared" si="36"/>
        <v>#VALUE!</v>
      </c>
      <c r="F217" s="217">
        <f>'TECH DATA ENTRY'!P245</f>
        <v>0</v>
      </c>
      <c r="G217" s="217">
        <v>1</v>
      </c>
      <c r="H217" s="218" t="e">
        <f t="shared" si="37"/>
        <v>#VALUE!</v>
      </c>
      <c r="I217" s="219">
        <f>'TECH DATA ENTRY'!Q245</f>
        <v>1E-3</v>
      </c>
      <c r="J217" s="219" t="str">
        <f>'TECH DATA ENTRY'!$G$26</f>
        <v>Digital</v>
      </c>
      <c r="K217" s="217">
        <v>1</v>
      </c>
      <c r="L217" s="218">
        <f t="shared" si="47"/>
        <v>2.886751345948129E-4</v>
      </c>
      <c r="M217" s="219">
        <f>'TECH DATA ENTRY'!R245</f>
        <v>0</v>
      </c>
      <c r="N217" s="219" t="str">
        <f>'TECH DATA ENTRY'!$G$26</f>
        <v>Digital</v>
      </c>
      <c r="O217" s="217">
        <v>1</v>
      </c>
      <c r="P217" s="218">
        <f t="shared" si="38"/>
        <v>0</v>
      </c>
      <c r="Q217" s="220">
        <f>'TECH DATA ENTRY'!S245</f>
        <v>0.05</v>
      </c>
      <c r="R217" s="217">
        <v>1</v>
      </c>
      <c r="S217" s="218">
        <f t="shared" si="39"/>
        <v>2.5000000000000001E-2</v>
      </c>
      <c r="T217" s="220">
        <f>'TECH DATA ENTRY'!T245</f>
        <v>0</v>
      </c>
      <c r="U217" s="217">
        <v>1</v>
      </c>
      <c r="V217" s="218">
        <f t="shared" si="40"/>
        <v>0</v>
      </c>
      <c r="W217" s="220">
        <f>'TECH DATA ENTRY'!U245</f>
        <v>0</v>
      </c>
      <c r="X217" s="217">
        <v>1</v>
      </c>
      <c r="Y217" s="218">
        <f t="shared" si="41"/>
        <v>0</v>
      </c>
      <c r="Z217" s="220">
        <f>'TECH DATA ENTRY'!V245</f>
        <v>0</v>
      </c>
      <c r="AA217" s="217">
        <v>1</v>
      </c>
      <c r="AB217" s="218">
        <f t="shared" si="42"/>
        <v>0</v>
      </c>
      <c r="AC217" s="220">
        <f>'TECH DATA ENTRY'!W245</f>
        <v>0</v>
      </c>
      <c r="AD217" s="217">
        <v>1</v>
      </c>
      <c r="AE217" s="218">
        <f t="shared" si="43"/>
        <v>0</v>
      </c>
      <c r="AF217" s="220">
        <f>'TECH DATA ENTRY'!X245</f>
        <v>0</v>
      </c>
      <c r="AG217" s="217">
        <v>1</v>
      </c>
      <c r="AH217" s="218">
        <f t="shared" si="44"/>
        <v>0</v>
      </c>
      <c r="AI217" s="219" t="e">
        <f t="shared" si="45"/>
        <v>#VALUE!</v>
      </c>
      <c r="AJ217" s="221" t="str">
        <f>'TECH DATA ENTRY'!K245</f>
        <v/>
      </c>
      <c r="AK217" s="222" t="e">
        <f t="shared" si="46"/>
        <v>#VALUE!</v>
      </c>
      <c r="AL217" s="222" t="e">
        <f>VLOOKUP(AK217,'AUX TABLES'!A$2:B$29,2)</f>
        <v>#VALUE!</v>
      </c>
      <c r="AM217" s="223" t="str">
        <f>IF(OR(ISTEXT(B217)=TRUE,ISTEXT('TECH DATA ENTRY'!L245)=TRUE), "NA",AL217*AI217)</f>
        <v>NA</v>
      </c>
      <c r="AN217" s="79"/>
    </row>
    <row r="218" spans="1:40" s="80" customFormat="1" ht="20.149999999999999" customHeight="1">
      <c r="A218" s="216"/>
      <c r="B218" s="249">
        <f>'TECH DATA ENTRY'!B246</f>
        <v>0</v>
      </c>
      <c r="C218" s="217">
        <f>'TECH DATA ENTRY'!O246</f>
        <v>0</v>
      </c>
      <c r="D218" s="217">
        <v>1</v>
      </c>
      <c r="E218" s="218" t="e">
        <f t="shared" si="36"/>
        <v>#DIV/0!</v>
      </c>
      <c r="F218" s="217">
        <f>'TECH DATA ENTRY'!P246</f>
        <v>0</v>
      </c>
      <c r="G218" s="217">
        <v>1</v>
      </c>
      <c r="H218" s="218" t="e">
        <f t="shared" si="37"/>
        <v>#DIV/0!</v>
      </c>
      <c r="I218" s="219">
        <f>'TECH DATA ENTRY'!Q246</f>
        <v>0</v>
      </c>
      <c r="J218" s="219" t="str">
        <f>'TECH DATA ENTRY'!$G$26</f>
        <v>Digital</v>
      </c>
      <c r="K218" s="217">
        <v>1</v>
      </c>
      <c r="L218" s="218">
        <f t="shared" si="47"/>
        <v>0</v>
      </c>
      <c r="M218" s="219">
        <f>'TECH DATA ENTRY'!R246</f>
        <v>0</v>
      </c>
      <c r="N218" s="219" t="str">
        <f>'TECH DATA ENTRY'!$G$26</f>
        <v>Digital</v>
      </c>
      <c r="O218" s="217">
        <v>1</v>
      </c>
      <c r="P218" s="218">
        <f t="shared" si="38"/>
        <v>0</v>
      </c>
      <c r="Q218" s="220">
        <f>'TECH DATA ENTRY'!S246</f>
        <v>0</v>
      </c>
      <c r="R218" s="217">
        <v>1</v>
      </c>
      <c r="S218" s="218">
        <f t="shared" si="39"/>
        <v>0</v>
      </c>
      <c r="T218" s="220">
        <f>'TECH DATA ENTRY'!T246</f>
        <v>0</v>
      </c>
      <c r="U218" s="217">
        <v>1</v>
      </c>
      <c r="V218" s="218">
        <f t="shared" si="40"/>
        <v>0</v>
      </c>
      <c r="W218" s="220">
        <f>'TECH DATA ENTRY'!U246</f>
        <v>0</v>
      </c>
      <c r="X218" s="217">
        <v>1</v>
      </c>
      <c r="Y218" s="218">
        <f t="shared" si="41"/>
        <v>0</v>
      </c>
      <c r="Z218" s="220">
        <f>'TECH DATA ENTRY'!V246</f>
        <v>0</v>
      </c>
      <c r="AA218" s="217">
        <v>1</v>
      </c>
      <c r="AB218" s="218">
        <f t="shared" si="42"/>
        <v>0</v>
      </c>
      <c r="AC218" s="220">
        <f>'TECH DATA ENTRY'!W246</f>
        <v>0</v>
      </c>
      <c r="AD218" s="217">
        <v>1</v>
      </c>
      <c r="AE218" s="218">
        <f t="shared" si="43"/>
        <v>0</v>
      </c>
      <c r="AF218" s="220">
        <f>'TECH DATA ENTRY'!X246</f>
        <v>0</v>
      </c>
      <c r="AG218" s="217">
        <v>1</v>
      </c>
      <c r="AH218" s="218">
        <f t="shared" si="44"/>
        <v>0</v>
      </c>
      <c r="AI218" s="219" t="e">
        <f t="shared" si="45"/>
        <v>#DIV/0!</v>
      </c>
      <c r="AJ218" s="221">
        <f>'TECH DATA ENTRY'!K246</f>
        <v>0</v>
      </c>
      <c r="AK218" s="222" t="e">
        <f t="shared" si="46"/>
        <v>#DIV/0!</v>
      </c>
      <c r="AL218" s="222" t="e">
        <f>VLOOKUP(AK218,'AUX TABLES'!A$2:B$29,2)</f>
        <v>#DIV/0!</v>
      </c>
      <c r="AM218" s="223" t="e">
        <f>IF(OR(ISTEXT(B218)=TRUE,ISTEXT('TECH DATA ENTRY'!L246)=TRUE), "NA",AL218*AI218)</f>
        <v>#DIV/0!</v>
      </c>
      <c r="AN218" s="79"/>
    </row>
    <row r="219" spans="1:40" s="80" customFormat="1" ht="20.149999999999999" customHeight="1">
      <c r="A219" s="216"/>
      <c r="B219" s="249">
        <f>'TECH DATA ENTRY'!B247</f>
        <v>0</v>
      </c>
      <c r="C219" s="217">
        <f>'TECH DATA ENTRY'!O247</f>
        <v>0</v>
      </c>
      <c r="D219" s="217">
        <v>1</v>
      </c>
      <c r="E219" s="218" t="e">
        <f t="shared" si="36"/>
        <v>#DIV/0!</v>
      </c>
      <c r="F219" s="217">
        <f>'TECH DATA ENTRY'!P247</f>
        <v>0</v>
      </c>
      <c r="G219" s="217">
        <v>1</v>
      </c>
      <c r="H219" s="218" t="e">
        <f t="shared" si="37"/>
        <v>#DIV/0!</v>
      </c>
      <c r="I219" s="219">
        <f>'TECH DATA ENTRY'!Q247</f>
        <v>0</v>
      </c>
      <c r="J219" s="219" t="str">
        <f>'TECH DATA ENTRY'!$G$26</f>
        <v>Digital</v>
      </c>
      <c r="K219" s="217">
        <v>1</v>
      </c>
      <c r="L219" s="218">
        <f t="shared" si="47"/>
        <v>0</v>
      </c>
      <c r="M219" s="219">
        <f>'TECH DATA ENTRY'!R247</f>
        <v>0</v>
      </c>
      <c r="N219" s="219" t="str">
        <f>'TECH DATA ENTRY'!$G$26</f>
        <v>Digital</v>
      </c>
      <c r="O219" s="217">
        <v>1</v>
      </c>
      <c r="P219" s="218">
        <f t="shared" si="38"/>
        <v>0</v>
      </c>
      <c r="Q219" s="220">
        <f>'TECH DATA ENTRY'!S247</f>
        <v>0</v>
      </c>
      <c r="R219" s="217">
        <v>1</v>
      </c>
      <c r="S219" s="218">
        <f t="shared" si="39"/>
        <v>0</v>
      </c>
      <c r="T219" s="220">
        <f>'TECH DATA ENTRY'!T247</f>
        <v>0</v>
      </c>
      <c r="U219" s="217">
        <v>1</v>
      </c>
      <c r="V219" s="218">
        <f t="shared" si="40"/>
        <v>0</v>
      </c>
      <c r="W219" s="220">
        <f>'TECH DATA ENTRY'!U247</f>
        <v>0</v>
      </c>
      <c r="X219" s="217">
        <v>1</v>
      </c>
      <c r="Y219" s="218">
        <f t="shared" si="41"/>
        <v>0</v>
      </c>
      <c r="Z219" s="220">
        <f>'TECH DATA ENTRY'!V247</f>
        <v>0</v>
      </c>
      <c r="AA219" s="217">
        <v>1</v>
      </c>
      <c r="AB219" s="218">
        <f t="shared" si="42"/>
        <v>0</v>
      </c>
      <c r="AC219" s="220">
        <f>'TECH DATA ENTRY'!W247</f>
        <v>0</v>
      </c>
      <c r="AD219" s="217">
        <v>1</v>
      </c>
      <c r="AE219" s="218">
        <f t="shared" si="43"/>
        <v>0</v>
      </c>
      <c r="AF219" s="220">
        <f>'TECH DATA ENTRY'!X247</f>
        <v>0</v>
      </c>
      <c r="AG219" s="217">
        <v>1</v>
      </c>
      <c r="AH219" s="218">
        <f t="shared" si="44"/>
        <v>0</v>
      </c>
      <c r="AI219" s="219" t="e">
        <f t="shared" si="45"/>
        <v>#DIV/0!</v>
      </c>
      <c r="AJ219" s="221">
        <f>'TECH DATA ENTRY'!K247</f>
        <v>0</v>
      </c>
      <c r="AK219" s="222" t="e">
        <f t="shared" si="46"/>
        <v>#DIV/0!</v>
      </c>
      <c r="AL219" s="222" t="e">
        <f>VLOOKUP(AK219,'AUX TABLES'!A$2:B$29,2)</f>
        <v>#DIV/0!</v>
      </c>
      <c r="AM219" s="223" t="e">
        <f>IF(OR(ISTEXT(B219)=TRUE,ISTEXT('TECH DATA ENTRY'!L247)=TRUE), "NA",AL219*AI219)</f>
        <v>#DIV/0!</v>
      </c>
      <c r="AN219" s="79"/>
    </row>
    <row r="220" spans="1:40" s="80" customFormat="1" ht="20.149999999999999" customHeight="1">
      <c r="A220" s="216"/>
      <c r="B220" s="249">
        <f>'TECH DATA ENTRY'!B248</f>
        <v>0</v>
      </c>
      <c r="C220" s="217">
        <f>'TECH DATA ENTRY'!O248</f>
        <v>0</v>
      </c>
      <c r="D220" s="217">
        <v>1</v>
      </c>
      <c r="E220" s="218" t="e">
        <f t="shared" si="36"/>
        <v>#DIV/0!</v>
      </c>
      <c r="F220" s="217">
        <f>'TECH DATA ENTRY'!P248</f>
        <v>0</v>
      </c>
      <c r="G220" s="217">
        <v>1</v>
      </c>
      <c r="H220" s="218" t="e">
        <f t="shared" si="37"/>
        <v>#DIV/0!</v>
      </c>
      <c r="I220" s="219">
        <f>'TECH DATA ENTRY'!Q248</f>
        <v>0</v>
      </c>
      <c r="J220" s="219" t="str">
        <f>'TECH DATA ENTRY'!$G$26</f>
        <v>Digital</v>
      </c>
      <c r="K220" s="217">
        <v>1</v>
      </c>
      <c r="L220" s="218">
        <f t="shared" si="47"/>
        <v>0</v>
      </c>
      <c r="M220" s="219">
        <f>'TECH DATA ENTRY'!R248</f>
        <v>0</v>
      </c>
      <c r="N220" s="219" t="str">
        <f>'TECH DATA ENTRY'!$G$26</f>
        <v>Digital</v>
      </c>
      <c r="O220" s="217">
        <v>1</v>
      </c>
      <c r="P220" s="218">
        <f t="shared" si="38"/>
        <v>0</v>
      </c>
      <c r="Q220" s="220">
        <f>'TECH DATA ENTRY'!S248</f>
        <v>0</v>
      </c>
      <c r="R220" s="217">
        <v>1</v>
      </c>
      <c r="S220" s="218">
        <f t="shared" si="39"/>
        <v>0</v>
      </c>
      <c r="T220" s="220">
        <f>'TECH DATA ENTRY'!T248</f>
        <v>0</v>
      </c>
      <c r="U220" s="217">
        <v>1</v>
      </c>
      <c r="V220" s="218">
        <f t="shared" si="40"/>
        <v>0</v>
      </c>
      <c r="W220" s="220">
        <f>'TECH DATA ENTRY'!U248</f>
        <v>0</v>
      </c>
      <c r="X220" s="217">
        <v>1</v>
      </c>
      <c r="Y220" s="218">
        <f t="shared" si="41"/>
        <v>0</v>
      </c>
      <c r="Z220" s="220">
        <f>'TECH DATA ENTRY'!V248</f>
        <v>0</v>
      </c>
      <c r="AA220" s="217">
        <v>1</v>
      </c>
      <c r="AB220" s="218">
        <f t="shared" si="42"/>
        <v>0</v>
      </c>
      <c r="AC220" s="220">
        <f>'TECH DATA ENTRY'!W248</f>
        <v>0</v>
      </c>
      <c r="AD220" s="217">
        <v>1</v>
      </c>
      <c r="AE220" s="218">
        <f t="shared" si="43"/>
        <v>0</v>
      </c>
      <c r="AF220" s="220">
        <f>'TECH DATA ENTRY'!X248</f>
        <v>0</v>
      </c>
      <c r="AG220" s="217">
        <v>1</v>
      </c>
      <c r="AH220" s="218">
        <f t="shared" si="44"/>
        <v>0</v>
      </c>
      <c r="AI220" s="219" t="e">
        <f t="shared" si="45"/>
        <v>#DIV/0!</v>
      </c>
      <c r="AJ220" s="221">
        <f>'TECH DATA ENTRY'!K248</f>
        <v>0</v>
      </c>
      <c r="AK220" s="222" t="e">
        <f t="shared" si="46"/>
        <v>#DIV/0!</v>
      </c>
      <c r="AL220" s="222" t="e">
        <f>VLOOKUP(AK220,'AUX TABLES'!A$2:B$29,2)</f>
        <v>#DIV/0!</v>
      </c>
      <c r="AM220" s="223" t="e">
        <f>IF(OR(ISTEXT(B220)=TRUE,ISTEXT('TECH DATA ENTRY'!L248)=TRUE), "NA",AL220*AI220)</f>
        <v>#DIV/0!</v>
      </c>
      <c r="AN220" s="79"/>
    </row>
    <row r="221" spans="1:40" s="80" customFormat="1" ht="20.149999999999999" customHeight="1">
      <c r="A221" s="216"/>
      <c r="B221" s="249" t="str">
        <f>'TECH DATA ENTRY'!B249</f>
        <v>Nominal</v>
      </c>
      <c r="C221" s="217" t="str">
        <f>'TECH DATA ENTRY'!O249</f>
        <v>Uncertainty Components</v>
      </c>
      <c r="D221" s="217">
        <v>1</v>
      </c>
      <c r="E221" s="218" t="e">
        <f t="shared" si="36"/>
        <v>#VALUE!</v>
      </c>
      <c r="F221" s="217">
        <f>'TECH DATA ENTRY'!P249</f>
        <v>0</v>
      </c>
      <c r="G221" s="217">
        <v>1</v>
      </c>
      <c r="H221" s="218" t="e">
        <f t="shared" si="37"/>
        <v>#VALUE!</v>
      </c>
      <c r="I221" s="219">
        <f>'TECH DATA ENTRY'!Q249</f>
        <v>0</v>
      </c>
      <c r="J221" s="219" t="str">
        <f>'TECH DATA ENTRY'!$G$26</f>
        <v>Digital</v>
      </c>
      <c r="K221" s="217">
        <v>1</v>
      </c>
      <c r="L221" s="218">
        <f t="shared" si="47"/>
        <v>0</v>
      </c>
      <c r="M221" s="219">
        <f>'TECH DATA ENTRY'!R249</f>
        <v>0</v>
      </c>
      <c r="N221" s="219" t="str">
        <f>'TECH DATA ENTRY'!$G$26</f>
        <v>Digital</v>
      </c>
      <c r="O221" s="217">
        <v>1</v>
      </c>
      <c r="P221" s="218">
        <f t="shared" si="38"/>
        <v>0</v>
      </c>
      <c r="Q221" s="220">
        <f>'TECH DATA ENTRY'!S249</f>
        <v>0</v>
      </c>
      <c r="R221" s="217">
        <v>1</v>
      </c>
      <c r="S221" s="218">
        <f t="shared" si="39"/>
        <v>0</v>
      </c>
      <c r="T221" s="220">
        <f>'TECH DATA ENTRY'!T249</f>
        <v>0</v>
      </c>
      <c r="U221" s="217">
        <v>1</v>
      </c>
      <c r="V221" s="218">
        <f t="shared" si="40"/>
        <v>0</v>
      </c>
      <c r="W221" s="220">
        <f>'TECH DATA ENTRY'!U249</f>
        <v>0</v>
      </c>
      <c r="X221" s="217">
        <v>1</v>
      </c>
      <c r="Y221" s="218">
        <f t="shared" si="41"/>
        <v>0</v>
      </c>
      <c r="Z221" s="220">
        <f>'TECH DATA ENTRY'!V249</f>
        <v>0</v>
      </c>
      <c r="AA221" s="217">
        <v>1</v>
      </c>
      <c r="AB221" s="218">
        <f t="shared" si="42"/>
        <v>0</v>
      </c>
      <c r="AC221" s="220">
        <f>'TECH DATA ENTRY'!W249</f>
        <v>0</v>
      </c>
      <c r="AD221" s="217">
        <v>1</v>
      </c>
      <c r="AE221" s="218">
        <f t="shared" si="43"/>
        <v>0</v>
      </c>
      <c r="AF221" s="220">
        <f>'TECH DATA ENTRY'!X249</f>
        <v>0</v>
      </c>
      <c r="AG221" s="217">
        <v>1</v>
      </c>
      <c r="AH221" s="218">
        <f t="shared" si="44"/>
        <v>0</v>
      </c>
      <c r="AI221" s="219" t="e">
        <f t="shared" si="45"/>
        <v>#VALUE!</v>
      </c>
      <c r="AJ221" s="221" t="str">
        <f>'TECH DATA ENTRY'!K249</f>
        <v>n</v>
      </c>
      <c r="AK221" s="222" t="e">
        <f t="shared" si="46"/>
        <v>#VALUE!</v>
      </c>
      <c r="AL221" s="222" t="e">
        <f>VLOOKUP(AK221,'AUX TABLES'!A$2:B$29,2)</f>
        <v>#VALUE!</v>
      </c>
      <c r="AM221" s="223" t="str">
        <f>IF(OR(ISTEXT(B221)=TRUE,ISTEXT('TECH DATA ENTRY'!L249)=TRUE), "NA",AL221*AI221)</f>
        <v>NA</v>
      </c>
      <c r="AN221" s="79"/>
    </row>
    <row r="222" spans="1:40" s="80" customFormat="1" ht="20.149999999999999" customHeight="1">
      <c r="A222" s="216"/>
      <c r="B222" s="249">
        <f>'TECH DATA ENTRY'!B250</f>
        <v>0</v>
      </c>
      <c r="C222" s="217" t="str">
        <f>'TECH DATA ENTRY'!O250</f>
        <v>Stdev 1</v>
      </c>
      <c r="D222" s="217">
        <v>1</v>
      </c>
      <c r="E222" s="218" t="e">
        <f t="shared" si="36"/>
        <v>#VALUE!</v>
      </c>
      <c r="F222" s="217" t="str">
        <f>'TECH DATA ENTRY'!P250</f>
        <v>Stdev 2</v>
      </c>
      <c r="G222" s="217">
        <v>1</v>
      </c>
      <c r="H222" s="218" t="e">
        <f t="shared" si="37"/>
        <v>#VALUE!</v>
      </c>
      <c r="I222" s="219" t="str">
        <f>'TECH DATA ENTRY'!Q250</f>
        <v>Resolution 1</v>
      </c>
      <c r="J222" s="219" t="str">
        <f>'TECH DATA ENTRY'!$G$26</f>
        <v>Digital</v>
      </c>
      <c r="K222" s="217">
        <v>1</v>
      </c>
      <c r="L222" s="218" t="e">
        <f t="shared" si="47"/>
        <v>#VALUE!</v>
      </c>
      <c r="M222" s="219" t="str">
        <f>'TECH DATA ENTRY'!R250</f>
        <v>Resolution 2</v>
      </c>
      <c r="N222" s="219" t="str">
        <f>'TECH DATA ENTRY'!$G$26</f>
        <v>Digital</v>
      </c>
      <c r="O222" s="217">
        <v>1</v>
      </c>
      <c r="P222" s="218" t="e">
        <f t="shared" si="38"/>
        <v>#VALUE!</v>
      </c>
      <c r="Q222" s="220" t="str">
        <f>'TECH DATA ENTRY'!S250</f>
        <v>Scope Uncertainty</v>
      </c>
      <c r="R222" s="217">
        <v>1</v>
      </c>
      <c r="S222" s="218" t="e">
        <f t="shared" si="39"/>
        <v>#VALUE!</v>
      </c>
      <c r="T222" s="220" t="str">
        <f>'TECH DATA ENTRY'!T250</f>
        <v>STD 2 Cal Unc</v>
      </c>
      <c r="U222" s="217">
        <v>1</v>
      </c>
      <c r="V222" s="218" t="e">
        <f t="shared" si="40"/>
        <v>#VALUE!</v>
      </c>
      <c r="W222" s="220" t="str">
        <f>'TECH DATA ENTRY'!U250</f>
        <v>Others 1</v>
      </c>
      <c r="X222" s="217">
        <v>1</v>
      </c>
      <c r="Y222" s="218" t="e">
        <f t="shared" si="41"/>
        <v>#VALUE!</v>
      </c>
      <c r="Z222" s="220" t="str">
        <f>'TECH DATA ENTRY'!V250</f>
        <v>Others 2</v>
      </c>
      <c r="AA222" s="217">
        <v>1</v>
      </c>
      <c r="AB222" s="218" t="e">
        <f t="shared" si="42"/>
        <v>#VALUE!</v>
      </c>
      <c r="AC222" s="220" t="str">
        <f>'TECH DATA ENTRY'!W250</f>
        <v>Others 3</v>
      </c>
      <c r="AD222" s="217">
        <v>1</v>
      </c>
      <c r="AE222" s="218" t="e">
        <f t="shared" si="43"/>
        <v>#VALUE!</v>
      </c>
      <c r="AF222" s="220" t="str">
        <f>'TECH DATA ENTRY'!X250</f>
        <v>Others 4</v>
      </c>
      <c r="AG222" s="217">
        <v>1</v>
      </c>
      <c r="AH222" s="218" t="e">
        <f t="shared" si="44"/>
        <v>#VALUE!</v>
      </c>
      <c r="AI222" s="219" t="e">
        <f t="shared" si="45"/>
        <v>#VALUE!</v>
      </c>
      <c r="AJ222" s="221">
        <f>'TECH DATA ENTRY'!K250</f>
        <v>0</v>
      </c>
      <c r="AK222" s="222" t="e">
        <f t="shared" si="46"/>
        <v>#VALUE!</v>
      </c>
      <c r="AL222" s="222" t="e">
        <f>VLOOKUP(AK222,'AUX TABLES'!A$2:B$29,2)</f>
        <v>#VALUE!</v>
      </c>
      <c r="AM222" s="223" t="e">
        <f>IF(OR(ISTEXT(B222)=TRUE,ISTEXT('TECH DATA ENTRY'!L250)=TRUE), "NA",AL222*AI222)</f>
        <v>#VALUE!</v>
      </c>
      <c r="AN222" s="79"/>
    </row>
    <row r="223" spans="1:40" s="80" customFormat="1" ht="20.149999999999999" customHeight="1">
      <c r="A223" s="216"/>
      <c r="B223" s="249">
        <f>'TECH DATA ENTRY'!B251</f>
        <v>0</v>
      </c>
      <c r="C223" s="217" t="str">
        <f>'TECH DATA ENTRY'!O251</f>
        <v/>
      </c>
      <c r="D223" s="217">
        <v>1</v>
      </c>
      <c r="E223" s="218" t="e">
        <f t="shared" si="36"/>
        <v>#VALUE!</v>
      </c>
      <c r="F223" s="217">
        <f>'TECH DATA ENTRY'!P251</f>
        <v>0</v>
      </c>
      <c r="G223" s="217">
        <v>1</v>
      </c>
      <c r="H223" s="218" t="e">
        <f t="shared" si="37"/>
        <v>#VALUE!</v>
      </c>
      <c r="I223" s="219">
        <f>'TECH DATA ENTRY'!Q251</f>
        <v>9.9999999999999995E-7</v>
      </c>
      <c r="J223" s="219" t="str">
        <f>'TECH DATA ENTRY'!$G$26</f>
        <v>Digital</v>
      </c>
      <c r="K223" s="217">
        <v>1</v>
      </c>
      <c r="L223" s="218">
        <f t="shared" si="47"/>
        <v>2.8867513459481289E-7</v>
      </c>
      <c r="M223" s="219">
        <f>'TECH DATA ENTRY'!R251</f>
        <v>0</v>
      </c>
      <c r="N223" s="219" t="str">
        <f>'TECH DATA ENTRY'!$G$26</f>
        <v>Digital</v>
      </c>
      <c r="O223" s="217">
        <v>1</v>
      </c>
      <c r="P223" s="218">
        <f t="shared" si="38"/>
        <v>0</v>
      </c>
      <c r="Q223" s="220">
        <f>'TECH DATA ENTRY'!S251</f>
        <v>1.2E-5</v>
      </c>
      <c r="R223" s="217">
        <v>1</v>
      </c>
      <c r="S223" s="218">
        <f t="shared" si="39"/>
        <v>6.0000000000000002E-6</v>
      </c>
      <c r="T223" s="220">
        <f>'TECH DATA ENTRY'!T251</f>
        <v>0</v>
      </c>
      <c r="U223" s="217">
        <v>1</v>
      </c>
      <c r="V223" s="218">
        <f t="shared" si="40"/>
        <v>0</v>
      </c>
      <c r="W223" s="220">
        <f>'TECH DATA ENTRY'!U251</f>
        <v>0</v>
      </c>
      <c r="X223" s="217">
        <v>1</v>
      </c>
      <c r="Y223" s="218">
        <f t="shared" si="41"/>
        <v>0</v>
      </c>
      <c r="Z223" s="220">
        <f>'TECH DATA ENTRY'!V251</f>
        <v>0</v>
      </c>
      <c r="AA223" s="217">
        <v>1</v>
      </c>
      <c r="AB223" s="218">
        <f t="shared" si="42"/>
        <v>0</v>
      </c>
      <c r="AC223" s="220">
        <f>'TECH DATA ENTRY'!W251</f>
        <v>0</v>
      </c>
      <c r="AD223" s="217">
        <v>1</v>
      </c>
      <c r="AE223" s="218">
        <f t="shared" si="43"/>
        <v>0</v>
      </c>
      <c r="AF223" s="220">
        <f>'TECH DATA ENTRY'!X251</f>
        <v>0</v>
      </c>
      <c r="AG223" s="217">
        <v>1</v>
      </c>
      <c r="AH223" s="218">
        <f t="shared" si="44"/>
        <v>0</v>
      </c>
      <c r="AI223" s="219" t="e">
        <f t="shared" si="45"/>
        <v>#VALUE!</v>
      </c>
      <c r="AJ223" s="221" t="str">
        <f>'TECH DATA ENTRY'!K251</f>
        <v/>
      </c>
      <c r="AK223" s="222" t="e">
        <f t="shared" si="46"/>
        <v>#VALUE!</v>
      </c>
      <c r="AL223" s="222" t="e">
        <f>VLOOKUP(AK223,'AUX TABLES'!A$2:B$29,2)</f>
        <v>#VALUE!</v>
      </c>
      <c r="AM223" s="223" t="str">
        <f>IF(OR(ISTEXT(B223)=TRUE,ISTEXT('TECH DATA ENTRY'!L251)=TRUE), "NA",AL223*AI223)</f>
        <v>NA</v>
      </c>
      <c r="AN223" s="79"/>
    </row>
    <row r="224" spans="1:40" s="80" customFormat="1" ht="20.149999999999999" customHeight="1">
      <c r="A224" s="216"/>
      <c r="B224" s="249">
        <f>'TECH DATA ENTRY'!B252</f>
        <v>1</v>
      </c>
      <c r="C224" s="217" t="str">
        <f>'TECH DATA ENTRY'!O252</f>
        <v/>
      </c>
      <c r="D224" s="217">
        <v>1</v>
      </c>
      <c r="E224" s="218" t="e">
        <f t="shared" si="36"/>
        <v>#VALUE!</v>
      </c>
      <c r="F224" s="217">
        <f>'TECH DATA ENTRY'!P252</f>
        <v>0</v>
      </c>
      <c r="G224" s="217">
        <v>1</v>
      </c>
      <c r="H224" s="218" t="e">
        <f t="shared" si="37"/>
        <v>#VALUE!</v>
      </c>
      <c r="I224" s="219">
        <f>'TECH DATA ENTRY'!Q252</f>
        <v>9.9999999999999995E-7</v>
      </c>
      <c r="J224" s="219" t="str">
        <f>'TECH DATA ENTRY'!$G$26</f>
        <v>Digital</v>
      </c>
      <c r="K224" s="217">
        <v>1</v>
      </c>
      <c r="L224" s="218">
        <f t="shared" si="47"/>
        <v>2.8867513459481289E-7</v>
      </c>
      <c r="M224" s="219">
        <f>'TECH DATA ENTRY'!R252</f>
        <v>0</v>
      </c>
      <c r="N224" s="219" t="str">
        <f>'TECH DATA ENTRY'!$G$26</f>
        <v>Digital</v>
      </c>
      <c r="O224" s="217">
        <v>1</v>
      </c>
      <c r="P224" s="218">
        <f t="shared" si="38"/>
        <v>0</v>
      </c>
      <c r="Q224" s="220">
        <f>'TECH DATA ENTRY'!S252</f>
        <v>1.07E-4</v>
      </c>
      <c r="R224" s="217">
        <v>1</v>
      </c>
      <c r="S224" s="218">
        <f t="shared" si="39"/>
        <v>5.3499999999999999E-5</v>
      </c>
      <c r="T224" s="220">
        <f>'TECH DATA ENTRY'!T252</f>
        <v>0</v>
      </c>
      <c r="U224" s="217">
        <v>1</v>
      </c>
      <c r="V224" s="218">
        <f t="shared" si="40"/>
        <v>0</v>
      </c>
      <c r="W224" s="220">
        <f>'TECH DATA ENTRY'!U252</f>
        <v>0</v>
      </c>
      <c r="X224" s="217">
        <v>1</v>
      </c>
      <c r="Y224" s="218">
        <f t="shared" si="41"/>
        <v>0</v>
      </c>
      <c r="Z224" s="220">
        <f>'TECH DATA ENTRY'!V252</f>
        <v>0</v>
      </c>
      <c r="AA224" s="217">
        <v>1</v>
      </c>
      <c r="AB224" s="218">
        <f t="shared" si="42"/>
        <v>0</v>
      </c>
      <c r="AC224" s="220">
        <f>'TECH DATA ENTRY'!W252</f>
        <v>0</v>
      </c>
      <c r="AD224" s="217">
        <v>1</v>
      </c>
      <c r="AE224" s="218">
        <f t="shared" si="43"/>
        <v>0</v>
      </c>
      <c r="AF224" s="220">
        <f>'TECH DATA ENTRY'!X252</f>
        <v>0</v>
      </c>
      <c r="AG224" s="217">
        <v>1</v>
      </c>
      <c r="AH224" s="218">
        <f t="shared" si="44"/>
        <v>0</v>
      </c>
      <c r="AI224" s="219" t="e">
        <f t="shared" si="45"/>
        <v>#VALUE!</v>
      </c>
      <c r="AJ224" s="221" t="str">
        <f>'TECH DATA ENTRY'!K252</f>
        <v/>
      </c>
      <c r="AK224" s="222" t="e">
        <f t="shared" si="46"/>
        <v>#VALUE!</v>
      </c>
      <c r="AL224" s="222" t="e">
        <f>VLOOKUP(AK224,'AUX TABLES'!A$2:B$29,2)</f>
        <v>#VALUE!</v>
      </c>
      <c r="AM224" s="223" t="str">
        <f>IF(OR(ISTEXT(B224)=TRUE,ISTEXT('TECH DATA ENTRY'!L252)=TRUE), "NA",AL224*AI224)</f>
        <v>NA</v>
      </c>
      <c r="AN224" s="79"/>
    </row>
    <row r="225" spans="1:40" s="80" customFormat="1" ht="20.149999999999999" customHeight="1">
      <c r="A225" s="216"/>
      <c r="B225" s="249">
        <f>'TECH DATA ENTRY'!B253</f>
        <v>-1</v>
      </c>
      <c r="C225" s="217" t="str">
        <f>'TECH DATA ENTRY'!O253</f>
        <v/>
      </c>
      <c r="D225" s="217">
        <v>1</v>
      </c>
      <c r="E225" s="218" t="e">
        <f t="shared" si="36"/>
        <v>#VALUE!</v>
      </c>
      <c r="F225" s="217">
        <f>'TECH DATA ENTRY'!P253</f>
        <v>0</v>
      </c>
      <c r="G225" s="217">
        <v>1</v>
      </c>
      <c r="H225" s="218" t="e">
        <f t="shared" si="37"/>
        <v>#VALUE!</v>
      </c>
      <c r="I225" s="219">
        <f>'TECH DATA ENTRY'!Q253</f>
        <v>9.9999999999999995E-7</v>
      </c>
      <c r="J225" s="219" t="str">
        <f>'TECH DATA ENTRY'!$G$26</f>
        <v>Digital</v>
      </c>
      <c r="K225" s="217">
        <v>1</v>
      </c>
      <c r="L225" s="218">
        <f t="shared" si="47"/>
        <v>2.8867513459481289E-7</v>
      </c>
      <c r="M225" s="219">
        <f>'TECH DATA ENTRY'!R253</f>
        <v>0</v>
      </c>
      <c r="N225" s="219" t="str">
        <f>'TECH DATA ENTRY'!$G$26</f>
        <v>Digital</v>
      </c>
      <c r="O225" s="217">
        <v>1</v>
      </c>
      <c r="P225" s="218">
        <f t="shared" si="38"/>
        <v>0</v>
      </c>
      <c r="Q225" s="220">
        <f>'TECH DATA ENTRY'!S253</f>
        <v>1.07E-4</v>
      </c>
      <c r="R225" s="217">
        <v>1</v>
      </c>
      <c r="S225" s="218">
        <f t="shared" si="39"/>
        <v>5.3499999999999999E-5</v>
      </c>
      <c r="T225" s="220">
        <f>'TECH DATA ENTRY'!T253</f>
        <v>0</v>
      </c>
      <c r="U225" s="217">
        <v>1</v>
      </c>
      <c r="V225" s="218">
        <f t="shared" si="40"/>
        <v>0</v>
      </c>
      <c r="W225" s="220">
        <f>'TECH DATA ENTRY'!U253</f>
        <v>0</v>
      </c>
      <c r="X225" s="217">
        <v>1</v>
      </c>
      <c r="Y225" s="218">
        <f t="shared" si="41"/>
        <v>0</v>
      </c>
      <c r="Z225" s="220">
        <f>'TECH DATA ENTRY'!V253</f>
        <v>0</v>
      </c>
      <c r="AA225" s="217">
        <v>1</v>
      </c>
      <c r="AB225" s="218">
        <f t="shared" si="42"/>
        <v>0</v>
      </c>
      <c r="AC225" s="220">
        <f>'TECH DATA ENTRY'!W253</f>
        <v>0</v>
      </c>
      <c r="AD225" s="217">
        <v>1</v>
      </c>
      <c r="AE225" s="218">
        <f t="shared" si="43"/>
        <v>0</v>
      </c>
      <c r="AF225" s="220">
        <f>'TECH DATA ENTRY'!X253</f>
        <v>0</v>
      </c>
      <c r="AG225" s="217">
        <v>1</v>
      </c>
      <c r="AH225" s="218">
        <f t="shared" si="44"/>
        <v>0</v>
      </c>
      <c r="AI225" s="219" t="e">
        <f t="shared" si="45"/>
        <v>#VALUE!</v>
      </c>
      <c r="AJ225" s="221" t="str">
        <f>'TECH DATA ENTRY'!K253</f>
        <v/>
      </c>
      <c r="AK225" s="222" t="e">
        <f t="shared" si="46"/>
        <v>#VALUE!</v>
      </c>
      <c r="AL225" s="222" t="e">
        <f>VLOOKUP(AK225,'AUX TABLES'!A$2:B$29,2)</f>
        <v>#VALUE!</v>
      </c>
      <c r="AM225" s="223" t="str">
        <f>IF(OR(ISTEXT(B225)=TRUE,ISTEXT('TECH DATA ENTRY'!L253)=TRUE), "NA",AL225*AI225)</f>
        <v>NA</v>
      </c>
      <c r="AN225" s="79"/>
    </row>
    <row r="226" spans="1:40" s="80" customFormat="1" ht="20.149999999999999" customHeight="1">
      <c r="A226" s="216"/>
      <c r="B226" s="249">
        <f>'TECH DATA ENTRY'!B254</f>
        <v>0</v>
      </c>
      <c r="C226" s="217">
        <f>'TECH DATA ENTRY'!O254</f>
        <v>0</v>
      </c>
      <c r="D226" s="217">
        <v>1</v>
      </c>
      <c r="E226" s="218" t="e">
        <f t="shared" si="36"/>
        <v>#DIV/0!</v>
      </c>
      <c r="F226" s="217">
        <f>'TECH DATA ENTRY'!P254</f>
        <v>0</v>
      </c>
      <c r="G226" s="217">
        <v>1</v>
      </c>
      <c r="H226" s="218" t="e">
        <f t="shared" si="37"/>
        <v>#DIV/0!</v>
      </c>
      <c r="I226" s="219">
        <f>'TECH DATA ENTRY'!Q254</f>
        <v>0</v>
      </c>
      <c r="J226" s="219" t="str">
        <f>'TECH DATA ENTRY'!$G$26</f>
        <v>Digital</v>
      </c>
      <c r="K226" s="217">
        <v>1</v>
      </c>
      <c r="L226" s="218">
        <f t="shared" si="47"/>
        <v>0</v>
      </c>
      <c r="M226" s="219">
        <f>'TECH DATA ENTRY'!R254</f>
        <v>0</v>
      </c>
      <c r="N226" s="219" t="str">
        <f>'TECH DATA ENTRY'!$G$26</f>
        <v>Digital</v>
      </c>
      <c r="O226" s="217">
        <v>1</v>
      </c>
      <c r="P226" s="218">
        <f t="shared" si="38"/>
        <v>0</v>
      </c>
      <c r="Q226" s="220">
        <f>'TECH DATA ENTRY'!S254</f>
        <v>0</v>
      </c>
      <c r="R226" s="217">
        <v>1</v>
      </c>
      <c r="S226" s="218">
        <f t="shared" si="39"/>
        <v>0</v>
      </c>
      <c r="T226" s="220">
        <f>'TECH DATA ENTRY'!T254</f>
        <v>0</v>
      </c>
      <c r="U226" s="217">
        <v>1</v>
      </c>
      <c r="V226" s="218">
        <f t="shared" si="40"/>
        <v>0</v>
      </c>
      <c r="W226" s="220">
        <f>'TECH DATA ENTRY'!U254</f>
        <v>0</v>
      </c>
      <c r="X226" s="217">
        <v>1</v>
      </c>
      <c r="Y226" s="218">
        <f t="shared" si="41"/>
        <v>0</v>
      </c>
      <c r="Z226" s="220">
        <f>'TECH DATA ENTRY'!V254</f>
        <v>0</v>
      </c>
      <c r="AA226" s="217">
        <v>1</v>
      </c>
      <c r="AB226" s="218">
        <f t="shared" si="42"/>
        <v>0</v>
      </c>
      <c r="AC226" s="220">
        <f>'TECH DATA ENTRY'!W254</f>
        <v>0</v>
      </c>
      <c r="AD226" s="217">
        <v>1</v>
      </c>
      <c r="AE226" s="218">
        <f t="shared" si="43"/>
        <v>0</v>
      </c>
      <c r="AF226" s="220">
        <f>'TECH DATA ENTRY'!X254</f>
        <v>0</v>
      </c>
      <c r="AG226" s="217">
        <v>1</v>
      </c>
      <c r="AH226" s="218">
        <f t="shared" si="44"/>
        <v>0</v>
      </c>
      <c r="AI226" s="219" t="e">
        <f t="shared" si="45"/>
        <v>#DIV/0!</v>
      </c>
      <c r="AJ226" s="221">
        <f>'TECH DATA ENTRY'!K254</f>
        <v>0</v>
      </c>
      <c r="AK226" s="222" t="e">
        <f t="shared" si="46"/>
        <v>#DIV/0!</v>
      </c>
      <c r="AL226" s="222" t="e">
        <f>VLOOKUP(AK226,'AUX TABLES'!A$2:B$29,2)</f>
        <v>#DIV/0!</v>
      </c>
      <c r="AM226" s="223" t="e">
        <f>IF(OR(ISTEXT(B226)=TRUE,ISTEXT('TECH DATA ENTRY'!L254)=TRUE), "NA",AL226*AI226)</f>
        <v>#DIV/0!</v>
      </c>
      <c r="AN226" s="79"/>
    </row>
    <row r="227" spans="1:40" s="80" customFormat="1" ht="20.149999999999999" customHeight="1">
      <c r="A227" s="216"/>
      <c r="B227" s="249">
        <f>'TECH DATA ENTRY'!B255</f>
        <v>0</v>
      </c>
      <c r="C227" s="217">
        <f>'TECH DATA ENTRY'!O255</f>
        <v>0</v>
      </c>
      <c r="D227" s="217">
        <v>1</v>
      </c>
      <c r="E227" s="218" t="e">
        <f t="shared" si="36"/>
        <v>#DIV/0!</v>
      </c>
      <c r="F227" s="217">
        <f>'TECH DATA ENTRY'!P255</f>
        <v>0</v>
      </c>
      <c r="G227" s="217">
        <v>1</v>
      </c>
      <c r="H227" s="218" t="e">
        <f t="shared" si="37"/>
        <v>#DIV/0!</v>
      </c>
      <c r="I227" s="219">
        <f>'TECH DATA ENTRY'!Q255</f>
        <v>0</v>
      </c>
      <c r="J227" s="219" t="str">
        <f>'TECH DATA ENTRY'!$G$26</f>
        <v>Digital</v>
      </c>
      <c r="K227" s="217">
        <v>1</v>
      </c>
      <c r="L227" s="218">
        <f t="shared" si="47"/>
        <v>0</v>
      </c>
      <c r="M227" s="219">
        <f>'TECH DATA ENTRY'!R255</f>
        <v>0</v>
      </c>
      <c r="N227" s="219" t="str">
        <f>'TECH DATA ENTRY'!$G$26</f>
        <v>Digital</v>
      </c>
      <c r="O227" s="217">
        <v>1</v>
      </c>
      <c r="P227" s="218">
        <f t="shared" si="38"/>
        <v>0</v>
      </c>
      <c r="Q227" s="220">
        <f>'TECH DATA ENTRY'!S255</f>
        <v>0</v>
      </c>
      <c r="R227" s="217">
        <v>1</v>
      </c>
      <c r="S227" s="218">
        <f t="shared" si="39"/>
        <v>0</v>
      </c>
      <c r="T227" s="220">
        <f>'TECH DATA ENTRY'!T255</f>
        <v>0</v>
      </c>
      <c r="U227" s="217">
        <v>1</v>
      </c>
      <c r="V227" s="218">
        <f t="shared" si="40"/>
        <v>0</v>
      </c>
      <c r="W227" s="220">
        <f>'TECH DATA ENTRY'!U255</f>
        <v>0</v>
      </c>
      <c r="X227" s="217">
        <v>1</v>
      </c>
      <c r="Y227" s="218">
        <f t="shared" si="41"/>
        <v>0</v>
      </c>
      <c r="Z227" s="220">
        <f>'TECH DATA ENTRY'!V255</f>
        <v>0</v>
      </c>
      <c r="AA227" s="217">
        <v>1</v>
      </c>
      <c r="AB227" s="218">
        <f t="shared" si="42"/>
        <v>0</v>
      </c>
      <c r="AC227" s="220">
        <f>'TECH DATA ENTRY'!W255</f>
        <v>0</v>
      </c>
      <c r="AD227" s="217">
        <v>1</v>
      </c>
      <c r="AE227" s="218">
        <f t="shared" si="43"/>
        <v>0</v>
      </c>
      <c r="AF227" s="220">
        <f>'TECH DATA ENTRY'!X255</f>
        <v>0</v>
      </c>
      <c r="AG227" s="217">
        <v>1</v>
      </c>
      <c r="AH227" s="218">
        <f t="shared" si="44"/>
        <v>0</v>
      </c>
      <c r="AI227" s="219" t="e">
        <f t="shared" si="45"/>
        <v>#DIV/0!</v>
      </c>
      <c r="AJ227" s="221">
        <f>'TECH DATA ENTRY'!K255</f>
        <v>0</v>
      </c>
      <c r="AK227" s="222" t="e">
        <f t="shared" si="46"/>
        <v>#DIV/0!</v>
      </c>
      <c r="AL227" s="222" t="e">
        <f>VLOOKUP(AK227,'AUX TABLES'!A$2:B$29,2)</f>
        <v>#DIV/0!</v>
      </c>
      <c r="AM227" s="223" t="e">
        <f>IF(OR(ISTEXT(B227)=TRUE,ISTEXT('TECH DATA ENTRY'!L255)=TRUE), "NA",AL227*AI227)</f>
        <v>#DIV/0!</v>
      </c>
      <c r="AN227" s="79"/>
    </row>
    <row r="228" spans="1:40" s="80" customFormat="1" ht="20.149999999999999" customHeight="1">
      <c r="A228" s="216"/>
      <c r="B228" s="249">
        <f>'TECH DATA ENTRY'!B256</f>
        <v>0</v>
      </c>
      <c r="C228" s="217">
        <f>'TECH DATA ENTRY'!O256</f>
        <v>0</v>
      </c>
      <c r="D228" s="217">
        <v>1</v>
      </c>
      <c r="E228" s="218" t="e">
        <f t="shared" si="36"/>
        <v>#DIV/0!</v>
      </c>
      <c r="F228" s="217">
        <f>'TECH DATA ENTRY'!P256</f>
        <v>0</v>
      </c>
      <c r="G228" s="217">
        <v>1</v>
      </c>
      <c r="H228" s="218" t="e">
        <f t="shared" si="37"/>
        <v>#DIV/0!</v>
      </c>
      <c r="I228" s="219">
        <f>'TECH DATA ENTRY'!Q256</f>
        <v>0</v>
      </c>
      <c r="J228" s="219" t="str">
        <f>'TECH DATA ENTRY'!$G$26</f>
        <v>Digital</v>
      </c>
      <c r="K228" s="217">
        <v>1</v>
      </c>
      <c r="L228" s="218">
        <f t="shared" si="47"/>
        <v>0</v>
      </c>
      <c r="M228" s="219">
        <f>'TECH DATA ENTRY'!R256</f>
        <v>0</v>
      </c>
      <c r="N228" s="219" t="str">
        <f>'TECH DATA ENTRY'!$G$26</f>
        <v>Digital</v>
      </c>
      <c r="O228" s="217">
        <v>1</v>
      </c>
      <c r="P228" s="218">
        <f t="shared" si="38"/>
        <v>0</v>
      </c>
      <c r="Q228" s="220">
        <f>'TECH DATA ENTRY'!S256</f>
        <v>0</v>
      </c>
      <c r="R228" s="217">
        <v>1</v>
      </c>
      <c r="S228" s="218">
        <f t="shared" si="39"/>
        <v>0</v>
      </c>
      <c r="T228" s="220">
        <f>'TECH DATA ENTRY'!T256</f>
        <v>0</v>
      </c>
      <c r="U228" s="217">
        <v>1</v>
      </c>
      <c r="V228" s="218">
        <f t="shared" si="40"/>
        <v>0</v>
      </c>
      <c r="W228" s="220">
        <f>'TECH DATA ENTRY'!U256</f>
        <v>0</v>
      </c>
      <c r="X228" s="217">
        <v>1</v>
      </c>
      <c r="Y228" s="218">
        <f t="shared" si="41"/>
        <v>0</v>
      </c>
      <c r="Z228" s="220">
        <f>'TECH DATA ENTRY'!V256</f>
        <v>0</v>
      </c>
      <c r="AA228" s="217">
        <v>1</v>
      </c>
      <c r="AB228" s="218">
        <f t="shared" si="42"/>
        <v>0</v>
      </c>
      <c r="AC228" s="220">
        <f>'TECH DATA ENTRY'!W256</f>
        <v>0</v>
      </c>
      <c r="AD228" s="217">
        <v>1</v>
      </c>
      <c r="AE228" s="218">
        <f t="shared" si="43"/>
        <v>0</v>
      </c>
      <c r="AF228" s="220">
        <f>'TECH DATA ENTRY'!X256</f>
        <v>0</v>
      </c>
      <c r="AG228" s="217">
        <v>1</v>
      </c>
      <c r="AH228" s="218">
        <f t="shared" si="44"/>
        <v>0</v>
      </c>
      <c r="AI228" s="219" t="e">
        <f t="shared" si="45"/>
        <v>#DIV/0!</v>
      </c>
      <c r="AJ228" s="221">
        <f>'TECH DATA ENTRY'!K256</f>
        <v>0</v>
      </c>
      <c r="AK228" s="222" t="e">
        <f t="shared" si="46"/>
        <v>#DIV/0!</v>
      </c>
      <c r="AL228" s="222" t="e">
        <f>VLOOKUP(AK228,'AUX TABLES'!A$2:B$29,2)</f>
        <v>#DIV/0!</v>
      </c>
      <c r="AM228" s="223" t="e">
        <f>IF(OR(ISTEXT(B228)=TRUE,ISTEXT('TECH DATA ENTRY'!L256)=TRUE), "NA",AL228*AI228)</f>
        <v>#DIV/0!</v>
      </c>
      <c r="AN228" s="79"/>
    </row>
    <row r="229" spans="1:40" s="80" customFormat="1" ht="20.149999999999999" customHeight="1">
      <c r="A229" s="216"/>
      <c r="B229" s="249" t="str">
        <f>'TECH DATA ENTRY'!B257</f>
        <v>Nominal</v>
      </c>
      <c r="C229" s="217" t="str">
        <f>'TECH DATA ENTRY'!O257</f>
        <v>Uncertainty Components</v>
      </c>
      <c r="D229" s="217">
        <v>1</v>
      </c>
      <c r="E229" s="218" t="e">
        <f t="shared" si="36"/>
        <v>#VALUE!</v>
      </c>
      <c r="F229" s="217">
        <f>'TECH DATA ENTRY'!P257</f>
        <v>0</v>
      </c>
      <c r="G229" s="217">
        <v>1</v>
      </c>
      <c r="H229" s="218" t="e">
        <f t="shared" si="37"/>
        <v>#VALUE!</v>
      </c>
      <c r="I229" s="219">
        <f>'TECH DATA ENTRY'!Q257</f>
        <v>0</v>
      </c>
      <c r="J229" s="219" t="str">
        <f>'TECH DATA ENTRY'!$G$26</f>
        <v>Digital</v>
      </c>
      <c r="K229" s="217">
        <v>1</v>
      </c>
      <c r="L229" s="218">
        <f t="shared" si="47"/>
        <v>0</v>
      </c>
      <c r="M229" s="219">
        <f>'TECH DATA ENTRY'!R257</f>
        <v>0</v>
      </c>
      <c r="N229" s="219" t="str">
        <f>'TECH DATA ENTRY'!$G$26</f>
        <v>Digital</v>
      </c>
      <c r="O229" s="217">
        <v>1</v>
      </c>
      <c r="P229" s="218">
        <f t="shared" si="38"/>
        <v>0</v>
      </c>
      <c r="Q229" s="220">
        <f>'TECH DATA ENTRY'!S257</f>
        <v>0</v>
      </c>
      <c r="R229" s="217">
        <v>1</v>
      </c>
      <c r="S229" s="218">
        <f t="shared" si="39"/>
        <v>0</v>
      </c>
      <c r="T229" s="220">
        <f>'TECH DATA ENTRY'!T257</f>
        <v>0</v>
      </c>
      <c r="U229" s="217">
        <v>1</v>
      </c>
      <c r="V229" s="218">
        <f t="shared" si="40"/>
        <v>0</v>
      </c>
      <c r="W229" s="220">
        <f>'TECH DATA ENTRY'!U257</f>
        <v>0</v>
      </c>
      <c r="X229" s="217">
        <v>1</v>
      </c>
      <c r="Y229" s="218">
        <f t="shared" si="41"/>
        <v>0</v>
      </c>
      <c r="Z229" s="220">
        <f>'TECH DATA ENTRY'!V257</f>
        <v>0</v>
      </c>
      <c r="AA229" s="217">
        <v>1</v>
      </c>
      <c r="AB229" s="218">
        <f t="shared" si="42"/>
        <v>0</v>
      </c>
      <c r="AC229" s="220">
        <f>'TECH DATA ENTRY'!W257</f>
        <v>0</v>
      </c>
      <c r="AD229" s="217">
        <v>1</v>
      </c>
      <c r="AE229" s="218">
        <f t="shared" si="43"/>
        <v>0</v>
      </c>
      <c r="AF229" s="220">
        <f>'TECH DATA ENTRY'!X257</f>
        <v>0</v>
      </c>
      <c r="AG229" s="217">
        <v>1</v>
      </c>
      <c r="AH229" s="218">
        <f t="shared" si="44"/>
        <v>0</v>
      </c>
      <c r="AI229" s="219" t="e">
        <f t="shared" si="45"/>
        <v>#VALUE!</v>
      </c>
      <c r="AJ229" s="221" t="str">
        <f>'TECH DATA ENTRY'!K257</f>
        <v>n</v>
      </c>
      <c r="AK229" s="222" t="e">
        <f t="shared" si="46"/>
        <v>#VALUE!</v>
      </c>
      <c r="AL229" s="222" t="e">
        <f>VLOOKUP(AK229,'AUX TABLES'!A$2:B$29,2)</f>
        <v>#VALUE!</v>
      </c>
      <c r="AM229" s="223" t="str">
        <f>IF(OR(ISTEXT(B229)=TRUE,ISTEXT('TECH DATA ENTRY'!L257)=TRUE), "NA",AL229*AI229)</f>
        <v>NA</v>
      </c>
      <c r="AN229" s="79"/>
    </row>
    <row r="230" spans="1:40" s="80" customFormat="1" ht="20.149999999999999" customHeight="1">
      <c r="A230" s="216"/>
      <c r="B230" s="249">
        <f>'TECH DATA ENTRY'!B258</f>
        <v>0</v>
      </c>
      <c r="C230" s="217" t="str">
        <f>'TECH DATA ENTRY'!O258</f>
        <v>Stdev 1</v>
      </c>
      <c r="D230" s="217">
        <v>1</v>
      </c>
      <c r="E230" s="218" t="e">
        <f t="shared" si="36"/>
        <v>#VALUE!</v>
      </c>
      <c r="F230" s="217" t="str">
        <f>'TECH DATA ENTRY'!P258</f>
        <v>Stdev 2</v>
      </c>
      <c r="G230" s="217">
        <v>1</v>
      </c>
      <c r="H230" s="218" t="e">
        <f t="shared" si="37"/>
        <v>#VALUE!</v>
      </c>
      <c r="I230" s="219" t="str">
        <f>'TECH DATA ENTRY'!Q258</f>
        <v>Resolution 1</v>
      </c>
      <c r="J230" s="219" t="str">
        <f>'TECH DATA ENTRY'!$G$26</f>
        <v>Digital</v>
      </c>
      <c r="K230" s="217">
        <v>1</v>
      </c>
      <c r="L230" s="218" t="e">
        <f t="shared" si="47"/>
        <v>#VALUE!</v>
      </c>
      <c r="M230" s="219" t="str">
        <f>'TECH DATA ENTRY'!R258</f>
        <v>Resolution 2</v>
      </c>
      <c r="N230" s="219" t="str">
        <f>'TECH DATA ENTRY'!$G$26</f>
        <v>Digital</v>
      </c>
      <c r="O230" s="217">
        <v>1</v>
      </c>
      <c r="P230" s="218" t="e">
        <f t="shared" si="38"/>
        <v>#VALUE!</v>
      </c>
      <c r="Q230" s="220" t="str">
        <f>'TECH DATA ENTRY'!S258</f>
        <v>Scope Uncertainty</v>
      </c>
      <c r="R230" s="217">
        <v>1</v>
      </c>
      <c r="S230" s="218" t="e">
        <f t="shared" si="39"/>
        <v>#VALUE!</v>
      </c>
      <c r="T230" s="220" t="str">
        <f>'TECH DATA ENTRY'!T258</f>
        <v>STD 2 Cal Unc</v>
      </c>
      <c r="U230" s="217">
        <v>1</v>
      </c>
      <c r="V230" s="218" t="e">
        <f t="shared" si="40"/>
        <v>#VALUE!</v>
      </c>
      <c r="W230" s="220" t="str">
        <f>'TECH DATA ENTRY'!U258</f>
        <v>Others 1</v>
      </c>
      <c r="X230" s="217">
        <v>1</v>
      </c>
      <c r="Y230" s="218" t="e">
        <f t="shared" si="41"/>
        <v>#VALUE!</v>
      </c>
      <c r="Z230" s="220" t="str">
        <f>'TECH DATA ENTRY'!V258</f>
        <v>Others 2</v>
      </c>
      <c r="AA230" s="217">
        <v>1</v>
      </c>
      <c r="AB230" s="218" t="e">
        <f t="shared" si="42"/>
        <v>#VALUE!</v>
      </c>
      <c r="AC230" s="220" t="str">
        <f>'TECH DATA ENTRY'!W258</f>
        <v>Others 3</v>
      </c>
      <c r="AD230" s="217">
        <v>1</v>
      </c>
      <c r="AE230" s="218" t="e">
        <f t="shared" si="43"/>
        <v>#VALUE!</v>
      </c>
      <c r="AF230" s="220" t="str">
        <f>'TECH DATA ENTRY'!X258</f>
        <v>Others 4</v>
      </c>
      <c r="AG230" s="217">
        <v>1</v>
      </c>
      <c r="AH230" s="218" t="e">
        <f t="shared" si="44"/>
        <v>#VALUE!</v>
      </c>
      <c r="AI230" s="219" t="e">
        <f t="shared" si="45"/>
        <v>#VALUE!</v>
      </c>
      <c r="AJ230" s="221">
        <f>'TECH DATA ENTRY'!K258</f>
        <v>0</v>
      </c>
      <c r="AK230" s="222" t="e">
        <f t="shared" si="46"/>
        <v>#VALUE!</v>
      </c>
      <c r="AL230" s="222" t="e">
        <f>VLOOKUP(AK230,'AUX TABLES'!A$2:B$29,2)</f>
        <v>#VALUE!</v>
      </c>
      <c r="AM230" s="223" t="e">
        <f>IF(OR(ISTEXT(B230)=TRUE,ISTEXT('TECH DATA ENTRY'!L258)=TRUE), "NA",AL230*AI230)</f>
        <v>#VALUE!</v>
      </c>
      <c r="AN230" s="79"/>
    </row>
    <row r="231" spans="1:40" s="80" customFormat="1" ht="20.149999999999999" customHeight="1">
      <c r="A231" s="216"/>
      <c r="B231" s="249">
        <f>'TECH DATA ENTRY'!B259</f>
        <v>0</v>
      </c>
      <c r="C231" s="217" t="str">
        <f>'TECH DATA ENTRY'!O259</f>
        <v/>
      </c>
      <c r="D231" s="217">
        <v>1</v>
      </c>
      <c r="E231" s="218" t="e">
        <f t="shared" si="36"/>
        <v>#VALUE!</v>
      </c>
      <c r="F231" s="217">
        <f>'TECH DATA ENTRY'!P259</f>
        <v>0</v>
      </c>
      <c r="G231" s="217">
        <v>1</v>
      </c>
      <c r="H231" s="218" t="e">
        <f t="shared" si="37"/>
        <v>#VALUE!</v>
      </c>
      <c r="I231" s="219">
        <f>'TECH DATA ENTRY'!Q259</f>
        <v>1.0000000000000001E-5</v>
      </c>
      <c r="J231" s="219" t="str">
        <f>'TECH DATA ENTRY'!$G$26</f>
        <v>Digital</v>
      </c>
      <c r="K231" s="217">
        <v>1</v>
      </c>
      <c r="L231" s="218">
        <f t="shared" si="47"/>
        <v>2.8867513459481293E-6</v>
      </c>
      <c r="M231" s="219">
        <f>'TECH DATA ENTRY'!R259</f>
        <v>0</v>
      </c>
      <c r="N231" s="219" t="str">
        <f>'TECH DATA ENTRY'!$G$26</f>
        <v>Digital</v>
      </c>
      <c r="O231" s="217">
        <v>1</v>
      </c>
      <c r="P231" s="218">
        <f t="shared" si="38"/>
        <v>0</v>
      </c>
      <c r="Q231" s="220">
        <f>'TECH DATA ENTRY'!S259</f>
        <v>1.2E-5</v>
      </c>
      <c r="R231" s="217">
        <v>1</v>
      </c>
      <c r="S231" s="218">
        <f t="shared" si="39"/>
        <v>6.0000000000000002E-6</v>
      </c>
      <c r="T231" s="220">
        <f>'TECH DATA ENTRY'!T259</f>
        <v>0</v>
      </c>
      <c r="U231" s="217">
        <v>1</v>
      </c>
      <c r="V231" s="218">
        <f t="shared" si="40"/>
        <v>0</v>
      </c>
      <c r="W231" s="220">
        <f>'TECH DATA ENTRY'!U259</f>
        <v>0</v>
      </c>
      <c r="X231" s="217">
        <v>1</v>
      </c>
      <c r="Y231" s="218">
        <f t="shared" si="41"/>
        <v>0</v>
      </c>
      <c r="Z231" s="220">
        <f>'TECH DATA ENTRY'!V259</f>
        <v>0</v>
      </c>
      <c r="AA231" s="217">
        <v>1</v>
      </c>
      <c r="AB231" s="218">
        <f t="shared" si="42"/>
        <v>0</v>
      </c>
      <c r="AC231" s="220">
        <f>'TECH DATA ENTRY'!W259</f>
        <v>0</v>
      </c>
      <c r="AD231" s="217">
        <v>1</v>
      </c>
      <c r="AE231" s="218">
        <f t="shared" si="43"/>
        <v>0</v>
      </c>
      <c r="AF231" s="220">
        <f>'TECH DATA ENTRY'!X259</f>
        <v>0</v>
      </c>
      <c r="AG231" s="217">
        <v>1</v>
      </c>
      <c r="AH231" s="218">
        <f t="shared" si="44"/>
        <v>0</v>
      </c>
      <c r="AI231" s="219" t="e">
        <f t="shared" si="45"/>
        <v>#VALUE!</v>
      </c>
      <c r="AJ231" s="221" t="str">
        <f>'TECH DATA ENTRY'!K259</f>
        <v/>
      </c>
      <c r="AK231" s="222" t="e">
        <f t="shared" si="46"/>
        <v>#VALUE!</v>
      </c>
      <c r="AL231" s="222" t="e">
        <f>VLOOKUP(AK231,'AUX TABLES'!A$2:B$29,2)</f>
        <v>#VALUE!</v>
      </c>
      <c r="AM231" s="223" t="str">
        <f>IF(OR(ISTEXT(B231)=TRUE,ISTEXT('TECH DATA ENTRY'!L259)=TRUE), "NA",AL231*AI231)</f>
        <v>NA</v>
      </c>
      <c r="AN231" s="79"/>
    </row>
    <row r="232" spans="1:40" s="80" customFormat="1" ht="20.149999999999999" customHeight="1">
      <c r="A232" s="216"/>
      <c r="B232" s="249">
        <f>'TECH DATA ENTRY'!B260</f>
        <v>1.9</v>
      </c>
      <c r="C232" s="217" t="str">
        <f>'TECH DATA ENTRY'!O260</f>
        <v/>
      </c>
      <c r="D232" s="217">
        <v>1</v>
      </c>
      <c r="E232" s="218" t="e">
        <f t="shared" si="36"/>
        <v>#VALUE!</v>
      </c>
      <c r="F232" s="217">
        <f>'TECH DATA ENTRY'!P260</f>
        <v>0</v>
      </c>
      <c r="G232" s="217">
        <v>1</v>
      </c>
      <c r="H232" s="218" t="e">
        <f t="shared" si="37"/>
        <v>#VALUE!</v>
      </c>
      <c r="I232" s="219">
        <f>'TECH DATA ENTRY'!Q260</f>
        <v>1.0000000000000001E-5</v>
      </c>
      <c r="J232" s="219" t="str">
        <f>'TECH DATA ENTRY'!$G$26</f>
        <v>Digital</v>
      </c>
      <c r="K232" s="217">
        <v>1</v>
      </c>
      <c r="L232" s="218">
        <f t="shared" si="47"/>
        <v>2.8867513459481293E-6</v>
      </c>
      <c r="M232" s="219">
        <f>'TECH DATA ENTRY'!R260</f>
        <v>0</v>
      </c>
      <c r="N232" s="219" t="str">
        <f>'TECH DATA ENTRY'!$G$26</f>
        <v>Digital</v>
      </c>
      <c r="O232" s="217">
        <v>1</v>
      </c>
      <c r="P232" s="218">
        <f t="shared" si="38"/>
        <v>0</v>
      </c>
      <c r="Q232" s="220">
        <f>'TECH DATA ENTRY'!S260</f>
        <v>1.9249999999999999E-4</v>
      </c>
      <c r="R232" s="217">
        <v>1</v>
      </c>
      <c r="S232" s="218">
        <f t="shared" si="39"/>
        <v>9.6249999999999995E-5</v>
      </c>
      <c r="T232" s="220">
        <f>'TECH DATA ENTRY'!T260</f>
        <v>0</v>
      </c>
      <c r="U232" s="217">
        <v>1</v>
      </c>
      <c r="V232" s="218">
        <f t="shared" si="40"/>
        <v>0</v>
      </c>
      <c r="W232" s="220">
        <f>'TECH DATA ENTRY'!U260</f>
        <v>0</v>
      </c>
      <c r="X232" s="217">
        <v>1</v>
      </c>
      <c r="Y232" s="218">
        <f t="shared" si="41"/>
        <v>0</v>
      </c>
      <c r="Z232" s="220">
        <f>'TECH DATA ENTRY'!V260</f>
        <v>0</v>
      </c>
      <c r="AA232" s="217">
        <v>1</v>
      </c>
      <c r="AB232" s="218">
        <f t="shared" si="42"/>
        <v>0</v>
      </c>
      <c r="AC232" s="220">
        <f>'TECH DATA ENTRY'!W260</f>
        <v>0</v>
      </c>
      <c r="AD232" s="217">
        <v>1</v>
      </c>
      <c r="AE232" s="218">
        <f t="shared" si="43"/>
        <v>0</v>
      </c>
      <c r="AF232" s="220">
        <f>'TECH DATA ENTRY'!X260</f>
        <v>0</v>
      </c>
      <c r="AG232" s="217">
        <v>1</v>
      </c>
      <c r="AH232" s="218">
        <f t="shared" si="44"/>
        <v>0</v>
      </c>
      <c r="AI232" s="219" t="e">
        <f t="shared" si="45"/>
        <v>#VALUE!</v>
      </c>
      <c r="AJ232" s="221" t="str">
        <f>'TECH DATA ENTRY'!K260</f>
        <v/>
      </c>
      <c r="AK232" s="222" t="e">
        <f t="shared" si="46"/>
        <v>#VALUE!</v>
      </c>
      <c r="AL232" s="222" t="e">
        <f>VLOOKUP(AK232,'AUX TABLES'!A$2:B$29,2)</f>
        <v>#VALUE!</v>
      </c>
      <c r="AM232" s="223" t="str">
        <f>IF(OR(ISTEXT(B232)=TRUE,ISTEXT('TECH DATA ENTRY'!L260)=TRUE), "NA",AL232*AI232)</f>
        <v>NA</v>
      </c>
      <c r="AN232" s="79"/>
    </row>
    <row r="233" spans="1:40" s="80" customFormat="1" ht="20.149999999999999" customHeight="1">
      <c r="A233" s="216"/>
      <c r="B233" s="249">
        <f>'TECH DATA ENTRY'!B261</f>
        <v>-1.9</v>
      </c>
      <c r="C233" s="217" t="str">
        <f>'TECH DATA ENTRY'!O261</f>
        <v/>
      </c>
      <c r="D233" s="217">
        <v>1</v>
      </c>
      <c r="E233" s="218" t="e">
        <f t="shared" si="36"/>
        <v>#VALUE!</v>
      </c>
      <c r="F233" s="217">
        <f>'TECH DATA ENTRY'!P261</f>
        <v>0</v>
      </c>
      <c r="G233" s="217">
        <v>1</v>
      </c>
      <c r="H233" s="218" t="e">
        <f t="shared" si="37"/>
        <v>#VALUE!</v>
      </c>
      <c r="I233" s="219">
        <f>'TECH DATA ENTRY'!Q261</f>
        <v>1.0000000000000001E-5</v>
      </c>
      <c r="J233" s="219" t="str">
        <f>'TECH DATA ENTRY'!$G$26</f>
        <v>Digital</v>
      </c>
      <c r="K233" s="217">
        <v>1</v>
      </c>
      <c r="L233" s="218">
        <f t="shared" si="47"/>
        <v>2.8867513459481293E-6</v>
      </c>
      <c r="M233" s="219">
        <f>'TECH DATA ENTRY'!R261</f>
        <v>0</v>
      </c>
      <c r="N233" s="219" t="str">
        <f>'TECH DATA ENTRY'!$G$26</f>
        <v>Digital</v>
      </c>
      <c r="O233" s="217">
        <v>1</v>
      </c>
      <c r="P233" s="218">
        <f t="shared" si="38"/>
        <v>0</v>
      </c>
      <c r="Q233" s="220">
        <f>'TECH DATA ENTRY'!S261</f>
        <v>1.9249999999999999E-4</v>
      </c>
      <c r="R233" s="217">
        <v>1</v>
      </c>
      <c r="S233" s="218">
        <f t="shared" si="39"/>
        <v>9.6249999999999995E-5</v>
      </c>
      <c r="T233" s="220">
        <f>'TECH DATA ENTRY'!T261</f>
        <v>0</v>
      </c>
      <c r="U233" s="217">
        <v>1</v>
      </c>
      <c r="V233" s="218">
        <f t="shared" si="40"/>
        <v>0</v>
      </c>
      <c r="W233" s="220">
        <f>'TECH DATA ENTRY'!U261</f>
        <v>0</v>
      </c>
      <c r="X233" s="217">
        <v>1</v>
      </c>
      <c r="Y233" s="218">
        <f t="shared" si="41"/>
        <v>0</v>
      </c>
      <c r="Z233" s="220">
        <f>'TECH DATA ENTRY'!V261</f>
        <v>0</v>
      </c>
      <c r="AA233" s="217">
        <v>1</v>
      </c>
      <c r="AB233" s="218">
        <f t="shared" si="42"/>
        <v>0</v>
      </c>
      <c r="AC233" s="220">
        <f>'TECH DATA ENTRY'!W261</f>
        <v>0</v>
      </c>
      <c r="AD233" s="217">
        <v>1</v>
      </c>
      <c r="AE233" s="218">
        <f t="shared" si="43"/>
        <v>0</v>
      </c>
      <c r="AF233" s="220">
        <f>'TECH DATA ENTRY'!X261</f>
        <v>0</v>
      </c>
      <c r="AG233" s="217">
        <v>1</v>
      </c>
      <c r="AH233" s="218">
        <f t="shared" si="44"/>
        <v>0</v>
      </c>
      <c r="AI233" s="219" t="e">
        <f t="shared" si="45"/>
        <v>#VALUE!</v>
      </c>
      <c r="AJ233" s="221" t="str">
        <f>'TECH DATA ENTRY'!K261</f>
        <v/>
      </c>
      <c r="AK233" s="222" t="e">
        <f t="shared" si="46"/>
        <v>#VALUE!</v>
      </c>
      <c r="AL233" s="222" t="e">
        <f>VLOOKUP(AK233,'AUX TABLES'!A$2:B$29,2)</f>
        <v>#VALUE!</v>
      </c>
      <c r="AM233" s="223" t="str">
        <f>IF(OR(ISTEXT(B233)=TRUE,ISTEXT('TECH DATA ENTRY'!L261)=TRUE), "NA",AL233*AI233)</f>
        <v>NA</v>
      </c>
      <c r="AN233" s="79"/>
    </row>
    <row r="234" spans="1:40" s="80" customFormat="1" ht="20.149999999999999" customHeight="1">
      <c r="A234" s="216"/>
      <c r="B234" s="249">
        <f>'TECH DATA ENTRY'!B262</f>
        <v>0</v>
      </c>
      <c r="C234" s="217">
        <f>'TECH DATA ENTRY'!O262</f>
        <v>0</v>
      </c>
      <c r="D234" s="217">
        <v>1</v>
      </c>
      <c r="E234" s="218" t="e">
        <f t="shared" si="36"/>
        <v>#DIV/0!</v>
      </c>
      <c r="F234" s="217">
        <f>'TECH DATA ENTRY'!P262</f>
        <v>0</v>
      </c>
      <c r="G234" s="217">
        <v>1</v>
      </c>
      <c r="H234" s="218" t="e">
        <f t="shared" si="37"/>
        <v>#DIV/0!</v>
      </c>
      <c r="I234" s="219">
        <f>'TECH DATA ENTRY'!Q262</f>
        <v>0</v>
      </c>
      <c r="J234" s="219" t="str">
        <f>'TECH DATA ENTRY'!$G$26</f>
        <v>Digital</v>
      </c>
      <c r="K234" s="217">
        <v>1</v>
      </c>
      <c r="L234" s="218">
        <f t="shared" si="47"/>
        <v>0</v>
      </c>
      <c r="M234" s="219">
        <f>'TECH DATA ENTRY'!R262</f>
        <v>0</v>
      </c>
      <c r="N234" s="219" t="str">
        <f>'TECH DATA ENTRY'!$G$26</f>
        <v>Digital</v>
      </c>
      <c r="O234" s="217">
        <v>1</v>
      </c>
      <c r="P234" s="218">
        <f t="shared" si="38"/>
        <v>0</v>
      </c>
      <c r="Q234" s="220">
        <f>'TECH DATA ENTRY'!S262</f>
        <v>0</v>
      </c>
      <c r="R234" s="217">
        <v>1</v>
      </c>
      <c r="S234" s="218">
        <f t="shared" si="39"/>
        <v>0</v>
      </c>
      <c r="T234" s="220">
        <f>'TECH DATA ENTRY'!T262</f>
        <v>0</v>
      </c>
      <c r="U234" s="217">
        <v>1</v>
      </c>
      <c r="V234" s="218">
        <f t="shared" si="40"/>
        <v>0</v>
      </c>
      <c r="W234" s="220">
        <f>'TECH DATA ENTRY'!U262</f>
        <v>0</v>
      </c>
      <c r="X234" s="217">
        <v>1</v>
      </c>
      <c r="Y234" s="218">
        <f t="shared" si="41"/>
        <v>0</v>
      </c>
      <c r="Z234" s="220">
        <f>'TECH DATA ENTRY'!V262</f>
        <v>0</v>
      </c>
      <c r="AA234" s="217">
        <v>1</v>
      </c>
      <c r="AB234" s="218">
        <f t="shared" si="42"/>
        <v>0</v>
      </c>
      <c r="AC234" s="220">
        <f>'TECH DATA ENTRY'!W262</f>
        <v>0</v>
      </c>
      <c r="AD234" s="217">
        <v>1</v>
      </c>
      <c r="AE234" s="218">
        <f t="shared" si="43"/>
        <v>0</v>
      </c>
      <c r="AF234" s="220">
        <f>'TECH DATA ENTRY'!X262</f>
        <v>0</v>
      </c>
      <c r="AG234" s="217">
        <v>1</v>
      </c>
      <c r="AH234" s="218">
        <f t="shared" si="44"/>
        <v>0</v>
      </c>
      <c r="AI234" s="219" t="e">
        <f t="shared" si="45"/>
        <v>#DIV/0!</v>
      </c>
      <c r="AJ234" s="221">
        <f>'TECH DATA ENTRY'!K262</f>
        <v>0</v>
      </c>
      <c r="AK234" s="222" t="e">
        <f t="shared" si="46"/>
        <v>#DIV/0!</v>
      </c>
      <c r="AL234" s="222" t="e">
        <f>VLOOKUP(AK234,'AUX TABLES'!A$2:B$29,2)</f>
        <v>#DIV/0!</v>
      </c>
      <c r="AM234" s="223" t="e">
        <f>IF(OR(ISTEXT(B234)=TRUE,ISTEXT('TECH DATA ENTRY'!L262)=TRUE), "NA",AL234*AI234)</f>
        <v>#DIV/0!</v>
      </c>
      <c r="AN234" s="79"/>
    </row>
    <row r="235" spans="1:40" s="80" customFormat="1" ht="20.149999999999999" customHeight="1">
      <c r="A235" s="216"/>
      <c r="B235" s="249">
        <f>'TECH DATA ENTRY'!B263</f>
        <v>0</v>
      </c>
      <c r="C235" s="217">
        <f>'TECH DATA ENTRY'!O263</f>
        <v>0</v>
      </c>
      <c r="D235" s="217">
        <v>1</v>
      </c>
      <c r="E235" s="218" t="e">
        <f t="shared" si="36"/>
        <v>#DIV/0!</v>
      </c>
      <c r="F235" s="217">
        <f>'TECH DATA ENTRY'!P263</f>
        <v>0</v>
      </c>
      <c r="G235" s="217">
        <v>1</v>
      </c>
      <c r="H235" s="218" t="e">
        <f t="shared" si="37"/>
        <v>#DIV/0!</v>
      </c>
      <c r="I235" s="219">
        <f>'TECH DATA ENTRY'!Q263</f>
        <v>0</v>
      </c>
      <c r="J235" s="219" t="str">
        <f>'TECH DATA ENTRY'!$G$26</f>
        <v>Digital</v>
      </c>
      <c r="K235" s="217">
        <v>1</v>
      </c>
      <c r="L235" s="218">
        <f t="shared" si="47"/>
        <v>0</v>
      </c>
      <c r="M235" s="219">
        <f>'TECH DATA ENTRY'!R263</f>
        <v>0</v>
      </c>
      <c r="N235" s="219" t="str">
        <f>'TECH DATA ENTRY'!$G$26</f>
        <v>Digital</v>
      </c>
      <c r="O235" s="217">
        <v>1</v>
      </c>
      <c r="P235" s="218">
        <f t="shared" si="38"/>
        <v>0</v>
      </c>
      <c r="Q235" s="220">
        <f>'TECH DATA ENTRY'!S263</f>
        <v>0</v>
      </c>
      <c r="R235" s="217">
        <v>1</v>
      </c>
      <c r="S235" s="218">
        <f t="shared" si="39"/>
        <v>0</v>
      </c>
      <c r="T235" s="220">
        <f>'TECH DATA ENTRY'!T263</f>
        <v>0</v>
      </c>
      <c r="U235" s="217">
        <v>1</v>
      </c>
      <c r="V235" s="218">
        <f t="shared" si="40"/>
        <v>0</v>
      </c>
      <c r="W235" s="220">
        <f>'TECH DATA ENTRY'!U263</f>
        <v>0</v>
      </c>
      <c r="X235" s="217">
        <v>1</v>
      </c>
      <c r="Y235" s="218">
        <f t="shared" si="41"/>
        <v>0</v>
      </c>
      <c r="Z235" s="220">
        <f>'TECH DATA ENTRY'!V263</f>
        <v>0</v>
      </c>
      <c r="AA235" s="217">
        <v>1</v>
      </c>
      <c r="AB235" s="218">
        <f t="shared" si="42"/>
        <v>0</v>
      </c>
      <c r="AC235" s="220">
        <f>'TECH DATA ENTRY'!W263</f>
        <v>0</v>
      </c>
      <c r="AD235" s="217">
        <v>1</v>
      </c>
      <c r="AE235" s="218">
        <f t="shared" si="43"/>
        <v>0</v>
      </c>
      <c r="AF235" s="220">
        <f>'TECH DATA ENTRY'!X263</f>
        <v>0</v>
      </c>
      <c r="AG235" s="217">
        <v>1</v>
      </c>
      <c r="AH235" s="218">
        <f t="shared" si="44"/>
        <v>0</v>
      </c>
      <c r="AI235" s="219" t="e">
        <f t="shared" si="45"/>
        <v>#DIV/0!</v>
      </c>
      <c r="AJ235" s="221">
        <f>'TECH DATA ENTRY'!K263</f>
        <v>0</v>
      </c>
      <c r="AK235" s="222" t="e">
        <f t="shared" si="46"/>
        <v>#DIV/0!</v>
      </c>
      <c r="AL235" s="222" t="e">
        <f>VLOOKUP(AK235,'AUX TABLES'!A$2:B$29,2)</f>
        <v>#DIV/0!</v>
      </c>
      <c r="AM235" s="223" t="e">
        <f>IF(OR(ISTEXT(B235)=TRUE,ISTEXT('TECH DATA ENTRY'!L263)=TRUE), "NA",AL235*AI235)</f>
        <v>#DIV/0!</v>
      </c>
      <c r="AN235" s="79"/>
    </row>
    <row r="236" spans="1:40" s="80" customFormat="1" ht="20.149999999999999" customHeight="1">
      <c r="A236" s="216"/>
      <c r="B236" s="249">
        <f>'TECH DATA ENTRY'!B264</f>
        <v>0</v>
      </c>
      <c r="C236" s="217">
        <f>'TECH DATA ENTRY'!O264</f>
        <v>0</v>
      </c>
      <c r="D236" s="217">
        <v>1</v>
      </c>
      <c r="E236" s="218" t="e">
        <f t="shared" si="36"/>
        <v>#DIV/0!</v>
      </c>
      <c r="F236" s="217">
        <f>'TECH DATA ENTRY'!P264</f>
        <v>0</v>
      </c>
      <c r="G236" s="217">
        <v>1</v>
      </c>
      <c r="H236" s="218" t="e">
        <f t="shared" si="37"/>
        <v>#DIV/0!</v>
      </c>
      <c r="I236" s="219">
        <f>'TECH DATA ENTRY'!Q264</f>
        <v>0</v>
      </c>
      <c r="J236" s="219" t="str">
        <f>'TECH DATA ENTRY'!$G$26</f>
        <v>Digital</v>
      </c>
      <c r="K236" s="217">
        <v>1</v>
      </c>
      <c r="L236" s="218">
        <f t="shared" si="47"/>
        <v>0</v>
      </c>
      <c r="M236" s="219">
        <f>'TECH DATA ENTRY'!R264</f>
        <v>0</v>
      </c>
      <c r="N236" s="219" t="str">
        <f>'TECH DATA ENTRY'!$G$26</f>
        <v>Digital</v>
      </c>
      <c r="O236" s="217">
        <v>1</v>
      </c>
      <c r="P236" s="218">
        <f t="shared" si="38"/>
        <v>0</v>
      </c>
      <c r="Q236" s="220">
        <f>'TECH DATA ENTRY'!S264</f>
        <v>0</v>
      </c>
      <c r="R236" s="217">
        <v>1</v>
      </c>
      <c r="S236" s="218">
        <f t="shared" si="39"/>
        <v>0</v>
      </c>
      <c r="T236" s="220">
        <f>'TECH DATA ENTRY'!T264</f>
        <v>0</v>
      </c>
      <c r="U236" s="217">
        <v>1</v>
      </c>
      <c r="V236" s="218">
        <f t="shared" si="40"/>
        <v>0</v>
      </c>
      <c r="W236" s="220">
        <f>'TECH DATA ENTRY'!U264</f>
        <v>0</v>
      </c>
      <c r="X236" s="217">
        <v>1</v>
      </c>
      <c r="Y236" s="218">
        <f t="shared" si="41"/>
        <v>0</v>
      </c>
      <c r="Z236" s="220">
        <f>'TECH DATA ENTRY'!V264</f>
        <v>0</v>
      </c>
      <c r="AA236" s="217">
        <v>1</v>
      </c>
      <c r="AB236" s="218">
        <f t="shared" si="42"/>
        <v>0</v>
      </c>
      <c r="AC236" s="220">
        <f>'TECH DATA ENTRY'!W264</f>
        <v>0</v>
      </c>
      <c r="AD236" s="217">
        <v>1</v>
      </c>
      <c r="AE236" s="218">
        <f t="shared" si="43"/>
        <v>0</v>
      </c>
      <c r="AF236" s="220">
        <f>'TECH DATA ENTRY'!X264</f>
        <v>0</v>
      </c>
      <c r="AG236" s="217">
        <v>1</v>
      </c>
      <c r="AH236" s="218">
        <f t="shared" si="44"/>
        <v>0</v>
      </c>
      <c r="AI236" s="219" t="e">
        <f t="shared" si="45"/>
        <v>#DIV/0!</v>
      </c>
      <c r="AJ236" s="221">
        <f>'TECH DATA ENTRY'!K264</f>
        <v>0</v>
      </c>
      <c r="AK236" s="222" t="e">
        <f t="shared" si="46"/>
        <v>#DIV/0!</v>
      </c>
      <c r="AL236" s="222" t="e">
        <f>VLOOKUP(AK236,'AUX TABLES'!A$2:B$29,2)</f>
        <v>#DIV/0!</v>
      </c>
      <c r="AM236" s="223" t="e">
        <f>IF(OR(ISTEXT(B236)=TRUE,ISTEXT('TECH DATA ENTRY'!L264)=TRUE), "NA",AL236*AI236)</f>
        <v>#DIV/0!</v>
      </c>
      <c r="AN236" s="79"/>
    </row>
    <row r="237" spans="1:40" s="80" customFormat="1" ht="20.149999999999999" customHeight="1">
      <c r="A237" s="216"/>
      <c r="B237" s="249" t="str">
        <f>'TECH DATA ENTRY'!B265</f>
        <v>Nominal</v>
      </c>
      <c r="C237" s="217" t="str">
        <f>'TECH DATA ENTRY'!O265</f>
        <v>Uncertainty Components</v>
      </c>
      <c r="D237" s="217">
        <v>1</v>
      </c>
      <c r="E237" s="218" t="e">
        <f t="shared" si="36"/>
        <v>#VALUE!</v>
      </c>
      <c r="F237" s="217">
        <f>'TECH DATA ENTRY'!P265</f>
        <v>0</v>
      </c>
      <c r="G237" s="217">
        <v>1</v>
      </c>
      <c r="H237" s="218" t="e">
        <f t="shared" si="37"/>
        <v>#VALUE!</v>
      </c>
      <c r="I237" s="219">
        <f>'TECH DATA ENTRY'!Q265</f>
        <v>0</v>
      </c>
      <c r="J237" s="219" t="str">
        <f>'TECH DATA ENTRY'!$G$26</f>
        <v>Digital</v>
      </c>
      <c r="K237" s="217">
        <v>1</v>
      </c>
      <c r="L237" s="218">
        <f t="shared" si="47"/>
        <v>0</v>
      </c>
      <c r="M237" s="219">
        <f>'TECH DATA ENTRY'!R265</f>
        <v>0</v>
      </c>
      <c r="N237" s="219" t="str">
        <f>'TECH DATA ENTRY'!$G$26</f>
        <v>Digital</v>
      </c>
      <c r="O237" s="217">
        <v>1</v>
      </c>
      <c r="P237" s="218">
        <f t="shared" si="38"/>
        <v>0</v>
      </c>
      <c r="Q237" s="220">
        <f>'TECH DATA ENTRY'!S265</f>
        <v>0</v>
      </c>
      <c r="R237" s="217">
        <v>1</v>
      </c>
      <c r="S237" s="218">
        <f t="shared" si="39"/>
        <v>0</v>
      </c>
      <c r="T237" s="220">
        <f>'TECH DATA ENTRY'!T265</f>
        <v>0</v>
      </c>
      <c r="U237" s="217">
        <v>1</v>
      </c>
      <c r="V237" s="218">
        <f t="shared" si="40"/>
        <v>0</v>
      </c>
      <c r="W237" s="220">
        <f>'TECH DATA ENTRY'!U265</f>
        <v>0</v>
      </c>
      <c r="X237" s="217">
        <v>1</v>
      </c>
      <c r="Y237" s="218">
        <f t="shared" si="41"/>
        <v>0</v>
      </c>
      <c r="Z237" s="220">
        <f>'TECH DATA ENTRY'!V265</f>
        <v>0</v>
      </c>
      <c r="AA237" s="217">
        <v>1</v>
      </c>
      <c r="AB237" s="218">
        <f t="shared" si="42"/>
        <v>0</v>
      </c>
      <c r="AC237" s="220">
        <f>'TECH DATA ENTRY'!W265</f>
        <v>0</v>
      </c>
      <c r="AD237" s="217">
        <v>1</v>
      </c>
      <c r="AE237" s="218">
        <f t="shared" si="43"/>
        <v>0</v>
      </c>
      <c r="AF237" s="220">
        <f>'TECH DATA ENTRY'!X265</f>
        <v>0</v>
      </c>
      <c r="AG237" s="217">
        <v>1</v>
      </c>
      <c r="AH237" s="218">
        <f t="shared" si="44"/>
        <v>0</v>
      </c>
      <c r="AI237" s="219" t="e">
        <f t="shared" si="45"/>
        <v>#VALUE!</v>
      </c>
      <c r="AJ237" s="221" t="str">
        <f>'TECH DATA ENTRY'!K265</f>
        <v>n</v>
      </c>
      <c r="AK237" s="222" t="e">
        <f t="shared" si="46"/>
        <v>#VALUE!</v>
      </c>
      <c r="AL237" s="222" t="e">
        <f>VLOOKUP(AK237,'AUX TABLES'!A$2:B$29,2)</f>
        <v>#VALUE!</v>
      </c>
      <c r="AM237" s="223" t="str">
        <f>IF(OR(ISTEXT(B237)=TRUE,ISTEXT('TECH DATA ENTRY'!L265)=TRUE), "NA",AL237*AI237)</f>
        <v>NA</v>
      </c>
      <c r="AN237" s="79"/>
    </row>
    <row r="238" spans="1:40" s="80" customFormat="1" ht="20.149999999999999" customHeight="1">
      <c r="A238" s="216"/>
      <c r="B238" s="249">
        <f>'TECH DATA ENTRY'!B266</f>
        <v>0</v>
      </c>
      <c r="C238" s="217" t="str">
        <f>'TECH DATA ENTRY'!O266</f>
        <v>Stdev 1</v>
      </c>
      <c r="D238" s="217">
        <v>1</v>
      </c>
      <c r="E238" s="218" t="e">
        <f t="shared" si="36"/>
        <v>#VALUE!</v>
      </c>
      <c r="F238" s="217" t="str">
        <f>'TECH DATA ENTRY'!P266</f>
        <v>Stdev 2</v>
      </c>
      <c r="G238" s="217">
        <v>1</v>
      </c>
      <c r="H238" s="218" t="e">
        <f t="shared" si="37"/>
        <v>#VALUE!</v>
      </c>
      <c r="I238" s="219" t="str">
        <f>'TECH DATA ENTRY'!Q266</f>
        <v>Resolution 1</v>
      </c>
      <c r="J238" s="219" t="str">
        <f>'TECH DATA ENTRY'!$G$26</f>
        <v>Digital</v>
      </c>
      <c r="K238" s="217">
        <v>1</v>
      </c>
      <c r="L238" s="218" t="e">
        <f t="shared" si="47"/>
        <v>#VALUE!</v>
      </c>
      <c r="M238" s="219" t="str">
        <f>'TECH DATA ENTRY'!R266</f>
        <v>Resolution 2</v>
      </c>
      <c r="N238" s="219" t="str">
        <f>'TECH DATA ENTRY'!$G$26</f>
        <v>Digital</v>
      </c>
      <c r="O238" s="217">
        <v>1</v>
      </c>
      <c r="P238" s="218" t="e">
        <f t="shared" si="38"/>
        <v>#VALUE!</v>
      </c>
      <c r="Q238" s="220" t="str">
        <f>'TECH DATA ENTRY'!S266</f>
        <v>Scope Uncertainty</v>
      </c>
      <c r="R238" s="217">
        <v>1</v>
      </c>
      <c r="S238" s="218" t="e">
        <f t="shared" si="39"/>
        <v>#VALUE!</v>
      </c>
      <c r="T238" s="220" t="str">
        <f>'TECH DATA ENTRY'!T266</f>
        <v>STD 2 Cal Unc</v>
      </c>
      <c r="U238" s="217">
        <v>1</v>
      </c>
      <c r="V238" s="218" t="e">
        <f t="shared" si="40"/>
        <v>#VALUE!</v>
      </c>
      <c r="W238" s="220" t="str">
        <f>'TECH DATA ENTRY'!U266</f>
        <v>Others 1</v>
      </c>
      <c r="X238" s="217">
        <v>1</v>
      </c>
      <c r="Y238" s="218" t="e">
        <f t="shared" si="41"/>
        <v>#VALUE!</v>
      </c>
      <c r="Z238" s="220" t="str">
        <f>'TECH DATA ENTRY'!V266</f>
        <v>Others 2</v>
      </c>
      <c r="AA238" s="217">
        <v>1</v>
      </c>
      <c r="AB238" s="218" t="e">
        <f t="shared" si="42"/>
        <v>#VALUE!</v>
      </c>
      <c r="AC238" s="220" t="str">
        <f>'TECH DATA ENTRY'!W266</f>
        <v>Others 3</v>
      </c>
      <c r="AD238" s="217">
        <v>1</v>
      </c>
      <c r="AE238" s="218" t="e">
        <f t="shared" si="43"/>
        <v>#VALUE!</v>
      </c>
      <c r="AF238" s="220" t="str">
        <f>'TECH DATA ENTRY'!X266</f>
        <v>Others 4</v>
      </c>
      <c r="AG238" s="217">
        <v>1</v>
      </c>
      <c r="AH238" s="218" t="e">
        <f t="shared" si="44"/>
        <v>#VALUE!</v>
      </c>
      <c r="AI238" s="219" t="e">
        <f t="shared" si="45"/>
        <v>#VALUE!</v>
      </c>
      <c r="AJ238" s="221">
        <f>'TECH DATA ENTRY'!K266</f>
        <v>0</v>
      </c>
      <c r="AK238" s="222" t="e">
        <f t="shared" si="46"/>
        <v>#VALUE!</v>
      </c>
      <c r="AL238" s="222" t="e">
        <f>VLOOKUP(AK238,'AUX TABLES'!A$2:B$29,2)</f>
        <v>#VALUE!</v>
      </c>
      <c r="AM238" s="223" t="e">
        <f>IF(OR(ISTEXT(B238)=TRUE,ISTEXT('TECH DATA ENTRY'!L266)=TRUE), "NA",AL238*AI238)</f>
        <v>#VALUE!</v>
      </c>
      <c r="AN238" s="79"/>
    </row>
    <row r="239" spans="1:40" s="80" customFormat="1" ht="20.149999999999999" customHeight="1">
      <c r="A239" s="216"/>
      <c r="B239" s="249">
        <f>'TECH DATA ENTRY'!B267</f>
        <v>0</v>
      </c>
      <c r="C239" s="217" t="str">
        <f>'TECH DATA ENTRY'!O267</f>
        <v/>
      </c>
      <c r="D239" s="217">
        <v>1</v>
      </c>
      <c r="E239" s="218" t="e">
        <f t="shared" si="36"/>
        <v>#VALUE!</v>
      </c>
      <c r="F239" s="217">
        <f>'TECH DATA ENTRY'!P267</f>
        <v>0</v>
      </c>
      <c r="G239" s="217">
        <v>1</v>
      </c>
      <c r="H239" s="218" t="e">
        <f t="shared" si="37"/>
        <v>#VALUE!</v>
      </c>
      <c r="I239" s="219">
        <f>'TECH DATA ENTRY'!Q267</f>
        <v>1.0000000000000001E-5</v>
      </c>
      <c r="J239" s="219" t="str">
        <f>'TECH DATA ENTRY'!$G$26</f>
        <v>Digital</v>
      </c>
      <c r="K239" s="217">
        <v>1</v>
      </c>
      <c r="L239" s="218">
        <f t="shared" si="47"/>
        <v>2.8867513459481293E-6</v>
      </c>
      <c r="M239" s="219">
        <f>'TECH DATA ENTRY'!R267</f>
        <v>0</v>
      </c>
      <c r="N239" s="219" t="str">
        <f>'TECH DATA ENTRY'!$G$26</f>
        <v>Digital</v>
      </c>
      <c r="O239" s="217">
        <v>1</v>
      </c>
      <c r="P239" s="218">
        <f t="shared" si="38"/>
        <v>0</v>
      </c>
      <c r="Q239" s="220">
        <f>'TECH DATA ENTRY'!S267</f>
        <v>1E-3</v>
      </c>
      <c r="R239" s="217">
        <v>1</v>
      </c>
      <c r="S239" s="218">
        <f t="shared" si="39"/>
        <v>5.0000000000000001E-4</v>
      </c>
      <c r="T239" s="220">
        <f>'TECH DATA ENTRY'!T267</f>
        <v>0</v>
      </c>
      <c r="U239" s="217">
        <v>1</v>
      </c>
      <c r="V239" s="218">
        <f t="shared" si="40"/>
        <v>0</v>
      </c>
      <c r="W239" s="220">
        <f>'TECH DATA ENTRY'!U267</f>
        <v>0</v>
      </c>
      <c r="X239" s="217">
        <v>1</v>
      </c>
      <c r="Y239" s="218">
        <f t="shared" si="41"/>
        <v>0</v>
      </c>
      <c r="Z239" s="220">
        <f>'TECH DATA ENTRY'!V267</f>
        <v>0</v>
      </c>
      <c r="AA239" s="217">
        <v>1</v>
      </c>
      <c r="AB239" s="218">
        <f t="shared" si="42"/>
        <v>0</v>
      </c>
      <c r="AC239" s="220">
        <f>'TECH DATA ENTRY'!W267</f>
        <v>0</v>
      </c>
      <c r="AD239" s="217">
        <v>1</v>
      </c>
      <c r="AE239" s="218">
        <f t="shared" si="43"/>
        <v>0</v>
      </c>
      <c r="AF239" s="220">
        <f>'TECH DATA ENTRY'!X267</f>
        <v>0</v>
      </c>
      <c r="AG239" s="217">
        <v>1</v>
      </c>
      <c r="AH239" s="218">
        <f t="shared" si="44"/>
        <v>0</v>
      </c>
      <c r="AI239" s="219" t="e">
        <f t="shared" si="45"/>
        <v>#VALUE!</v>
      </c>
      <c r="AJ239" s="221" t="str">
        <f>'TECH DATA ENTRY'!K267</f>
        <v/>
      </c>
      <c r="AK239" s="222" t="e">
        <f t="shared" si="46"/>
        <v>#VALUE!</v>
      </c>
      <c r="AL239" s="222" t="e">
        <f>VLOOKUP(AK239,'AUX TABLES'!A$2:B$29,2)</f>
        <v>#VALUE!</v>
      </c>
      <c r="AM239" s="223" t="str">
        <f>IF(OR(ISTEXT(B239)=TRUE,ISTEXT('TECH DATA ENTRY'!L267)=TRUE), "NA",AL239*AI239)</f>
        <v>NA</v>
      </c>
      <c r="AN239" s="79"/>
    </row>
    <row r="240" spans="1:40" s="80" customFormat="1" ht="20.149999999999999" customHeight="1">
      <c r="A240" s="216"/>
      <c r="B240" s="249">
        <f>'TECH DATA ENTRY'!B268</f>
        <v>10</v>
      </c>
      <c r="C240" s="217" t="str">
        <f>'TECH DATA ENTRY'!O268</f>
        <v/>
      </c>
      <c r="D240" s="217">
        <v>1</v>
      </c>
      <c r="E240" s="218" t="e">
        <f t="shared" si="36"/>
        <v>#VALUE!</v>
      </c>
      <c r="F240" s="217">
        <f>'TECH DATA ENTRY'!P268</f>
        <v>0</v>
      </c>
      <c r="G240" s="217">
        <v>1</v>
      </c>
      <c r="H240" s="218" t="e">
        <f t="shared" si="37"/>
        <v>#VALUE!</v>
      </c>
      <c r="I240" s="219">
        <f>'TECH DATA ENTRY'!Q268</f>
        <v>1.0000000000000001E-5</v>
      </c>
      <c r="J240" s="219" t="str">
        <f>'TECH DATA ENTRY'!$G$26</f>
        <v>Digital</v>
      </c>
      <c r="K240" s="217">
        <v>1</v>
      </c>
      <c r="L240" s="218">
        <f t="shared" si="47"/>
        <v>2.8867513459481293E-6</v>
      </c>
      <c r="M240" s="219">
        <f>'TECH DATA ENTRY'!R268</f>
        <v>0</v>
      </c>
      <c r="N240" s="219" t="str">
        <f>'TECH DATA ENTRY'!$G$26</f>
        <v>Digital</v>
      </c>
      <c r="O240" s="217">
        <v>1</v>
      </c>
      <c r="P240" s="218">
        <f t="shared" si="38"/>
        <v>0</v>
      </c>
      <c r="Q240" s="220">
        <f>'TECH DATA ENTRY'!S268</f>
        <v>4.3499999999999997E-3</v>
      </c>
      <c r="R240" s="217">
        <v>1</v>
      </c>
      <c r="S240" s="218">
        <f t="shared" si="39"/>
        <v>2.1749999999999999E-3</v>
      </c>
      <c r="T240" s="220">
        <f>'TECH DATA ENTRY'!T268</f>
        <v>0</v>
      </c>
      <c r="U240" s="217">
        <v>1</v>
      </c>
      <c r="V240" s="218">
        <f t="shared" si="40"/>
        <v>0</v>
      </c>
      <c r="W240" s="220">
        <f>'TECH DATA ENTRY'!U268</f>
        <v>0</v>
      </c>
      <c r="X240" s="217">
        <v>1</v>
      </c>
      <c r="Y240" s="218">
        <f t="shared" si="41"/>
        <v>0</v>
      </c>
      <c r="Z240" s="220">
        <f>'TECH DATA ENTRY'!V268</f>
        <v>0</v>
      </c>
      <c r="AA240" s="217">
        <v>1</v>
      </c>
      <c r="AB240" s="218">
        <f t="shared" si="42"/>
        <v>0</v>
      </c>
      <c r="AC240" s="220">
        <f>'TECH DATA ENTRY'!W268</f>
        <v>0</v>
      </c>
      <c r="AD240" s="217">
        <v>1</v>
      </c>
      <c r="AE240" s="218">
        <f t="shared" si="43"/>
        <v>0</v>
      </c>
      <c r="AF240" s="220">
        <f>'TECH DATA ENTRY'!X268</f>
        <v>0</v>
      </c>
      <c r="AG240" s="217">
        <v>1</v>
      </c>
      <c r="AH240" s="218">
        <f t="shared" si="44"/>
        <v>0</v>
      </c>
      <c r="AI240" s="219" t="e">
        <f t="shared" si="45"/>
        <v>#VALUE!</v>
      </c>
      <c r="AJ240" s="221" t="str">
        <f>'TECH DATA ENTRY'!K268</f>
        <v/>
      </c>
      <c r="AK240" s="222" t="e">
        <f t="shared" si="46"/>
        <v>#VALUE!</v>
      </c>
      <c r="AL240" s="222" t="e">
        <f>VLOOKUP(AK240,'AUX TABLES'!A$2:B$29,2)</f>
        <v>#VALUE!</v>
      </c>
      <c r="AM240" s="223" t="str">
        <f>IF(OR(ISTEXT(B240)=TRUE,ISTEXT('TECH DATA ENTRY'!L268)=TRUE), "NA",AL240*AI240)</f>
        <v>NA</v>
      </c>
      <c r="AN240" s="79"/>
    </row>
    <row r="241" spans="1:40" s="80" customFormat="1" ht="20.149999999999999" customHeight="1">
      <c r="A241" s="216"/>
      <c r="B241" s="249">
        <f>'TECH DATA ENTRY'!B269</f>
        <v>-10</v>
      </c>
      <c r="C241" s="217" t="str">
        <f>'TECH DATA ENTRY'!O269</f>
        <v/>
      </c>
      <c r="D241" s="217">
        <v>1</v>
      </c>
      <c r="E241" s="218" t="e">
        <f t="shared" si="36"/>
        <v>#VALUE!</v>
      </c>
      <c r="F241" s="217">
        <f>'TECH DATA ENTRY'!P269</f>
        <v>0</v>
      </c>
      <c r="G241" s="217">
        <v>1</v>
      </c>
      <c r="H241" s="218" t="e">
        <f t="shared" si="37"/>
        <v>#VALUE!</v>
      </c>
      <c r="I241" s="219">
        <f>'TECH DATA ENTRY'!Q269</f>
        <v>1.0000000000000001E-5</v>
      </c>
      <c r="J241" s="219" t="str">
        <f>'TECH DATA ENTRY'!$G$26</f>
        <v>Digital</v>
      </c>
      <c r="K241" s="217">
        <v>1</v>
      </c>
      <c r="L241" s="218">
        <f t="shared" si="47"/>
        <v>2.8867513459481293E-6</v>
      </c>
      <c r="M241" s="219">
        <f>'TECH DATA ENTRY'!R269</f>
        <v>0</v>
      </c>
      <c r="N241" s="219" t="str">
        <f>'TECH DATA ENTRY'!$G$26</f>
        <v>Digital</v>
      </c>
      <c r="O241" s="217">
        <v>1</v>
      </c>
      <c r="P241" s="218">
        <f t="shared" si="38"/>
        <v>0</v>
      </c>
      <c r="Q241" s="220">
        <f>'TECH DATA ENTRY'!S269</f>
        <v>4.3499999999999997E-3</v>
      </c>
      <c r="R241" s="217">
        <v>1</v>
      </c>
      <c r="S241" s="218">
        <f t="shared" si="39"/>
        <v>2.1749999999999999E-3</v>
      </c>
      <c r="T241" s="220">
        <f>'TECH DATA ENTRY'!T269</f>
        <v>0</v>
      </c>
      <c r="U241" s="217">
        <v>1</v>
      </c>
      <c r="V241" s="218">
        <f t="shared" si="40"/>
        <v>0</v>
      </c>
      <c r="W241" s="220">
        <f>'TECH DATA ENTRY'!U269</f>
        <v>0</v>
      </c>
      <c r="X241" s="217">
        <v>1</v>
      </c>
      <c r="Y241" s="218">
        <f t="shared" si="41"/>
        <v>0</v>
      </c>
      <c r="Z241" s="220">
        <f>'TECH DATA ENTRY'!V269</f>
        <v>0</v>
      </c>
      <c r="AA241" s="217">
        <v>1</v>
      </c>
      <c r="AB241" s="218">
        <f t="shared" si="42"/>
        <v>0</v>
      </c>
      <c r="AC241" s="220">
        <f>'TECH DATA ENTRY'!W269</f>
        <v>0</v>
      </c>
      <c r="AD241" s="217">
        <v>1</v>
      </c>
      <c r="AE241" s="218">
        <f t="shared" si="43"/>
        <v>0</v>
      </c>
      <c r="AF241" s="220">
        <f>'TECH DATA ENTRY'!X269</f>
        <v>0</v>
      </c>
      <c r="AG241" s="217">
        <v>1</v>
      </c>
      <c r="AH241" s="218">
        <f t="shared" si="44"/>
        <v>0</v>
      </c>
      <c r="AI241" s="219" t="e">
        <f t="shared" si="45"/>
        <v>#VALUE!</v>
      </c>
      <c r="AJ241" s="221" t="str">
        <f>'TECH DATA ENTRY'!K269</f>
        <v/>
      </c>
      <c r="AK241" s="222" t="e">
        <f t="shared" si="46"/>
        <v>#VALUE!</v>
      </c>
      <c r="AL241" s="222" t="e">
        <f>VLOOKUP(AK241,'AUX TABLES'!A$2:B$29,2)</f>
        <v>#VALUE!</v>
      </c>
      <c r="AM241" s="223" t="str">
        <f>IF(OR(ISTEXT(B241)=TRUE,ISTEXT('TECH DATA ENTRY'!L269)=TRUE), "NA",AL241*AI241)</f>
        <v>NA</v>
      </c>
      <c r="AN241" s="79"/>
    </row>
    <row r="242" spans="1:40" s="80" customFormat="1" ht="20.149999999999999" customHeight="1">
      <c r="A242" s="216"/>
      <c r="B242" s="249">
        <f>'TECH DATA ENTRY'!B270</f>
        <v>0</v>
      </c>
      <c r="C242" s="217">
        <f>'TECH DATA ENTRY'!O270</f>
        <v>0</v>
      </c>
      <c r="D242" s="217">
        <v>1</v>
      </c>
      <c r="E242" s="218" t="e">
        <f t="shared" si="36"/>
        <v>#DIV/0!</v>
      </c>
      <c r="F242" s="217">
        <f>'TECH DATA ENTRY'!P270</f>
        <v>0</v>
      </c>
      <c r="G242" s="217">
        <v>1</v>
      </c>
      <c r="H242" s="218" t="e">
        <f t="shared" si="37"/>
        <v>#DIV/0!</v>
      </c>
      <c r="I242" s="219">
        <f>'TECH DATA ENTRY'!Q270</f>
        <v>0</v>
      </c>
      <c r="J242" s="219" t="str">
        <f>'TECH DATA ENTRY'!$G$26</f>
        <v>Digital</v>
      </c>
      <c r="K242" s="217">
        <v>1</v>
      </c>
      <c r="L242" s="218">
        <f t="shared" si="47"/>
        <v>0</v>
      </c>
      <c r="M242" s="219">
        <f>'TECH DATA ENTRY'!R270</f>
        <v>0</v>
      </c>
      <c r="N242" s="219" t="str">
        <f>'TECH DATA ENTRY'!$G$26</f>
        <v>Digital</v>
      </c>
      <c r="O242" s="217">
        <v>1</v>
      </c>
      <c r="P242" s="218">
        <f t="shared" si="38"/>
        <v>0</v>
      </c>
      <c r="Q242" s="220">
        <f>'TECH DATA ENTRY'!S270</f>
        <v>0</v>
      </c>
      <c r="R242" s="217">
        <v>1</v>
      </c>
      <c r="S242" s="218">
        <f t="shared" si="39"/>
        <v>0</v>
      </c>
      <c r="T242" s="220">
        <f>'TECH DATA ENTRY'!T270</f>
        <v>0</v>
      </c>
      <c r="U242" s="217">
        <v>1</v>
      </c>
      <c r="V242" s="218">
        <f t="shared" si="40"/>
        <v>0</v>
      </c>
      <c r="W242" s="220">
        <f>'TECH DATA ENTRY'!U270</f>
        <v>0</v>
      </c>
      <c r="X242" s="217">
        <v>1</v>
      </c>
      <c r="Y242" s="218">
        <f t="shared" si="41"/>
        <v>0</v>
      </c>
      <c r="Z242" s="220">
        <f>'TECH DATA ENTRY'!V270</f>
        <v>0</v>
      </c>
      <c r="AA242" s="217">
        <v>1</v>
      </c>
      <c r="AB242" s="218">
        <f t="shared" si="42"/>
        <v>0</v>
      </c>
      <c r="AC242" s="220">
        <f>'TECH DATA ENTRY'!W270</f>
        <v>0</v>
      </c>
      <c r="AD242" s="217">
        <v>1</v>
      </c>
      <c r="AE242" s="218">
        <f t="shared" si="43"/>
        <v>0</v>
      </c>
      <c r="AF242" s="220">
        <f>'TECH DATA ENTRY'!X270</f>
        <v>0</v>
      </c>
      <c r="AG242" s="217">
        <v>1</v>
      </c>
      <c r="AH242" s="218">
        <f t="shared" si="44"/>
        <v>0</v>
      </c>
      <c r="AI242" s="219" t="e">
        <f t="shared" si="45"/>
        <v>#DIV/0!</v>
      </c>
      <c r="AJ242" s="221">
        <f>'TECH DATA ENTRY'!K270</f>
        <v>0</v>
      </c>
      <c r="AK242" s="222" t="e">
        <f t="shared" si="46"/>
        <v>#DIV/0!</v>
      </c>
      <c r="AL242" s="222" t="e">
        <f>VLOOKUP(AK242,'AUX TABLES'!A$2:B$29,2)</f>
        <v>#DIV/0!</v>
      </c>
      <c r="AM242" s="223" t="e">
        <f>IF(OR(ISTEXT(B242)=TRUE,ISTEXT('TECH DATA ENTRY'!L270)=TRUE), "NA",AL242*AI242)</f>
        <v>#DIV/0!</v>
      </c>
      <c r="AN242" s="79"/>
    </row>
    <row r="243" spans="1:40" s="80" customFormat="1" ht="20.149999999999999" customHeight="1">
      <c r="A243" s="216"/>
      <c r="B243" s="249">
        <f>'TECH DATA ENTRY'!B271</f>
        <v>0</v>
      </c>
      <c r="C243" s="217">
        <f>'TECH DATA ENTRY'!O271</f>
        <v>0</v>
      </c>
      <c r="D243" s="217">
        <v>1</v>
      </c>
      <c r="E243" s="218" t="e">
        <f t="shared" ref="E243:E306" si="48">D243*(C243/SQRT(AJ243))+0.00000000000001</f>
        <v>#DIV/0!</v>
      </c>
      <c r="F243" s="217">
        <f>'TECH DATA ENTRY'!P271</f>
        <v>0</v>
      </c>
      <c r="G243" s="217">
        <v>1</v>
      </c>
      <c r="H243" s="218" t="e">
        <f t="shared" ref="H243:H306" si="49">G243*(F243/SQRT(AJ243))+0.00000000000001</f>
        <v>#DIV/0!</v>
      </c>
      <c r="I243" s="219">
        <f>'TECH DATA ENTRY'!Q271</f>
        <v>0</v>
      </c>
      <c r="J243" s="219" t="str">
        <f>'TECH DATA ENTRY'!$G$26</f>
        <v>Digital</v>
      </c>
      <c r="K243" s="217">
        <v>1</v>
      </c>
      <c r="L243" s="218">
        <f t="shared" si="47"/>
        <v>0</v>
      </c>
      <c r="M243" s="219">
        <f>'TECH DATA ENTRY'!R271</f>
        <v>0</v>
      </c>
      <c r="N243" s="219" t="str">
        <f>'TECH DATA ENTRY'!$G$26</f>
        <v>Digital</v>
      </c>
      <c r="O243" s="217">
        <v>1</v>
      </c>
      <c r="P243" s="218">
        <f t="shared" ref="P243:P306" si="50">IF(N243="Digital",M243/2/SQRT(3),M243/5/SQRT(3))*O243</f>
        <v>0</v>
      </c>
      <c r="Q243" s="220">
        <f>'TECH DATA ENTRY'!S271</f>
        <v>0</v>
      </c>
      <c r="R243" s="217">
        <v>1</v>
      </c>
      <c r="S243" s="218">
        <f t="shared" ref="S243:S306" si="51">Q243/IF(S$6="NORMAL", 2, IF(S$6="TRIANGULAR",SQRT(6),IF(S$6="U-SHAPED",SQRT(2),SQRT(3))))*R243</f>
        <v>0</v>
      </c>
      <c r="T243" s="220">
        <f>'TECH DATA ENTRY'!T271</f>
        <v>0</v>
      </c>
      <c r="U243" s="217">
        <v>1</v>
      </c>
      <c r="V243" s="218">
        <f t="shared" ref="V243:V306" si="52">T243/IF(V$6="NORMAL", 2, IF(V$6="TRIANGULAR",SQRT(6),IF(V$6="U-SHAPED",SQRT(2),SQRT(3))))*U243</f>
        <v>0</v>
      </c>
      <c r="W243" s="220">
        <f>'TECH DATA ENTRY'!U271</f>
        <v>0</v>
      </c>
      <c r="X243" s="217">
        <v>1</v>
      </c>
      <c r="Y243" s="218">
        <f t="shared" ref="Y243:Y306" si="53">W243/IF(Y$6="NORMAL", 2, IF(Y$6="TRIANGULAR",SQRT(6),IF(Y$6="U-SHAPED",SQRT(2),SQRT(3))))*X243</f>
        <v>0</v>
      </c>
      <c r="Z243" s="220">
        <f>'TECH DATA ENTRY'!V271</f>
        <v>0</v>
      </c>
      <c r="AA243" s="217">
        <v>1</v>
      </c>
      <c r="AB243" s="218">
        <f t="shared" ref="AB243:AB306" si="54">Z243/IF(AB$6="NORMAL", 2, IF(AB$6="TRIANGULAR",SQRT(6),IF(AB$6="U-SHAPED",SQRT(2),SQRT(3))))*AA243</f>
        <v>0</v>
      </c>
      <c r="AC243" s="220">
        <f>'TECH DATA ENTRY'!W271</f>
        <v>0</v>
      </c>
      <c r="AD243" s="217">
        <v>1</v>
      </c>
      <c r="AE243" s="218">
        <f t="shared" ref="AE243:AE306" si="55">AC243/IF(AE$6="NORMAL", 2, IF(AE$6="TRIANGULAR",SQRT(6),IF(AE$6="U-SHAPED",SQRT(2),SQRT(3))))*AD243</f>
        <v>0</v>
      </c>
      <c r="AF243" s="220">
        <f>'TECH DATA ENTRY'!X271</f>
        <v>0</v>
      </c>
      <c r="AG243" s="217">
        <v>1</v>
      </c>
      <c r="AH243" s="218">
        <f t="shared" ref="AH243:AH306" si="56">AF243/IF(AH$6="NORMAL", 2, IF(AH$6="TRIANGULAR",SQRT(6),IF(AH$6="U-SHAPED",SQRT(2),SQRT(3))))*AG243</f>
        <v>0</v>
      </c>
      <c r="AI243" s="219" t="e">
        <f t="shared" ref="AI243:AI306" si="57">SQRT(SUM(E243^2, H243^2,L243^2, P243^2,S243^2,V243^2,Y243^2,AB243^2,AE243^2,AH243^2))</f>
        <v>#DIV/0!</v>
      </c>
      <c r="AJ243" s="221">
        <f>'TECH DATA ENTRY'!K271</f>
        <v>0</v>
      </c>
      <c r="AK243" s="222" t="e">
        <f t="shared" ref="AK243:AK306" si="58">IF((AI243^4/(SUM(E243^4,H243^4)/(AJ243-1)))&gt;100,200,(AI243^4/(SUM(E243^4,H243^4)/(AJ243-1))))</f>
        <v>#DIV/0!</v>
      </c>
      <c r="AL243" s="222" t="e">
        <f>VLOOKUP(AK243,'AUX TABLES'!A$2:B$29,2)</f>
        <v>#DIV/0!</v>
      </c>
      <c r="AM243" s="223" t="e">
        <f>IF(OR(ISTEXT(B243)=TRUE,ISTEXT('TECH DATA ENTRY'!L271)=TRUE), "NA",AL243*AI243)</f>
        <v>#DIV/0!</v>
      </c>
      <c r="AN243" s="79"/>
    </row>
    <row r="244" spans="1:40" s="80" customFormat="1" ht="20.149999999999999" customHeight="1">
      <c r="A244" s="216"/>
      <c r="B244" s="249">
        <f>'TECH DATA ENTRY'!B272</f>
        <v>0</v>
      </c>
      <c r="C244" s="217">
        <f>'TECH DATA ENTRY'!O272</f>
        <v>0</v>
      </c>
      <c r="D244" s="217">
        <v>1</v>
      </c>
      <c r="E244" s="218" t="e">
        <f t="shared" si="48"/>
        <v>#DIV/0!</v>
      </c>
      <c r="F244" s="217">
        <f>'TECH DATA ENTRY'!P272</f>
        <v>0</v>
      </c>
      <c r="G244" s="217">
        <v>1</v>
      </c>
      <c r="H244" s="218" t="e">
        <f t="shared" si="49"/>
        <v>#DIV/0!</v>
      </c>
      <c r="I244" s="219">
        <f>'TECH DATA ENTRY'!Q272</f>
        <v>0</v>
      </c>
      <c r="J244" s="219" t="str">
        <f>'TECH DATA ENTRY'!$G$26</f>
        <v>Digital</v>
      </c>
      <c r="K244" s="217">
        <v>1</v>
      </c>
      <c r="L244" s="218">
        <f t="shared" si="47"/>
        <v>0</v>
      </c>
      <c r="M244" s="219">
        <f>'TECH DATA ENTRY'!R272</f>
        <v>0</v>
      </c>
      <c r="N244" s="219" t="str">
        <f>'TECH DATA ENTRY'!$G$26</f>
        <v>Digital</v>
      </c>
      <c r="O244" s="217">
        <v>1</v>
      </c>
      <c r="P244" s="218">
        <f t="shared" si="50"/>
        <v>0</v>
      </c>
      <c r="Q244" s="220">
        <f>'TECH DATA ENTRY'!S272</f>
        <v>0</v>
      </c>
      <c r="R244" s="217">
        <v>1</v>
      </c>
      <c r="S244" s="218">
        <f t="shared" si="51"/>
        <v>0</v>
      </c>
      <c r="T244" s="220">
        <f>'TECH DATA ENTRY'!T272</f>
        <v>0</v>
      </c>
      <c r="U244" s="217">
        <v>1</v>
      </c>
      <c r="V244" s="218">
        <f t="shared" si="52"/>
        <v>0</v>
      </c>
      <c r="W244" s="220">
        <f>'TECH DATA ENTRY'!U272</f>
        <v>0</v>
      </c>
      <c r="X244" s="217">
        <v>1</v>
      </c>
      <c r="Y244" s="218">
        <f t="shared" si="53"/>
        <v>0</v>
      </c>
      <c r="Z244" s="220">
        <f>'TECH DATA ENTRY'!V272</f>
        <v>0</v>
      </c>
      <c r="AA244" s="217">
        <v>1</v>
      </c>
      <c r="AB244" s="218">
        <f t="shared" si="54"/>
        <v>0</v>
      </c>
      <c r="AC244" s="220">
        <f>'TECH DATA ENTRY'!W272</f>
        <v>0</v>
      </c>
      <c r="AD244" s="217">
        <v>1</v>
      </c>
      <c r="AE244" s="218">
        <f t="shared" si="55"/>
        <v>0</v>
      </c>
      <c r="AF244" s="220">
        <f>'TECH DATA ENTRY'!X272</f>
        <v>0</v>
      </c>
      <c r="AG244" s="217">
        <v>1</v>
      </c>
      <c r="AH244" s="218">
        <f t="shared" si="56"/>
        <v>0</v>
      </c>
      <c r="AI244" s="219" t="e">
        <f t="shared" si="57"/>
        <v>#DIV/0!</v>
      </c>
      <c r="AJ244" s="221">
        <f>'TECH DATA ENTRY'!K272</f>
        <v>0</v>
      </c>
      <c r="AK244" s="222" t="e">
        <f t="shared" si="58"/>
        <v>#DIV/0!</v>
      </c>
      <c r="AL244" s="222" t="e">
        <f>VLOOKUP(AK244,'AUX TABLES'!A$2:B$29,2)</f>
        <v>#DIV/0!</v>
      </c>
      <c r="AM244" s="223" t="e">
        <f>IF(OR(ISTEXT(B244)=TRUE,ISTEXT('TECH DATA ENTRY'!L272)=TRUE), "NA",AL244*AI244)</f>
        <v>#DIV/0!</v>
      </c>
      <c r="AN244" s="79"/>
    </row>
    <row r="245" spans="1:40" s="80" customFormat="1" ht="20.149999999999999" customHeight="1">
      <c r="A245" s="216"/>
      <c r="B245" s="249">
        <f>'TECH DATA ENTRY'!B273</f>
        <v>0</v>
      </c>
      <c r="C245" s="217">
        <f>'TECH DATA ENTRY'!O273</f>
        <v>0</v>
      </c>
      <c r="D245" s="217">
        <v>1</v>
      </c>
      <c r="E245" s="218" t="e">
        <f t="shared" si="48"/>
        <v>#DIV/0!</v>
      </c>
      <c r="F245" s="217">
        <f>'TECH DATA ENTRY'!P273</f>
        <v>0</v>
      </c>
      <c r="G245" s="217">
        <v>1</v>
      </c>
      <c r="H245" s="218" t="e">
        <f t="shared" si="49"/>
        <v>#DIV/0!</v>
      </c>
      <c r="I245" s="219">
        <f>'TECH DATA ENTRY'!Q273</f>
        <v>0</v>
      </c>
      <c r="J245" s="219" t="str">
        <f>'TECH DATA ENTRY'!$G$26</f>
        <v>Digital</v>
      </c>
      <c r="K245" s="217">
        <v>1</v>
      </c>
      <c r="L245" s="218">
        <f t="shared" si="47"/>
        <v>0</v>
      </c>
      <c r="M245" s="219">
        <f>'TECH DATA ENTRY'!R273</f>
        <v>0</v>
      </c>
      <c r="N245" s="219" t="str">
        <f>'TECH DATA ENTRY'!$G$26</f>
        <v>Digital</v>
      </c>
      <c r="O245" s="217">
        <v>1</v>
      </c>
      <c r="P245" s="218">
        <f t="shared" si="50"/>
        <v>0</v>
      </c>
      <c r="Q245" s="220">
        <f>'TECH DATA ENTRY'!S273</f>
        <v>0</v>
      </c>
      <c r="R245" s="217">
        <v>1</v>
      </c>
      <c r="S245" s="218">
        <f t="shared" si="51"/>
        <v>0</v>
      </c>
      <c r="T245" s="220">
        <f>'TECH DATA ENTRY'!T273</f>
        <v>0</v>
      </c>
      <c r="U245" s="217">
        <v>1</v>
      </c>
      <c r="V245" s="218">
        <f t="shared" si="52"/>
        <v>0</v>
      </c>
      <c r="W245" s="220">
        <f>'TECH DATA ENTRY'!U273</f>
        <v>0</v>
      </c>
      <c r="X245" s="217">
        <v>1</v>
      </c>
      <c r="Y245" s="218">
        <f t="shared" si="53"/>
        <v>0</v>
      </c>
      <c r="Z245" s="220">
        <f>'TECH DATA ENTRY'!V273</f>
        <v>0</v>
      </c>
      <c r="AA245" s="217">
        <v>1</v>
      </c>
      <c r="AB245" s="218">
        <f t="shared" si="54"/>
        <v>0</v>
      </c>
      <c r="AC245" s="220">
        <f>'TECH DATA ENTRY'!W273</f>
        <v>0</v>
      </c>
      <c r="AD245" s="217">
        <v>1</v>
      </c>
      <c r="AE245" s="218">
        <f t="shared" si="55"/>
        <v>0</v>
      </c>
      <c r="AF245" s="220">
        <f>'TECH DATA ENTRY'!X273</f>
        <v>0</v>
      </c>
      <c r="AG245" s="217">
        <v>1</v>
      </c>
      <c r="AH245" s="218">
        <f t="shared" si="56"/>
        <v>0</v>
      </c>
      <c r="AI245" s="219" t="e">
        <f t="shared" si="57"/>
        <v>#DIV/0!</v>
      </c>
      <c r="AJ245" s="221">
        <f>'TECH DATA ENTRY'!K273</f>
        <v>0</v>
      </c>
      <c r="AK245" s="222" t="e">
        <f t="shared" si="58"/>
        <v>#DIV/0!</v>
      </c>
      <c r="AL245" s="222" t="e">
        <f>VLOOKUP(AK245,'AUX TABLES'!A$2:B$29,2)</f>
        <v>#DIV/0!</v>
      </c>
      <c r="AM245" s="223" t="e">
        <f>IF(OR(ISTEXT(B245)=TRUE,ISTEXT('TECH DATA ENTRY'!L273)=TRUE), "NA",AL245*AI245)</f>
        <v>#DIV/0!</v>
      </c>
      <c r="AN245" s="79"/>
    </row>
    <row r="246" spans="1:40" s="80" customFormat="1" ht="20.149999999999999" customHeight="1">
      <c r="A246" s="216"/>
      <c r="B246" s="249" t="str">
        <f>'TECH DATA ENTRY'!B274</f>
        <v>Nominal</v>
      </c>
      <c r="C246" s="217" t="str">
        <f>'TECH DATA ENTRY'!O274</f>
        <v>Uncertainty Components</v>
      </c>
      <c r="D246" s="217">
        <v>1</v>
      </c>
      <c r="E246" s="218" t="e">
        <f t="shared" si="48"/>
        <v>#VALUE!</v>
      </c>
      <c r="F246" s="217">
        <f>'TECH DATA ENTRY'!P274</f>
        <v>0</v>
      </c>
      <c r="G246" s="217">
        <v>1</v>
      </c>
      <c r="H246" s="218" t="e">
        <f t="shared" si="49"/>
        <v>#VALUE!</v>
      </c>
      <c r="I246" s="219">
        <f>'TECH DATA ENTRY'!Q274</f>
        <v>0</v>
      </c>
      <c r="J246" s="219" t="str">
        <f>'TECH DATA ENTRY'!$G$26</f>
        <v>Digital</v>
      </c>
      <c r="K246" s="217">
        <v>1</v>
      </c>
      <c r="L246" s="218">
        <f t="shared" si="47"/>
        <v>0</v>
      </c>
      <c r="M246" s="219">
        <f>'TECH DATA ENTRY'!R274</f>
        <v>0</v>
      </c>
      <c r="N246" s="219" t="str">
        <f>'TECH DATA ENTRY'!$G$26</f>
        <v>Digital</v>
      </c>
      <c r="O246" s="217">
        <v>1</v>
      </c>
      <c r="P246" s="218">
        <f t="shared" si="50"/>
        <v>0</v>
      </c>
      <c r="Q246" s="220">
        <f>'TECH DATA ENTRY'!S274</f>
        <v>0</v>
      </c>
      <c r="R246" s="217">
        <v>1</v>
      </c>
      <c r="S246" s="218">
        <f t="shared" si="51"/>
        <v>0</v>
      </c>
      <c r="T246" s="220">
        <f>'TECH DATA ENTRY'!T274</f>
        <v>0</v>
      </c>
      <c r="U246" s="217">
        <v>1</v>
      </c>
      <c r="V246" s="218">
        <f t="shared" si="52"/>
        <v>0</v>
      </c>
      <c r="W246" s="220">
        <f>'TECH DATA ENTRY'!U274</f>
        <v>0</v>
      </c>
      <c r="X246" s="217">
        <v>1</v>
      </c>
      <c r="Y246" s="218">
        <f t="shared" si="53"/>
        <v>0</v>
      </c>
      <c r="Z246" s="220">
        <f>'TECH DATA ENTRY'!V274</f>
        <v>0</v>
      </c>
      <c r="AA246" s="217">
        <v>1</v>
      </c>
      <c r="AB246" s="218">
        <f t="shared" si="54"/>
        <v>0</v>
      </c>
      <c r="AC246" s="220">
        <f>'TECH DATA ENTRY'!W274</f>
        <v>0</v>
      </c>
      <c r="AD246" s="217">
        <v>1</v>
      </c>
      <c r="AE246" s="218">
        <f t="shared" si="55"/>
        <v>0</v>
      </c>
      <c r="AF246" s="220">
        <f>'TECH DATA ENTRY'!X274</f>
        <v>0</v>
      </c>
      <c r="AG246" s="217">
        <v>1</v>
      </c>
      <c r="AH246" s="218">
        <f t="shared" si="56"/>
        <v>0</v>
      </c>
      <c r="AI246" s="219" t="e">
        <f t="shared" si="57"/>
        <v>#VALUE!</v>
      </c>
      <c r="AJ246" s="221" t="str">
        <f>'TECH DATA ENTRY'!K274</f>
        <v>n</v>
      </c>
      <c r="AK246" s="222" t="e">
        <f t="shared" si="58"/>
        <v>#VALUE!</v>
      </c>
      <c r="AL246" s="222" t="e">
        <f>VLOOKUP(AK246,'AUX TABLES'!A$2:B$29,2)</f>
        <v>#VALUE!</v>
      </c>
      <c r="AM246" s="223" t="str">
        <f>IF(OR(ISTEXT(B246)=TRUE,ISTEXT('TECH DATA ENTRY'!L274)=TRUE), "NA",AL246*AI246)</f>
        <v>NA</v>
      </c>
      <c r="AN246" s="79"/>
    </row>
    <row r="247" spans="1:40" s="80" customFormat="1" ht="20.149999999999999" customHeight="1">
      <c r="A247" s="216"/>
      <c r="B247" s="249">
        <f>'TECH DATA ENTRY'!B275</f>
        <v>0</v>
      </c>
      <c r="C247" s="217" t="str">
        <f>'TECH DATA ENTRY'!O275</f>
        <v>Stdev 1</v>
      </c>
      <c r="D247" s="217">
        <v>1</v>
      </c>
      <c r="E247" s="218" t="e">
        <f t="shared" si="48"/>
        <v>#VALUE!</v>
      </c>
      <c r="F247" s="217" t="str">
        <f>'TECH DATA ENTRY'!P275</f>
        <v>Stdev 2</v>
      </c>
      <c r="G247" s="217">
        <v>1</v>
      </c>
      <c r="H247" s="218" t="e">
        <f t="shared" si="49"/>
        <v>#VALUE!</v>
      </c>
      <c r="I247" s="219" t="str">
        <f>'TECH DATA ENTRY'!Q275</f>
        <v>Resolution 1</v>
      </c>
      <c r="J247" s="219" t="str">
        <f>'TECH DATA ENTRY'!$G$26</f>
        <v>Digital</v>
      </c>
      <c r="K247" s="217">
        <v>1</v>
      </c>
      <c r="L247" s="218" t="e">
        <f t="shared" si="47"/>
        <v>#VALUE!</v>
      </c>
      <c r="M247" s="219" t="str">
        <f>'TECH DATA ENTRY'!R275</f>
        <v>Resolution 2</v>
      </c>
      <c r="N247" s="219" t="str">
        <f>'TECH DATA ENTRY'!$G$26</f>
        <v>Digital</v>
      </c>
      <c r="O247" s="217">
        <v>1</v>
      </c>
      <c r="P247" s="218" t="e">
        <f t="shared" si="50"/>
        <v>#VALUE!</v>
      </c>
      <c r="Q247" s="220" t="str">
        <f>'TECH DATA ENTRY'!S275</f>
        <v>Scope Uncertainty</v>
      </c>
      <c r="R247" s="217">
        <v>1</v>
      </c>
      <c r="S247" s="218" t="e">
        <f t="shared" si="51"/>
        <v>#VALUE!</v>
      </c>
      <c r="T247" s="220" t="str">
        <f>'TECH DATA ENTRY'!T275</f>
        <v>STD 2 Cal Unc</v>
      </c>
      <c r="U247" s="217">
        <v>1</v>
      </c>
      <c r="V247" s="218" t="e">
        <f t="shared" si="52"/>
        <v>#VALUE!</v>
      </c>
      <c r="W247" s="220" t="str">
        <f>'TECH DATA ENTRY'!U275</f>
        <v>Others 1</v>
      </c>
      <c r="X247" s="217">
        <v>1</v>
      </c>
      <c r="Y247" s="218" t="e">
        <f t="shared" si="53"/>
        <v>#VALUE!</v>
      </c>
      <c r="Z247" s="220" t="str">
        <f>'TECH DATA ENTRY'!V275</f>
        <v>Others 2</v>
      </c>
      <c r="AA247" s="217">
        <v>1</v>
      </c>
      <c r="AB247" s="218" t="e">
        <f t="shared" si="54"/>
        <v>#VALUE!</v>
      </c>
      <c r="AC247" s="220" t="str">
        <f>'TECH DATA ENTRY'!W275</f>
        <v>Others 3</v>
      </c>
      <c r="AD247" s="217">
        <v>1</v>
      </c>
      <c r="AE247" s="218" t="e">
        <f t="shared" si="55"/>
        <v>#VALUE!</v>
      </c>
      <c r="AF247" s="220" t="str">
        <f>'TECH DATA ENTRY'!X275</f>
        <v>Others 4</v>
      </c>
      <c r="AG247" s="217">
        <v>1</v>
      </c>
      <c r="AH247" s="218" t="e">
        <f t="shared" si="56"/>
        <v>#VALUE!</v>
      </c>
      <c r="AI247" s="219" t="e">
        <f t="shared" si="57"/>
        <v>#VALUE!</v>
      </c>
      <c r="AJ247" s="221">
        <f>'TECH DATA ENTRY'!K275</f>
        <v>0</v>
      </c>
      <c r="AK247" s="222" t="e">
        <f t="shared" si="58"/>
        <v>#VALUE!</v>
      </c>
      <c r="AL247" s="222" t="e">
        <f>VLOOKUP(AK247,'AUX TABLES'!A$2:B$29,2)</f>
        <v>#VALUE!</v>
      </c>
      <c r="AM247" s="223" t="e">
        <f>IF(OR(ISTEXT(B247)=TRUE,ISTEXT('TECH DATA ENTRY'!L275)=TRUE), "NA",AL247*AI247)</f>
        <v>#VALUE!</v>
      </c>
      <c r="AN247" s="79"/>
    </row>
    <row r="248" spans="1:40" s="80" customFormat="1" ht="20.149999999999999" customHeight="1">
      <c r="A248" s="216"/>
      <c r="B248" s="249">
        <f>'TECH DATA ENTRY'!B276</f>
        <v>100</v>
      </c>
      <c r="C248" s="217" t="str">
        <f>'TECH DATA ENTRY'!O276</f>
        <v/>
      </c>
      <c r="D248" s="217">
        <v>1</v>
      </c>
      <c r="E248" s="218" t="e">
        <f t="shared" si="48"/>
        <v>#VALUE!</v>
      </c>
      <c r="F248" s="217">
        <f>'TECH DATA ENTRY'!P276</f>
        <v>0</v>
      </c>
      <c r="G248" s="217">
        <v>1</v>
      </c>
      <c r="H248" s="218" t="e">
        <f t="shared" si="49"/>
        <v>#VALUE!</v>
      </c>
      <c r="I248" s="219">
        <f>'TECH DATA ENTRY'!Q276</f>
        <v>1E-4</v>
      </c>
      <c r="J248" s="219" t="str">
        <f>'TECH DATA ENTRY'!$G$26</f>
        <v>Digital</v>
      </c>
      <c r="K248" s="217">
        <v>1</v>
      </c>
      <c r="L248" s="218">
        <f t="shared" si="47"/>
        <v>2.8867513459481293E-5</v>
      </c>
      <c r="M248" s="219">
        <f>'TECH DATA ENTRY'!R276</f>
        <v>0</v>
      </c>
      <c r="N248" s="219" t="str">
        <f>'TECH DATA ENTRY'!$G$26</f>
        <v>Digital</v>
      </c>
      <c r="O248" s="217">
        <v>1</v>
      </c>
      <c r="P248" s="218">
        <f t="shared" si="50"/>
        <v>0</v>
      </c>
      <c r="Q248" s="220">
        <f>'TECH DATA ENTRY'!S276</f>
        <v>4.2499999999999996E-2</v>
      </c>
      <c r="R248" s="217">
        <v>1</v>
      </c>
      <c r="S248" s="218">
        <f t="shared" si="51"/>
        <v>2.1249999999999998E-2</v>
      </c>
      <c r="T248" s="220">
        <f>'TECH DATA ENTRY'!T276</f>
        <v>0</v>
      </c>
      <c r="U248" s="217">
        <v>1</v>
      </c>
      <c r="V248" s="218">
        <f t="shared" si="52"/>
        <v>0</v>
      </c>
      <c r="W248" s="220">
        <f>'TECH DATA ENTRY'!U276</f>
        <v>0</v>
      </c>
      <c r="X248" s="217">
        <v>1</v>
      </c>
      <c r="Y248" s="218">
        <f t="shared" si="53"/>
        <v>0</v>
      </c>
      <c r="Z248" s="220">
        <f>'TECH DATA ENTRY'!V276</f>
        <v>0</v>
      </c>
      <c r="AA248" s="217">
        <v>1</v>
      </c>
      <c r="AB248" s="218">
        <f t="shared" si="54"/>
        <v>0</v>
      </c>
      <c r="AC248" s="220">
        <f>'TECH DATA ENTRY'!W276</f>
        <v>0</v>
      </c>
      <c r="AD248" s="217">
        <v>1</v>
      </c>
      <c r="AE248" s="218">
        <f t="shared" si="55"/>
        <v>0</v>
      </c>
      <c r="AF248" s="220">
        <f>'TECH DATA ENTRY'!X276</f>
        <v>0</v>
      </c>
      <c r="AG248" s="217">
        <v>1</v>
      </c>
      <c r="AH248" s="218">
        <f t="shared" si="56"/>
        <v>0</v>
      </c>
      <c r="AI248" s="219" t="e">
        <f t="shared" si="57"/>
        <v>#VALUE!</v>
      </c>
      <c r="AJ248" s="221" t="str">
        <f>'TECH DATA ENTRY'!K276</f>
        <v/>
      </c>
      <c r="AK248" s="222" t="e">
        <f t="shared" si="58"/>
        <v>#VALUE!</v>
      </c>
      <c r="AL248" s="222" t="e">
        <f>VLOOKUP(AK248,'AUX TABLES'!A$2:B$29,2)</f>
        <v>#VALUE!</v>
      </c>
      <c r="AM248" s="223" t="str">
        <f>IF(OR(ISTEXT(B248)=TRUE,ISTEXT('TECH DATA ENTRY'!L276)=TRUE), "NA",AL248*AI248)</f>
        <v>NA</v>
      </c>
      <c r="AN248" s="79"/>
    </row>
    <row r="249" spans="1:40" s="80" customFormat="1" ht="20.149999999999999" customHeight="1">
      <c r="A249" s="216"/>
      <c r="B249" s="249">
        <f>'TECH DATA ENTRY'!B277</f>
        <v>100</v>
      </c>
      <c r="C249" s="217" t="str">
        <f>'TECH DATA ENTRY'!O277</f>
        <v/>
      </c>
      <c r="D249" s="217">
        <v>1</v>
      </c>
      <c r="E249" s="218" t="e">
        <f t="shared" si="48"/>
        <v>#VALUE!</v>
      </c>
      <c r="F249" s="217">
        <f>'TECH DATA ENTRY'!P277</f>
        <v>0</v>
      </c>
      <c r="G249" s="217">
        <v>1</v>
      </c>
      <c r="H249" s="218" t="e">
        <f t="shared" si="49"/>
        <v>#VALUE!</v>
      </c>
      <c r="I249" s="219">
        <f>'TECH DATA ENTRY'!Q277</f>
        <v>1E-4</v>
      </c>
      <c r="J249" s="219" t="str">
        <f>'TECH DATA ENTRY'!$G$26</f>
        <v>Digital</v>
      </c>
      <c r="K249" s="217">
        <v>1</v>
      </c>
      <c r="L249" s="218">
        <f t="shared" si="47"/>
        <v>2.8867513459481293E-5</v>
      </c>
      <c r="M249" s="219">
        <f>'TECH DATA ENTRY'!R277</f>
        <v>0</v>
      </c>
      <c r="N249" s="219" t="str">
        <f>'TECH DATA ENTRY'!$G$26</f>
        <v>Digital</v>
      </c>
      <c r="O249" s="217">
        <v>1</v>
      </c>
      <c r="P249" s="218">
        <f t="shared" si="50"/>
        <v>0</v>
      </c>
      <c r="Q249" s="220">
        <f>'TECH DATA ENTRY'!S277</f>
        <v>2.0999999999999998E-2</v>
      </c>
      <c r="R249" s="217">
        <v>1</v>
      </c>
      <c r="S249" s="218">
        <f t="shared" si="51"/>
        <v>1.0499999999999999E-2</v>
      </c>
      <c r="T249" s="220">
        <f>'TECH DATA ENTRY'!T277</f>
        <v>0</v>
      </c>
      <c r="U249" s="217">
        <v>1</v>
      </c>
      <c r="V249" s="218">
        <f t="shared" si="52"/>
        <v>0</v>
      </c>
      <c r="W249" s="220">
        <f>'TECH DATA ENTRY'!U277</f>
        <v>0</v>
      </c>
      <c r="X249" s="217">
        <v>1</v>
      </c>
      <c r="Y249" s="218">
        <f t="shared" si="53"/>
        <v>0</v>
      </c>
      <c r="Z249" s="220">
        <f>'TECH DATA ENTRY'!V277</f>
        <v>0</v>
      </c>
      <c r="AA249" s="217">
        <v>1</v>
      </c>
      <c r="AB249" s="218">
        <f t="shared" si="54"/>
        <v>0</v>
      </c>
      <c r="AC249" s="220">
        <f>'TECH DATA ENTRY'!W277</f>
        <v>0</v>
      </c>
      <c r="AD249" s="217">
        <v>1</v>
      </c>
      <c r="AE249" s="218">
        <f t="shared" si="55"/>
        <v>0</v>
      </c>
      <c r="AF249" s="220">
        <f>'TECH DATA ENTRY'!X277</f>
        <v>0</v>
      </c>
      <c r="AG249" s="217">
        <v>1</v>
      </c>
      <c r="AH249" s="218">
        <f t="shared" si="56"/>
        <v>0</v>
      </c>
      <c r="AI249" s="219" t="e">
        <f t="shared" si="57"/>
        <v>#VALUE!</v>
      </c>
      <c r="AJ249" s="221" t="str">
        <f>'TECH DATA ENTRY'!K277</f>
        <v/>
      </c>
      <c r="AK249" s="222" t="e">
        <f t="shared" si="58"/>
        <v>#VALUE!</v>
      </c>
      <c r="AL249" s="222" t="e">
        <f>VLOOKUP(AK249,'AUX TABLES'!A$2:B$29,2)</f>
        <v>#VALUE!</v>
      </c>
      <c r="AM249" s="223" t="str">
        <f>IF(OR(ISTEXT(B249)=TRUE,ISTEXT('TECH DATA ENTRY'!L277)=TRUE), "NA",AL249*AI249)</f>
        <v>NA</v>
      </c>
      <c r="AN249" s="79"/>
    </row>
    <row r="250" spans="1:40" s="80" customFormat="1" ht="20.149999999999999" customHeight="1">
      <c r="A250" s="216"/>
      <c r="B250" s="249">
        <f>'TECH DATA ENTRY'!B278</f>
        <v>100</v>
      </c>
      <c r="C250" s="217" t="str">
        <f>'TECH DATA ENTRY'!O278</f>
        <v/>
      </c>
      <c r="D250" s="217">
        <v>1</v>
      </c>
      <c r="E250" s="218" t="e">
        <f t="shared" si="48"/>
        <v>#VALUE!</v>
      </c>
      <c r="F250" s="217">
        <f>'TECH DATA ENTRY'!P278</f>
        <v>0</v>
      </c>
      <c r="G250" s="217">
        <v>1</v>
      </c>
      <c r="H250" s="218" t="e">
        <f t="shared" si="49"/>
        <v>#VALUE!</v>
      </c>
      <c r="I250" s="219">
        <f>'TECH DATA ENTRY'!Q278</f>
        <v>1E-4</v>
      </c>
      <c r="J250" s="219" t="str">
        <f>'TECH DATA ENTRY'!$G$26</f>
        <v>Digital</v>
      </c>
      <c r="K250" s="217">
        <v>1</v>
      </c>
      <c r="L250" s="218">
        <f t="shared" si="47"/>
        <v>2.8867513459481293E-5</v>
      </c>
      <c r="M250" s="219">
        <f>'TECH DATA ENTRY'!R278</f>
        <v>0</v>
      </c>
      <c r="N250" s="219" t="str">
        <f>'TECH DATA ENTRY'!$G$26</f>
        <v>Digital</v>
      </c>
      <c r="O250" s="217">
        <v>1</v>
      </c>
      <c r="P250" s="218">
        <f t="shared" si="50"/>
        <v>0</v>
      </c>
      <c r="Q250" s="220">
        <f>'TECH DATA ENTRY'!S278</f>
        <v>4.0499999999999994E-2</v>
      </c>
      <c r="R250" s="217">
        <v>1</v>
      </c>
      <c r="S250" s="218">
        <f t="shared" si="51"/>
        <v>2.0249999999999997E-2</v>
      </c>
      <c r="T250" s="220">
        <f>'TECH DATA ENTRY'!T278</f>
        <v>0</v>
      </c>
      <c r="U250" s="217">
        <v>1</v>
      </c>
      <c r="V250" s="218">
        <f t="shared" si="52"/>
        <v>0</v>
      </c>
      <c r="W250" s="220">
        <f>'TECH DATA ENTRY'!U278</f>
        <v>0</v>
      </c>
      <c r="X250" s="217">
        <v>1</v>
      </c>
      <c r="Y250" s="218">
        <f t="shared" si="53"/>
        <v>0</v>
      </c>
      <c r="Z250" s="220">
        <f>'TECH DATA ENTRY'!V278</f>
        <v>0</v>
      </c>
      <c r="AA250" s="217">
        <v>1</v>
      </c>
      <c r="AB250" s="218">
        <f t="shared" si="54"/>
        <v>0</v>
      </c>
      <c r="AC250" s="220">
        <f>'TECH DATA ENTRY'!W278</f>
        <v>0</v>
      </c>
      <c r="AD250" s="217">
        <v>1</v>
      </c>
      <c r="AE250" s="218">
        <f t="shared" si="55"/>
        <v>0</v>
      </c>
      <c r="AF250" s="220">
        <f>'TECH DATA ENTRY'!X278</f>
        <v>0</v>
      </c>
      <c r="AG250" s="217">
        <v>1</v>
      </c>
      <c r="AH250" s="218">
        <f t="shared" si="56"/>
        <v>0</v>
      </c>
      <c r="AI250" s="219" t="e">
        <f t="shared" si="57"/>
        <v>#VALUE!</v>
      </c>
      <c r="AJ250" s="221" t="str">
        <f>'TECH DATA ENTRY'!K278</f>
        <v/>
      </c>
      <c r="AK250" s="222" t="e">
        <f t="shared" si="58"/>
        <v>#VALUE!</v>
      </c>
      <c r="AL250" s="222" t="e">
        <f>VLOOKUP(AK250,'AUX TABLES'!A$2:B$29,2)</f>
        <v>#VALUE!</v>
      </c>
      <c r="AM250" s="223" t="str">
        <f>IF(OR(ISTEXT(B250)=TRUE,ISTEXT('TECH DATA ENTRY'!L278)=TRUE), "NA",AL250*AI250)</f>
        <v>NA</v>
      </c>
      <c r="AN250" s="79"/>
    </row>
    <row r="251" spans="1:40" s="80" customFormat="1" ht="20.149999999999999" customHeight="1">
      <c r="A251" s="216"/>
      <c r="B251" s="249">
        <f>'TECH DATA ENTRY'!B279</f>
        <v>100</v>
      </c>
      <c r="C251" s="217" t="str">
        <f>'TECH DATA ENTRY'!O279</f>
        <v/>
      </c>
      <c r="D251" s="217">
        <v>1</v>
      </c>
      <c r="E251" s="218" t="e">
        <f t="shared" si="48"/>
        <v>#VALUE!</v>
      </c>
      <c r="F251" s="217">
        <f>'TECH DATA ENTRY'!P279</f>
        <v>0</v>
      </c>
      <c r="G251" s="217">
        <v>1</v>
      </c>
      <c r="H251" s="218" t="e">
        <f t="shared" si="49"/>
        <v>#VALUE!</v>
      </c>
      <c r="I251" s="219">
        <f>'TECH DATA ENTRY'!Q279</f>
        <v>1E-4</v>
      </c>
      <c r="J251" s="219" t="str">
        <f>'TECH DATA ENTRY'!$G$26</f>
        <v>Digital</v>
      </c>
      <c r="K251" s="217">
        <v>1</v>
      </c>
      <c r="L251" s="218">
        <f t="shared" si="47"/>
        <v>2.8867513459481293E-5</v>
      </c>
      <c r="M251" s="219">
        <f>'TECH DATA ENTRY'!R279</f>
        <v>0</v>
      </c>
      <c r="N251" s="219" t="str">
        <f>'TECH DATA ENTRY'!$G$26</f>
        <v>Digital</v>
      </c>
      <c r="O251" s="217">
        <v>1</v>
      </c>
      <c r="P251" s="218">
        <f t="shared" si="50"/>
        <v>0</v>
      </c>
      <c r="Q251" s="220">
        <f>'TECH DATA ENTRY'!S279</f>
        <v>0.16500000000000001</v>
      </c>
      <c r="R251" s="217">
        <v>1</v>
      </c>
      <c r="S251" s="218">
        <f t="shared" si="51"/>
        <v>8.2500000000000004E-2</v>
      </c>
      <c r="T251" s="220">
        <f>'TECH DATA ENTRY'!T279</f>
        <v>0</v>
      </c>
      <c r="U251" s="217">
        <v>1</v>
      </c>
      <c r="V251" s="218">
        <f t="shared" si="52"/>
        <v>0</v>
      </c>
      <c r="W251" s="220">
        <f>'TECH DATA ENTRY'!U279</f>
        <v>0</v>
      </c>
      <c r="X251" s="217">
        <v>1</v>
      </c>
      <c r="Y251" s="218">
        <f t="shared" si="53"/>
        <v>0</v>
      </c>
      <c r="Z251" s="220">
        <f>'TECH DATA ENTRY'!V279</f>
        <v>0</v>
      </c>
      <c r="AA251" s="217">
        <v>1</v>
      </c>
      <c r="AB251" s="218">
        <f t="shared" si="54"/>
        <v>0</v>
      </c>
      <c r="AC251" s="220">
        <f>'TECH DATA ENTRY'!W279</f>
        <v>0</v>
      </c>
      <c r="AD251" s="217">
        <v>1</v>
      </c>
      <c r="AE251" s="218">
        <f t="shared" si="55"/>
        <v>0</v>
      </c>
      <c r="AF251" s="220">
        <f>'TECH DATA ENTRY'!X279</f>
        <v>0</v>
      </c>
      <c r="AG251" s="217">
        <v>1</v>
      </c>
      <c r="AH251" s="218">
        <f t="shared" si="56"/>
        <v>0</v>
      </c>
      <c r="AI251" s="219" t="e">
        <f t="shared" si="57"/>
        <v>#VALUE!</v>
      </c>
      <c r="AJ251" s="221" t="str">
        <f>'TECH DATA ENTRY'!K279</f>
        <v/>
      </c>
      <c r="AK251" s="222" t="e">
        <f t="shared" si="58"/>
        <v>#VALUE!</v>
      </c>
      <c r="AL251" s="222" t="e">
        <f>VLOOKUP(AK251,'AUX TABLES'!A$2:B$29,2)</f>
        <v>#VALUE!</v>
      </c>
      <c r="AM251" s="223" t="str">
        <f>IF(OR(ISTEXT(B251)=TRUE,ISTEXT('TECH DATA ENTRY'!L279)=TRUE), "NA",AL251*AI251)</f>
        <v>NA</v>
      </c>
      <c r="AN251" s="79"/>
    </row>
    <row r="252" spans="1:40" s="80" customFormat="1" ht="20.149999999999999" customHeight="1">
      <c r="A252" s="216"/>
      <c r="B252" s="249">
        <f>'TECH DATA ENTRY'!B280</f>
        <v>0</v>
      </c>
      <c r="C252" s="217">
        <f>'TECH DATA ENTRY'!O280</f>
        <v>0</v>
      </c>
      <c r="D252" s="217">
        <v>1</v>
      </c>
      <c r="E252" s="218" t="e">
        <f t="shared" si="48"/>
        <v>#DIV/0!</v>
      </c>
      <c r="F252" s="217">
        <f>'TECH DATA ENTRY'!P280</f>
        <v>0</v>
      </c>
      <c r="G252" s="217">
        <v>1</v>
      </c>
      <c r="H252" s="218" t="e">
        <f t="shared" si="49"/>
        <v>#DIV/0!</v>
      </c>
      <c r="I252" s="219">
        <f>'TECH DATA ENTRY'!Q280</f>
        <v>0</v>
      </c>
      <c r="J252" s="219" t="str">
        <f>'TECH DATA ENTRY'!$G$26</f>
        <v>Digital</v>
      </c>
      <c r="K252" s="217">
        <v>1</v>
      </c>
      <c r="L252" s="218">
        <f t="shared" si="47"/>
        <v>0</v>
      </c>
      <c r="M252" s="219">
        <f>'TECH DATA ENTRY'!R280</f>
        <v>0</v>
      </c>
      <c r="N252" s="219" t="str">
        <f>'TECH DATA ENTRY'!$G$26</f>
        <v>Digital</v>
      </c>
      <c r="O252" s="217">
        <v>1</v>
      </c>
      <c r="P252" s="218">
        <f t="shared" si="50"/>
        <v>0</v>
      </c>
      <c r="Q252" s="220">
        <f>'TECH DATA ENTRY'!S280</f>
        <v>0</v>
      </c>
      <c r="R252" s="217">
        <v>1</v>
      </c>
      <c r="S252" s="218">
        <f t="shared" si="51"/>
        <v>0</v>
      </c>
      <c r="T252" s="220">
        <f>'TECH DATA ENTRY'!T280</f>
        <v>0</v>
      </c>
      <c r="U252" s="217">
        <v>1</v>
      </c>
      <c r="V252" s="218">
        <f t="shared" si="52"/>
        <v>0</v>
      </c>
      <c r="W252" s="220">
        <f>'TECH DATA ENTRY'!U280</f>
        <v>0</v>
      </c>
      <c r="X252" s="217">
        <v>1</v>
      </c>
      <c r="Y252" s="218">
        <f t="shared" si="53"/>
        <v>0</v>
      </c>
      <c r="Z252" s="220">
        <f>'TECH DATA ENTRY'!V280</f>
        <v>0</v>
      </c>
      <c r="AA252" s="217">
        <v>1</v>
      </c>
      <c r="AB252" s="218">
        <f t="shared" si="54"/>
        <v>0</v>
      </c>
      <c r="AC252" s="220">
        <f>'TECH DATA ENTRY'!W280</f>
        <v>0</v>
      </c>
      <c r="AD252" s="217">
        <v>1</v>
      </c>
      <c r="AE252" s="218">
        <f t="shared" si="55"/>
        <v>0</v>
      </c>
      <c r="AF252" s="220">
        <f>'TECH DATA ENTRY'!X280</f>
        <v>0</v>
      </c>
      <c r="AG252" s="217">
        <v>1</v>
      </c>
      <c r="AH252" s="218">
        <f t="shared" si="56"/>
        <v>0</v>
      </c>
      <c r="AI252" s="219" t="e">
        <f t="shared" si="57"/>
        <v>#DIV/0!</v>
      </c>
      <c r="AJ252" s="221">
        <f>'TECH DATA ENTRY'!K280</f>
        <v>0</v>
      </c>
      <c r="AK252" s="222" t="e">
        <f t="shared" si="58"/>
        <v>#DIV/0!</v>
      </c>
      <c r="AL252" s="222" t="e">
        <f>VLOOKUP(AK252,'AUX TABLES'!A$2:B$29,2)</f>
        <v>#DIV/0!</v>
      </c>
      <c r="AM252" s="223" t="e">
        <f>IF(OR(ISTEXT(B252)=TRUE,ISTEXT('TECH DATA ENTRY'!L280)=TRUE), "NA",AL252*AI252)</f>
        <v>#DIV/0!</v>
      </c>
      <c r="AN252" s="79"/>
    </row>
    <row r="253" spans="1:40" s="80" customFormat="1" ht="20.149999999999999" customHeight="1">
      <c r="A253" s="216"/>
      <c r="B253" s="249">
        <f>'TECH DATA ENTRY'!B281</f>
        <v>0</v>
      </c>
      <c r="C253" s="217">
        <f>'TECH DATA ENTRY'!O281</f>
        <v>0</v>
      </c>
      <c r="D253" s="217">
        <v>1</v>
      </c>
      <c r="E253" s="218" t="e">
        <f t="shared" si="48"/>
        <v>#DIV/0!</v>
      </c>
      <c r="F253" s="217">
        <f>'TECH DATA ENTRY'!P281</f>
        <v>0</v>
      </c>
      <c r="G253" s="217">
        <v>1</v>
      </c>
      <c r="H253" s="218" t="e">
        <f t="shared" si="49"/>
        <v>#DIV/0!</v>
      </c>
      <c r="I253" s="219">
        <f>'TECH DATA ENTRY'!Q281</f>
        <v>0</v>
      </c>
      <c r="J253" s="219" t="str">
        <f>'TECH DATA ENTRY'!$G$26</f>
        <v>Digital</v>
      </c>
      <c r="K253" s="217">
        <v>1</v>
      </c>
      <c r="L253" s="218">
        <f t="shared" si="47"/>
        <v>0</v>
      </c>
      <c r="M253" s="219">
        <f>'TECH DATA ENTRY'!R281</f>
        <v>0</v>
      </c>
      <c r="N253" s="219" t="str">
        <f>'TECH DATA ENTRY'!$G$26</f>
        <v>Digital</v>
      </c>
      <c r="O253" s="217">
        <v>1</v>
      </c>
      <c r="P253" s="218">
        <f t="shared" si="50"/>
        <v>0</v>
      </c>
      <c r="Q253" s="220">
        <f>'TECH DATA ENTRY'!S281</f>
        <v>0</v>
      </c>
      <c r="R253" s="217">
        <v>1</v>
      </c>
      <c r="S253" s="218">
        <f t="shared" si="51"/>
        <v>0</v>
      </c>
      <c r="T253" s="220">
        <f>'TECH DATA ENTRY'!T281</f>
        <v>0</v>
      </c>
      <c r="U253" s="217">
        <v>1</v>
      </c>
      <c r="V253" s="218">
        <f t="shared" si="52"/>
        <v>0</v>
      </c>
      <c r="W253" s="220">
        <f>'TECH DATA ENTRY'!U281</f>
        <v>0</v>
      </c>
      <c r="X253" s="217">
        <v>1</v>
      </c>
      <c r="Y253" s="218">
        <f t="shared" si="53"/>
        <v>0</v>
      </c>
      <c r="Z253" s="220">
        <f>'TECH DATA ENTRY'!V281</f>
        <v>0</v>
      </c>
      <c r="AA253" s="217">
        <v>1</v>
      </c>
      <c r="AB253" s="218">
        <f t="shared" si="54"/>
        <v>0</v>
      </c>
      <c r="AC253" s="220">
        <f>'TECH DATA ENTRY'!W281</f>
        <v>0</v>
      </c>
      <c r="AD253" s="217">
        <v>1</v>
      </c>
      <c r="AE253" s="218">
        <f t="shared" si="55"/>
        <v>0</v>
      </c>
      <c r="AF253" s="220">
        <f>'TECH DATA ENTRY'!X281</f>
        <v>0</v>
      </c>
      <c r="AG253" s="217">
        <v>1</v>
      </c>
      <c r="AH253" s="218">
        <f t="shared" si="56"/>
        <v>0</v>
      </c>
      <c r="AI253" s="219" t="e">
        <f t="shared" si="57"/>
        <v>#DIV/0!</v>
      </c>
      <c r="AJ253" s="221">
        <f>'TECH DATA ENTRY'!K281</f>
        <v>0</v>
      </c>
      <c r="AK253" s="222" t="e">
        <f t="shared" si="58"/>
        <v>#DIV/0!</v>
      </c>
      <c r="AL253" s="222" t="e">
        <f>VLOOKUP(AK253,'AUX TABLES'!A$2:B$29,2)</f>
        <v>#DIV/0!</v>
      </c>
      <c r="AM253" s="223" t="e">
        <f>IF(OR(ISTEXT(B253)=TRUE,ISTEXT('TECH DATA ENTRY'!L281)=TRUE), "NA",AL253*AI253)</f>
        <v>#DIV/0!</v>
      </c>
      <c r="AN253" s="79"/>
    </row>
    <row r="254" spans="1:40" s="80" customFormat="1" ht="20.149999999999999" customHeight="1">
      <c r="A254" s="216"/>
      <c r="B254" s="249">
        <f>'TECH DATA ENTRY'!B282</f>
        <v>0</v>
      </c>
      <c r="C254" s="217">
        <f>'TECH DATA ENTRY'!O282</f>
        <v>0</v>
      </c>
      <c r="D254" s="217">
        <v>1</v>
      </c>
      <c r="E254" s="218" t="e">
        <f t="shared" si="48"/>
        <v>#DIV/0!</v>
      </c>
      <c r="F254" s="217">
        <f>'TECH DATA ENTRY'!P282</f>
        <v>0</v>
      </c>
      <c r="G254" s="217">
        <v>1</v>
      </c>
      <c r="H254" s="218" t="e">
        <f t="shared" si="49"/>
        <v>#DIV/0!</v>
      </c>
      <c r="I254" s="219">
        <f>'TECH DATA ENTRY'!Q282</f>
        <v>0</v>
      </c>
      <c r="J254" s="219" t="str">
        <f>'TECH DATA ENTRY'!$G$26</f>
        <v>Digital</v>
      </c>
      <c r="K254" s="217">
        <v>1</v>
      </c>
      <c r="L254" s="218">
        <f t="shared" si="47"/>
        <v>0</v>
      </c>
      <c r="M254" s="219">
        <f>'TECH DATA ENTRY'!R282</f>
        <v>0</v>
      </c>
      <c r="N254" s="219" t="str">
        <f>'TECH DATA ENTRY'!$G$26</f>
        <v>Digital</v>
      </c>
      <c r="O254" s="217">
        <v>1</v>
      </c>
      <c r="P254" s="218">
        <f t="shared" si="50"/>
        <v>0</v>
      </c>
      <c r="Q254" s="220">
        <f>'TECH DATA ENTRY'!S282</f>
        <v>0</v>
      </c>
      <c r="R254" s="217">
        <v>1</v>
      </c>
      <c r="S254" s="218">
        <f t="shared" si="51"/>
        <v>0</v>
      </c>
      <c r="T254" s="220">
        <f>'TECH DATA ENTRY'!T282</f>
        <v>0</v>
      </c>
      <c r="U254" s="217">
        <v>1</v>
      </c>
      <c r="V254" s="218">
        <f t="shared" si="52"/>
        <v>0</v>
      </c>
      <c r="W254" s="220">
        <f>'TECH DATA ENTRY'!U282</f>
        <v>0</v>
      </c>
      <c r="X254" s="217">
        <v>1</v>
      </c>
      <c r="Y254" s="218">
        <f t="shared" si="53"/>
        <v>0</v>
      </c>
      <c r="Z254" s="220">
        <f>'TECH DATA ENTRY'!V282</f>
        <v>0</v>
      </c>
      <c r="AA254" s="217">
        <v>1</v>
      </c>
      <c r="AB254" s="218">
        <f t="shared" si="54"/>
        <v>0</v>
      </c>
      <c r="AC254" s="220">
        <f>'TECH DATA ENTRY'!W282</f>
        <v>0</v>
      </c>
      <c r="AD254" s="217">
        <v>1</v>
      </c>
      <c r="AE254" s="218">
        <f t="shared" si="55"/>
        <v>0</v>
      </c>
      <c r="AF254" s="220">
        <f>'TECH DATA ENTRY'!X282</f>
        <v>0</v>
      </c>
      <c r="AG254" s="217">
        <v>1</v>
      </c>
      <c r="AH254" s="218">
        <f t="shared" si="56"/>
        <v>0</v>
      </c>
      <c r="AI254" s="219" t="e">
        <f t="shared" si="57"/>
        <v>#DIV/0!</v>
      </c>
      <c r="AJ254" s="221">
        <f>'TECH DATA ENTRY'!K282</f>
        <v>0</v>
      </c>
      <c r="AK254" s="222" t="e">
        <f t="shared" si="58"/>
        <v>#DIV/0!</v>
      </c>
      <c r="AL254" s="222" t="e">
        <f>VLOOKUP(AK254,'AUX TABLES'!A$2:B$29,2)</f>
        <v>#DIV/0!</v>
      </c>
      <c r="AM254" s="223" t="e">
        <f>IF(OR(ISTEXT(B254)=TRUE,ISTEXT('TECH DATA ENTRY'!L282)=TRUE), "NA",AL254*AI254)</f>
        <v>#DIV/0!</v>
      </c>
      <c r="AN254" s="79"/>
    </row>
    <row r="255" spans="1:40" s="80" customFormat="1" ht="20.149999999999999" customHeight="1">
      <c r="A255" s="216"/>
      <c r="B255" s="249" t="str">
        <f>'TECH DATA ENTRY'!B283</f>
        <v>Nominal</v>
      </c>
      <c r="C255" s="217" t="str">
        <f>'TECH DATA ENTRY'!O283</f>
        <v>Uncertainty Components</v>
      </c>
      <c r="D255" s="217">
        <v>1</v>
      </c>
      <c r="E255" s="218" t="e">
        <f t="shared" si="48"/>
        <v>#VALUE!</v>
      </c>
      <c r="F255" s="217">
        <f>'TECH DATA ENTRY'!P283</f>
        <v>0</v>
      </c>
      <c r="G255" s="217">
        <v>1</v>
      </c>
      <c r="H255" s="218" t="e">
        <f t="shared" si="49"/>
        <v>#VALUE!</v>
      </c>
      <c r="I255" s="219">
        <f>'TECH DATA ENTRY'!Q283</f>
        <v>0</v>
      </c>
      <c r="J255" s="219" t="str">
        <f>'TECH DATA ENTRY'!$G$26</f>
        <v>Digital</v>
      </c>
      <c r="K255" s="217">
        <v>1</v>
      </c>
      <c r="L255" s="218">
        <f t="shared" si="47"/>
        <v>0</v>
      </c>
      <c r="M255" s="219">
        <f>'TECH DATA ENTRY'!R283</f>
        <v>0</v>
      </c>
      <c r="N255" s="219" t="str">
        <f>'TECH DATA ENTRY'!$G$26</f>
        <v>Digital</v>
      </c>
      <c r="O255" s="217">
        <v>1</v>
      </c>
      <c r="P255" s="218">
        <f t="shared" si="50"/>
        <v>0</v>
      </c>
      <c r="Q255" s="220">
        <f>'TECH DATA ENTRY'!S283</f>
        <v>0</v>
      </c>
      <c r="R255" s="217">
        <v>1</v>
      </c>
      <c r="S255" s="218">
        <f t="shared" si="51"/>
        <v>0</v>
      </c>
      <c r="T255" s="220">
        <f>'TECH DATA ENTRY'!T283</f>
        <v>0</v>
      </c>
      <c r="U255" s="217">
        <v>1</v>
      </c>
      <c r="V255" s="218">
        <f t="shared" si="52"/>
        <v>0</v>
      </c>
      <c r="W255" s="220">
        <f>'TECH DATA ENTRY'!U283</f>
        <v>0</v>
      </c>
      <c r="X255" s="217">
        <v>1</v>
      </c>
      <c r="Y255" s="218">
        <f t="shared" si="53"/>
        <v>0</v>
      </c>
      <c r="Z255" s="220">
        <f>'TECH DATA ENTRY'!V283</f>
        <v>0</v>
      </c>
      <c r="AA255" s="217">
        <v>1</v>
      </c>
      <c r="AB255" s="218">
        <f t="shared" si="54"/>
        <v>0</v>
      </c>
      <c r="AC255" s="220">
        <f>'TECH DATA ENTRY'!W283</f>
        <v>0</v>
      </c>
      <c r="AD255" s="217">
        <v>1</v>
      </c>
      <c r="AE255" s="218">
        <f t="shared" si="55"/>
        <v>0</v>
      </c>
      <c r="AF255" s="220">
        <f>'TECH DATA ENTRY'!X283</f>
        <v>0</v>
      </c>
      <c r="AG255" s="217">
        <v>1</v>
      </c>
      <c r="AH255" s="218">
        <f t="shared" si="56"/>
        <v>0</v>
      </c>
      <c r="AI255" s="219" t="e">
        <f t="shared" si="57"/>
        <v>#VALUE!</v>
      </c>
      <c r="AJ255" s="221" t="str">
        <f>'TECH DATA ENTRY'!K283</f>
        <v>n</v>
      </c>
      <c r="AK255" s="222" t="e">
        <f t="shared" si="58"/>
        <v>#VALUE!</v>
      </c>
      <c r="AL255" s="222" t="e">
        <f>VLOOKUP(AK255,'AUX TABLES'!A$2:B$29,2)</f>
        <v>#VALUE!</v>
      </c>
      <c r="AM255" s="223" t="str">
        <f>IF(OR(ISTEXT(B255)=TRUE,ISTEXT('TECH DATA ENTRY'!L283)=TRUE), "NA",AL255*AI255)</f>
        <v>NA</v>
      </c>
      <c r="AN255" s="79"/>
    </row>
    <row r="256" spans="1:40" s="80" customFormat="1" ht="20.149999999999999" customHeight="1">
      <c r="A256" s="216"/>
      <c r="B256" s="249">
        <f>'TECH DATA ENTRY'!B284</f>
        <v>0</v>
      </c>
      <c r="C256" s="217" t="str">
        <f>'TECH DATA ENTRY'!O284</f>
        <v>Stdev 1</v>
      </c>
      <c r="D256" s="217">
        <v>1</v>
      </c>
      <c r="E256" s="218" t="e">
        <f t="shared" si="48"/>
        <v>#VALUE!</v>
      </c>
      <c r="F256" s="217" t="str">
        <f>'TECH DATA ENTRY'!P284</f>
        <v>Stdev 2</v>
      </c>
      <c r="G256" s="217">
        <v>1</v>
      </c>
      <c r="H256" s="218" t="e">
        <f t="shared" si="49"/>
        <v>#VALUE!</v>
      </c>
      <c r="I256" s="219" t="str">
        <f>'TECH DATA ENTRY'!Q284</f>
        <v>Resolution 1</v>
      </c>
      <c r="J256" s="219" t="str">
        <f>'TECH DATA ENTRY'!$G$26</f>
        <v>Digital</v>
      </c>
      <c r="K256" s="217">
        <v>1</v>
      </c>
      <c r="L256" s="218" t="e">
        <f t="shared" si="47"/>
        <v>#VALUE!</v>
      </c>
      <c r="M256" s="219" t="str">
        <f>'TECH DATA ENTRY'!R284</f>
        <v>Resolution 2</v>
      </c>
      <c r="N256" s="219" t="str">
        <f>'TECH DATA ENTRY'!$G$26</f>
        <v>Digital</v>
      </c>
      <c r="O256" s="217">
        <v>1</v>
      </c>
      <c r="P256" s="218" t="e">
        <f t="shared" si="50"/>
        <v>#VALUE!</v>
      </c>
      <c r="Q256" s="220" t="str">
        <f>'TECH DATA ENTRY'!S284</f>
        <v>Scope Uncertainty</v>
      </c>
      <c r="R256" s="217">
        <v>1</v>
      </c>
      <c r="S256" s="218" t="e">
        <f t="shared" si="51"/>
        <v>#VALUE!</v>
      </c>
      <c r="T256" s="220" t="str">
        <f>'TECH DATA ENTRY'!T284</f>
        <v>STD 2 Cal Unc</v>
      </c>
      <c r="U256" s="217">
        <v>1</v>
      </c>
      <c r="V256" s="218" t="e">
        <f t="shared" si="52"/>
        <v>#VALUE!</v>
      </c>
      <c r="W256" s="220" t="str">
        <f>'TECH DATA ENTRY'!U284</f>
        <v>Others 1</v>
      </c>
      <c r="X256" s="217">
        <v>1</v>
      </c>
      <c r="Y256" s="218" t="e">
        <f t="shared" si="53"/>
        <v>#VALUE!</v>
      </c>
      <c r="Z256" s="220" t="str">
        <f>'TECH DATA ENTRY'!V284</f>
        <v>Others 2</v>
      </c>
      <c r="AA256" s="217">
        <v>1</v>
      </c>
      <c r="AB256" s="218" t="e">
        <f t="shared" si="54"/>
        <v>#VALUE!</v>
      </c>
      <c r="AC256" s="220" t="str">
        <f>'TECH DATA ENTRY'!W284</f>
        <v>Others 3</v>
      </c>
      <c r="AD256" s="217">
        <v>1</v>
      </c>
      <c r="AE256" s="218" t="e">
        <f t="shared" si="55"/>
        <v>#VALUE!</v>
      </c>
      <c r="AF256" s="220" t="str">
        <f>'TECH DATA ENTRY'!X284</f>
        <v>Others 4</v>
      </c>
      <c r="AG256" s="217">
        <v>1</v>
      </c>
      <c r="AH256" s="218" t="e">
        <f t="shared" si="56"/>
        <v>#VALUE!</v>
      </c>
      <c r="AI256" s="219" t="e">
        <f t="shared" si="57"/>
        <v>#VALUE!</v>
      </c>
      <c r="AJ256" s="221">
        <f>'TECH DATA ENTRY'!K284</f>
        <v>0</v>
      </c>
      <c r="AK256" s="222" t="e">
        <f t="shared" si="58"/>
        <v>#VALUE!</v>
      </c>
      <c r="AL256" s="222" t="e">
        <f>VLOOKUP(AK256,'AUX TABLES'!A$2:B$29,2)</f>
        <v>#VALUE!</v>
      </c>
      <c r="AM256" s="223" t="e">
        <f>IF(OR(ISTEXT(B256)=TRUE,ISTEXT('TECH DATA ENTRY'!L284)=TRUE), "NA",AL256*AI256)</f>
        <v>#VALUE!</v>
      </c>
      <c r="AN256" s="79"/>
    </row>
    <row r="257" spans="1:40" s="80" customFormat="1" ht="20.149999999999999" customHeight="1">
      <c r="A257" s="216"/>
      <c r="B257" s="249">
        <f>'TECH DATA ENTRY'!B285</f>
        <v>1</v>
      </c>
      <c r="C257" s="217" t="str">
        <f>'TECH DATA ENTRY'!O285</f>
        <v/>
      </c>
      <c r="D257" s="217">
        <v>1</v>
      </c>
      <c r="E257" s="218" t="e">
        <f t="shared" si="48"/>
        <v>#VALUE!</v>
      </c>
      <c r="F257" s="217">
        <f>'TECH DATA ENTRY'!P285</f>
        <v>0</v>
      </c>
      <c r="G257" s="217">
        <v>1</v>
      </c>
      <c r="H257" s="218" t="e">
        <f t="shared" si="49"/>
        <v>#VALUE!</v>
      </c>
      <c r="I257" s="219">
        <f>'TECH DATA ENTRY'!Q285</f>
        <v>9.9999999999999995E-7</v>
      </c>
      <c r="J257" s="219" t="str">
        <f>'TECH DATA ENTRY'!$G$26</f>
        <v>Digital</v>
      </c>
      <c r="K257" s="217">
        <v>1</v>
      </c>
      <c r="L257" s="218">
        <f t="shared" si="47"/>
        <v>2.8867513459481289E-7</v>
      </c>
      <c r="M257" s="219">
        <f>'TECH DATA ENTRY'!R285</f>
        <v>0</v>
      </c>
      <c r="N257" s="219" t="str">
        <f>'TECH DATA ENTRY'!$G$26</f>
        <v>Digital</v>
      </c>
      <c r="O257" s="217">
        <v>1</v>
      </c>
      <c r="P257" s="218">
        <f t="shared" si="50"/>
        <v>0</v>
      </c>
      <c r="Q257" s="220">
        <f>'TECH DATA ENTRY'!S285</f>
        <v>3.0600000000000001E-4</v>
      </c>
      <c r="R257" s="217">
        <v>1</v>
      </c>
      <c r="S257" s="218">
        <f t="shared" si="51"/>
        <v>1.5300000000000001E-4</v>
      </c>
      <c r="T257" s="220">
        <f>'TECH DATA ENTRY'!T285</f>
        <v>0</v>
      </c>
      <c r="U257" s="217">
        <v>1</v>
      </c>
      <c r="V257" s="218">
        <f t="shared" si="52"/>
        <v>0</v>
      </c>
      <c r="W257" s="220">
        <f>'TECH DATA ENTRY'!U285</f>
        <v>0</v>
      </c>
      <c r="X257" s="217">
        <v>1</v>
      </c>
      <c r="Y257" s="218">
        <f t="shared" si="53"/>
        <v>0</v>
      </c>
      <c r="Z257" s="220">
        <f>'TECH DATA ENTRY'!V285</f>
        <v>0</v>
      </c>
      <c r="AA257" s="217">
        <v>1</v>
      </c>
      <c r="AB257" s="218">
        <f t="shared" si="54"/>
        <v>0</v>
      </c>
      <c r="AC257" s="220">
        <f>'TECH DATA ENTRY'!W285</f>
        <v>0</v>
      </c>
      <c r="AD257" s="217">
        <v>1</v>
      </c>
      <c r="AE257" s="218">
        <f t="shared" si="55"/>
        <v>0</v>
      </c>
      <c r="AF257" s="220">
        <f>'TECH DATA ENTRY'!X285</f>
        <v>0</v>
      </c>
      <c r="AG257" s="217">
        <v>1</v>
      </c>
      <c r="AH257" s="218">
        <f t="shared" si="56"/>
        <v>0</v>
      </c>
      <c r="AI257" s="219" t="e">
        <f t="shared" si="57"/>
        <v>#VALUE!</v>
      </c>
      <c r="AJ257" s="221" t="str">
        <f>'TECH DATA ENTRY'!K285</f>
        <v/>
      </c>
      <c r="AK257" s="222" t="e">
        <f t="shared" si="58"/>
        <v>#VALUE!</v>
      </c>
      <c r="AL257" s="222" t="e">
        <f>VLOOKUP(AK257,'AUX TABLES'!A$2:B$29,2)</f>
        <v>#VALUE!</v>
      </c>
      <c r="AM257" s="223" t="str">
        <f>IF(OR(ISTEXT(B257)=TRUE,ISTEXT('TECH DATA ENTRY'!L285)=TRUE), "NA",AL257*AI257)</f>
        <v>NA</v>
      </c>
      <c r="AN257" s="79"/>
    </row>
    <row r="258" spans="1:40" s="80" customFormat="1" ht="20.149999999999999" customHeight="1">
      <c r="A258" s="216"/>
      <c r="B258" s="249">
        <f>'TECH DATA ENTRY'!B286</f>
        <v>1</v>
      </c>
      <c r="C258" s="217" t="str">
        <f>'TECH DATA ENTRY'!O286</f>
        <v/>
      </c>
      <c r="D258" s="217">
        <v>1</v>
      </c>
      <c r="E258" s="218" t="e">
        <f t="shared" si="48"/>
        <v>#VALUE!</v>
      </c>
      <c r="F258" s="217">
        <f>'TECH DATA ENTRY'!P286</f>
        <v>0</v>
      </c>
      <c r="G258" s="217">
        <v>1</v>
      </c>
      <c r="H258" s="218" t="e">
        <f t="shared" si="49"/>
        <v>#VALUE!</v>
      </c>
      <c r="I258" s="219">
        <f>'TECH DATA ENTRY'!Q286</f>
        <v>9.9999999999999995E-7</v>
      </c>
      <c r="J258" s="219" t="str">
        <f>'TECH DATA ENTRY'!$G$26</f>
        <v>Digital</v>
      </c>
      <c r="K258" s="217">
        <v>1</v>
      </c>
      <c r="L258" s="218">
        <f t="shared" si="47"/>
        <v>2.8867513459481289E-7</v>
      </c>
      <c r="M258" s="219">
        <f>'TECH DATA ENTRY'!R286</f>
        <v>0</v>
      </c>
      <c r="N258" s="219" t="str">
        <f>'TECH DATA ENTRY'!$G$26</f>
        <v>Digital</v>
      </c>
      <c r="O258" s="217">
        <v>1</v>
      </c>
      <c r="P258" s="218">
        <f t="shared" si="50"/>
        <v>0</v>
      </c>
      <c r="Q258" s="220">
        <f>'TECH DATA ENTRY'!S286</f>
        <v>1.65E-4</v>
      </c>
      <c r="R258" s="217">
        <v>1</v>
      </c>
      <c r="S258" s="218">
        <f t="shared" si="51"/>
        <v>8.25E-5</v>
      </c>
      <c r="T258" s="220">
        <f>'TECH DATA ENTRY'!T286</f>
        <v>0</v>
      </c>
      <c r="U258" s="217">
        <v>1</v>
      </c>
      <c r="V258" s="218">
        <f t="shared" si="52"/>
        <v>0</v>
      </c>
      <c r="W258" s="220">
        <f>'TECH DATA ENTRY'!U286</f>
        <v>0</v>
      </c>
      <c r="X258" s="217">
        <v>1</v>
      </c>
      <c r="Y258" s="218">
        <f t="shared" si="53"/>
        <v>0</v>
      </c>
      <c r="Z258" s="220">
        <f>'TECH DATA ENTRY'!V286</f>
        <v>0</v>
      </c>
      <c r="AA258" s="217">
        <v>1</v>
      </c>
      <c r="AB258" s="218">
        <f t="shared" si="54"/>
        <v>0</v>
      </c>
      <c r="AC258" s="220">
        <f>'TECH DATA ENTRY'!W286</f>
        <v>0</v>
      </c>
      <c r="AD258" s="217">
        <v>1</v>
      </c>
      <c r="AE258" s="218">
        <f t="shared" si="55"/>
        <v>0</v>
      </c>
      <c r="AF258" s="220">
        <f>'TECH DATA ENTRY'!X286</f>
        <v>0</v>
      </c>
      <c r="AG258" s="217">
        <v>1</v>
      </c>
      <c r="AH258" s="218">
        <f t="shared" si="56"/>
        <v>0</v>
      </c>
      <c r="AI258" s="219" t="e">
        <f t="shared" si="57"/>
        <v>#VALUE!</v>
      </c>
      <c r="AJ258" s="221" t="str">
        <f>'TECH DATA ENTRY'!K286</f>
        <v/>
      </c>
      <c r="AK258" s="222" t="e">
        <f t="shared" si="58"/>
        <v>#VALUE!</v>
      </c>
      <c r="AL258" s="222" t="e">
        <f>VLOOKUP(AK258,'AUX TABLES'!A$2:B$29,2)</f>
        <v>#VALUE!</v>
      </c>
      <c r="AM258" s="223" t="str">
        <f>IF(OR(ISTEXT(B258)=TRUE,ISTEXT('TECH DATA ENTRY'!L286)=TRUE), "NA",AL258*AI258)</f>
        <v>NA</v>
      </c>
      <c r="AN258" s="79"/>
    </row>
    <row r="259" spans="1:40" s="80" customFormat="1" ht="20.149999999999999" customHeight="1">
      <c r="A259" s="216"/>
      <c r="B259" s="249">
        <f>'TECH DATA ENTRY'!B287</f>
        <v>1</v>
      </c>
      <c r="C259" s="217" t="str">
        <f>'TECH DATA ENTRY'!O287</f>
        <v/>
      </c>
      <c r="D259" s="217">
        <v>1</v>
      </c>
      <c r="E259" s="218" t="e">
        <f t="shared" si="48"/>
        <v>#VALUE!</v>
      </c>
      <c r="F259" s="217">
        <f>'TECH DATA ENTRY'!P287</f>
        <v>0</v>
      </c>
      <c r="G259" s="217">
        <v>1</v>
      </c>
      <c r="H259" s="218" t="e">
        <f t="shared" si="49"/>
        <v>#VALUE!</v>
      </c>
      <c r="I259" s="219">
        <f>'TECH DATA ENTRY'!Q287</f>
        <v>9.9999999999999995E-7</v>
      </c>
      <c r="J259" s="219" t="str">
        <f>'TECH DATA ENTRY'!$G$26</f>
        <v>Digital</v>
      </c>
      <c r="K259" s="217">
        <v>1</v>
      </c>
      <c r="L259" s="218">
        <f t="shared" si="47"/>
        <v>2.8867513459481289E-7</v>
      </c>
      <c r="M259" s="219">
        <f>'TECH DATA ENTRY'!R287</f>
        <v>0</v>
      </c>
      <c r="N259" s="219" t="str">
        <f>'TECH DATA ENTRY'!$G$26</f>
        <v>Digital</v>
      </c>
      <c r="O259" s="217">
        <v>1</v>
      </c>
      <c r="P259" s="218">
        <f t="shared" si="50"/>
        <v>0</v>
      </c>
      <c r="Q259" s="220">
        <f>'TECH DATA ENTRY'!S287</f>
        <v>3.1700000000000001E-4</v>
      </c>
      <c r="R259" s="217">
        <v>1</v>
      </c>
      <c r="S259" s="218">
        <f t="shared" si="51"/>
        <v>1.585E-4</v>
      </c>
      <c r="T259" s="220">
        <f>'TECH DATA ENTRY'!T287</f>
        <v>0</v>
      </c>
      <c r="U259" s="217">
        <v>1</v>
      </c>
      <c r="V259" s="218">
        <f t="shared" si="52"/>
        <v>0</v>
      </c>
      <c r="W259" s="220">
        <f>'TECH DATA ENTRY'!U287</f>
        <v>0</v>
      </c>
      <c r="X259" s="217">
        <v>1</v>
      </c>
      <c r="Y259" s="218">
        <f t="shared" si="53"/>
        <v>0</v>
      </c>
      <c r="Z259" s="220">
        <f>'TECH DATA ENTRY'!V287</f>
        <v>0</v>
      </c>
      <c r="AA259" s="217">
        <v>1</v>
      </c>
      <c r="AB259" s="218">
        <f t="shared" si="54"/>
        <v>0</v>
      </c>
      <c r="AC259" s="220">
        <f>'TECH DATA ENTRY'!W287</f>
        <v>0</v>
      </c>
      <c r="AD259" s="217">
        <v>1</v>
      </c>
      <c r="AE259" s="218">
        <f t="shared" si="55"/>
        <v>0</v>
      </c>
      <c r="AF259" s="220">
        <f>'TECH DATA ENTRY'!X287</f>
        <v>0</v>
      </c>
      <c r="AG259" s="217">
        <v>1</v>
      </c>
      <c r="AH259" s="218">
        <f t="shared" si="56"/>
        <v>0</v>
      </c>
      <c r="AI259" s="219" t="e">
        <f t="shared" si="57"/>
        <v>#VALUE!</v>
      </c>
      <c r="AJ259" s="221" t="str">
        <f>'TECH DATA ENTRY'!K287</f>
        <v/>
      </c>
      <c r="AK259" s="222" t="e">
        <f t="shared" si="58"/>
        <v>#VALUE!</v>
      </c>
      <c r="AL259" s="222" t="e">
        <f>VLOOKUP(AK259,'AUX TABLES'!A$2:B$29,2)</f>
        <v>#VALUE!</v>
      </c>
      <c r="AM259" s="223" t="str">
        <f>IF(OR(ISTEXT(B259)=TRUE,ISTEXT('TECH DATA ENTRY'!L287)=TRUE), "NA",AL259*AI259)</f>
        <v>NA</v>
      </c>
      <c r="AN259" s="79"/>
    </row>
    <row r="260" spans="1:40" s="80" customFormat="1" ht="20.149999999999999" customHeight="1">
      <c r="A260" s="216"/>
      <c r="B260" s="249">
        <f>'TECH DATA ENTRY'!B288</f>
        <v>1</v>
      </c>
      <c r="C260" s="217" t="str">
        <f>'TECH DATA ENTRY'!O288</f>
        <v/>
      </c>
      <c r="D260" s="217">
        <v>1</v>
      </c>
      <c r="E260" s="218" t="e">
        <f t="shared" si="48"/>
        <v>#VALUE!</v>
      </c>
      <c r="F260" s="217">
        <f>'TECH DATA ENTRY'!P288</f>
        <v>0</v>
      </c>
      <c r="G260" s="217">
        <v>1</v>
      </c>
      <c r="H260" s="218" t="e">
        <f t="shared" si="49"/>
        <v>#VALUE!</v>
      </c>
      <c r="I260" s="219">
        <f>'TECH DATA ENTRY'!Q288</f>
        <v>9.9999999999999995E-7</v>
      </c>
      <c r="J260" s="219" t="str">
        <f>'TECH DATA ENTRY'!$G$26</f>
        <v>Digital</v>
      </c>
      <c r="K260" s="217">
        <v>1</v>
      </c>
      <c r="L260" s="218">
        <f t="shared" si="47"/>
        <v>2.8867513459481289E-7</v>
      </c>
      <c r="M260" s="219">
        <f>'TECH DATA ENTRY'!R288</f>
        <v>0</v>
      </c>
      <c r="N260" s="219" t="str">
        <f>'TECH DATA ENTRY'!$G$26</f>
        <v>Digital</v>
      </c>
      <c r="O260" s="217">
        <v>1</v>
      </c>
      <c r="P260" s="218">
        <f t="shared" si="50"/>
        <v>0</v>
      </c>
      <c r="Q260" s="220">
        <f>'TECH DATA ENTRY'!S288</f>
        <v>1.65E-3</v>
      </c>
      <c r="R260" s="217">
        <v>1</v>
      </c>
      <c r="S260" s="218">
        <f t="shared" si="51"/>
        <v>8.25E-4</v>
      </c>
      <c r="T260" s="220">
        <f>'TECH DATA ENTRY'!T288</f>
        <v>0</v>
      </c>
      <c r="U260" s="217">
        <v>1</v>
      </c>
      <c r="V260" s="218">
        <f t="shared" si="52"/>
        <v>0</v>
      </c>
      <c r="W260" s="220">
        <f>'TECH DATA ENTRY'!U288</f>
        <v>0</v>
      </c>
      <c r="X260" s="217">
        <v>1</v>
      </c>
      <c r="Y260" s="218">
        <f t="shared" si="53"/>
        <v>0</v>
      </c>
      <c r="Z260" s="220">
        <f>'TECH DATA ENTRY'!V288</f>
        <v>0</v>
      </c>
      <c r="AA260" s="217">
        <v>1</v>
      </c>
      <c r="AB260" s="218">
        <f t="shared" si="54"/>
        <v>0</v>
      </c>
      <c r="AC260" s="220">
        <f>'TECH DATA ENTRY'!W288</f>
        <v>0</v>
      </c>
      <c r="AD260" s="217">
        <v>1</v>
      </c>
      <c r="AE260" s="218">
        <f t="shared" si="55"/>
        <v>0</v>
      </c>
      <c r="AF260" s="220">
        <f>'TECH DATA ENTRY'!X288</f>
        <v>0</v>
      </c>
      <c r="AG260" s="217">
        <v>1</v>
      </c>
      <c r="AH260" s="218">
        <f t="shared" si="56"/>
        <v>0</v>
      </c>
      <c r="AI260" s="219" t="e">
        <f t="shared" si="57"/>
        <v>#VALUE!</v>
      </c>
      <c r="AJ260" s="221" t="str">
        <f>'TECH DATA ENTRY'!K288</f>
        <v/>
      </c>
      <c r="AK260" s="222" t="e">
        <f t="shared" si="58"/>
        <v>#VALUE!</v>
      </c>
      <c r="AL260" s="222" t="e">
        <f>VLOOKUP(AK260,'AUX TABLES'!A$2:B$29,2)</f>
        <v>#VALUE!</v>
      </c>
      <c r="AM260" s="223" t="str">
        <f>IF(OR(ISTEXT(B260)=TRUE,ISTEXT('TECH DATA ENTRY'!L288)=TRUE), "NA",AL260*AI260)</f>
        <v>NA</v>
      </c>
      <c r="AN260" s="79"/>
    </row>
    <row r="261" spans="1:40" s="80" customFormat="1" ht="20.149999999999999" customHeight="1">
      <c r="A261" s="216"/>
      <c r="B261" s="249">
        <f>'TECH DATA ENTRY'!B289</f>
        <v>0</v>
      </c>
      <c r="C261" s="217">
        <f>'TECH DATA ENTRY'!O289</f>
        <v>0</v>
      </c>
      <c r="D261" s="217">
        <v>1</v>
      </c>
      <c r="E261" s="218" t="e">
        <f t="shared" si="48"/>
        <v>#DIV/0!</v>
      </c>
      <c r="F261" s="217">
        <f>'TECH DATA ENTRY'!P289</f>
        <v>0</v>
      </c>
      <c r="G261" s="217">
        <v>1</v>
      </c>
      <c r="H261" s="218" t="e">
        <f t="shared" si="49"/>
        <v>#DIV/0!</v>
      </c>
      <c r="I261" s="219">
        <f>'TECH DATA ENTRY'!Q289</f>
        <v>0</v>
      </c>
      <c r="J261" s="219" t="str">
        <f>'TECH DATA ENTRY'!$G$26</f>
        <v>Digital</v>
      </c>
      <c r="K261" s="217">
        <v>1</v>
      </c>
      <c r="L261" s="218">
        <f t="shared" si="47"/>
        <v>0</v>
      </c>
      <c r="M261" s="219">
        <f>'TECH DATA ENTRY'!R289</f>
        <v>0</v>
      </c>
      <c r="N261" s="219" t="str">
        <f>'TECH DATA ENTRY'!$G$26</f>
        <v>Digital</v>
      </c>
      <c r="O261" s="217">
        <v>1</v>
      </c>
      <c r="P261" s="218">
        <f t="shared" si="50"/>
        <v>0</v>
      </c>
      <c r="Q261" s="220">
        <f>'TECH DATA ENTRY'!S289</f>
        <v>0</v>
      </c>
      <c r="R261" s="217">
        <v>1</v>
      </c>
      <c r="S261" s="218">
        <f t="shared" si="51"/>
        <v>0</v>
      </c>
      <c r="T261" s="220">
        <f>'TECH DATA ENTRY'!T289</f>
        <v>0</v>
      </c>
      <c r="U261" s="217">
        <v>1</v>
      </c>
      <c r="V261" s="218">
        <f t="shared" si="52"/>
        <v>0</v>
      </c>
      <c r="W261" s="220">
        <f>'TECH DATA ENTRY'!U289</f>
        <v>0</v>
      </c>
      <c r="X261" s="217">
        <v>1</v>
      </c>
      <c r="Y261" s="218">
        <f t="shared" si="53"/>
        <v>0</v>
      </c>
      <c r="Z261" s="220">
        <f>'TECH DATA ENTRY'!V289</f>
        <v>0</v>
      </c>
      <c r="AA261" s="217">
        <v>1</v>
      </c>
      <c r="AB261" s="218">
        <f t="shared" si="54"/>
        <v>0</v>
      </c>
      <c r="AC261" s="220">
        <f>'TECH DATA ENTRY'!W289</f>
        <v>0</v>
      </c>
      <c r="AD261" s="217">
        <v>1</v>
      </c>
      <c r="AE261" s="218">
        <f t="shared" si="55"/>
        <v>0</v>
      </c>
      <c r="AF261" s="220">
        <f>'TECH DATA ENTRY'!X289</f>
        <v>0</v>
      </c>
      <c r="AG261" s="217">
        <v>1</v>
      </c>
      <c r="AH261" s="218">
        <f t="shared" si="56"/>
        <v>0</v>
      </c>
      <c r="AI261" s="219" t="e">
        <f t="shared" si="57"/>
        <v>#DIV/0!</v>
      </c>
      <c r="AJ261" s="221">
        <f>'TECH DATA ENTRY'!K289</f>
        <v>0</v>
      </c>
      <c r="AK261" s="222" t="e">
        <f t="shared" si="58"/>
        <v>#DIV/0!</v>
      </c>
      <c r="AL261" s="222" t="e">
        <f>VLOOKUP(AK261,'AUX TABLES'!A$2:B$29,2)</f>
        <v>#DIV/0!</v>
      </c>
      <c r="AM261" s="223" t="e">
        <f>IF(OR(ISTEXT(B261)=TRUE,ISTEXT('TECH DATA ENTRY'!L289)=TRUE), "NA",AL261*AI261)</f>
        <v>#DIV/0!</v>
      </c>
      <c r="AN261" s="79"/>
    </row>
    <row r="262" spans="1:40" s="80" customFormat="1" ht="20.149999999999999" customHeight="1">
      <c r="A262" s="216"/>
      <c r="B262" s="249">
        <f>'TECH DATA ENTRY'!B290</f>
        <v>0</v>
      </c>
      <c r="C262" s="217">
        <f>'TECH DATA ENTRY'!O290</f>
        <v>0</v>
      </c>
      <c r="D262" s="217">
        <v>1</v>
      </c>
      <c r="E262" s="218" t="e">
        <f t="shared" si="48"/>
        <v>#DIV/0!</v>
      </c>
      <c r="F262" s="217">
        <f>'TECH DATA ENTRY'!P290</f>
        <v>0</v>
      </c>
      <c r="G262" s="217">
        <v>1</v>
      </c>
      <c r="H262" s="218" t="e">
        <f t="shared" si="49"/>
        <v>#DIV/0!</v>
      </c>
      <c r="I262" s="219">
        <f>'TECH DATA ENTRY'!Q290</f>
        <v>0</v>
      </c>
      <c r="J262" s="219" t="str">
        <f>'TECH DATA ENTRY'!$G$26</f>
        <v>Digital</v>
      </c>
      <c r="K262" s="217">
        <v>1</v>
      </c>
      <c r="L262" s="218">
        <f t="shared" si="47"/>
        <v>0</v>
      </c>
      <c r="M262" s="219">
        <f>'TECH DATA ENTRY'!R290</f>
        <v>0</v>
      </c>
      <c r="N262" s="219" t="str">
        <f>'TECH DATA ENTRY'!$G$26</f>
        <v>Digital</v>
      </c>
      <c r="O262" s="217">
        <v>1</v>
      </c>
      <c r="P262" s="218">
        <f t="shared" si="50"/>
        <v>0</v>
      </c>
      <c r="Q262" s="220">
        <f>'TECH DATA ENTRY'!S290</f>
        <v>0</v>
      </c>
      <c r="R262" s="217">
        <v>1</v>
      </c>
      <c r="S262" s="218">
        <f t="shared" si="51"/>
        <v>0</v>
      </c>
      <c r="T262" s="220">
        <f>'TECH DATA ENTRY'!T290</f>
        <v>0</v>
      </c>
      <c r="U262" s="217">
        <v>1</v>
      </c>
      <c r="V262" s="218">
        <f t="shared" si="52"/>
        <v>0</v>
      </c>
      <c r="W262" s="220">
        <f>'TECH DATA ENTRY'!U290</f>
        <v>0</v>
      </c>
      <c r="X262" s="217">
        <v>1</v>
      </c>
      <c r="Y262" s="218">
        <f t="shared" si="53"/>
        <v>0</v>
      </c>
      <c r="Z262" s="220">
        <f>'TECH DATA ENTRY'!V290</f>
        <v>0</v>
      </c>
      <c r="AA262" s="217">
        <v>1</v>
      </c>
      <c r="AB262" s="218">
        <f t="shared" si="54"/>
        <v>0</v>
      </c>
      <c r="AC262" s="220">
        <f>'TECH DATA ENTRY'!W290</f>
        <v>0</v>
      </c>
      <c r="AD262" s="217">
        <v>1</v>
      </c>
      <c r="AE262" s="218">
        <f t="shared" si="55"/>
        <v>0</v>
      </c>
      <c r="AF262" s="220">
        <f>'TECH DATA ENTRY'!X290</f>
        <v>0</v>
      </c>
      <c r="AG262" s="217">
        <v>1</v>
      </c>
      <c r="AH262" s="218">
        <f t="shared" si="56"/>
        <v>0</v>
      </c>
      <c r="AI262" s="219" t="e">
        <f t="shared" si="57"/>
        <v>#DIV/0!</v>
      </c>
      <c r="AJ262" s="221">
        <f>'TECH DATA ENTRY'!K290</f>
        <v>0</v>
      </c>
      <c r="AK262" s="222" t="e">
        <f t="shared" si="58"/>
        <v>#DIV/0!</v>
      </c>
      <c r="AL262" s="222" t="e">
        <f>VLOOKUP(AK262,'AUX TABLES'!A$2:B$29,2)</f>
        <v>#DIV/0!</v>
      </c>
      <c r="AM262" s="223" t="e">
        <f>IF(OR(ISTEXT(B262)=TRUE,ISTEXT('TECH DATA ENTRY'!L290)=TRUE), "NA",AL262*AI262)</f>
        <v>#DIV/0!</v>
      </c>
      <c r="AN262" s="79"/>
    </row>
    <row r="263" spans="1:40" s="80" customFormat="1" ht="20.149999999999999" customHeight="1">
      <c r="A263" s="216"/>
      <c r="B263" s="249">
        <f>'TECH DATA ENTRY'!B291</f>
        <v>0</v>
      </c>
      <c r="C263" s="217">
        <f>'TECH DATA ENTRY'!O291</f>
        <v>0</v>
      </c>
      <c r="D263" s="217">
        <v>1</v>
      </c>
      <c r="E263" s="218" t="e">
        <f t="shared" si="48"/>
        <v>#DIV/0!</v>
      </c>
      <c r="F263" s="217">
        <f>'TECH DATA ENTRY'!P291</f>
        <v>0</v>
      </c>
      <c r="G263" s="217">
        <v>1</v>
      </c>
      <c r="H263" s="218" t="e">
        <f t="shared" si="49"/>
        <v>#DIV/0!</v>
      </c>
      <c r="I263" s="219">
        <f>'TECH DATA ENTRY'!Q291</f>
        <v>0</v>
      </c>
      <c r="J263" s="219" t="str">
        <f>'TECH DATA ENTRY'!$G$26</f>
        <v>Digital</v>
      </c>
      <c r="K263" s="217">
        <v>1</v>
      </c>
      <c r="L263" s="218">
        <f t="shared" si="47"/>
        <v>0</v>
      </c>
      <c r="M263" s="219">
        <f>'TECH DATA ENTRY'!R291</f>
        <v>0</v>
      </c>
      <c r="N263" s="219" t="str">
        <f>'TECH DATA ENTRY'!$G$26</f>
        <v>Digital</v>
      </c>
      <c r="O263" s="217">
        <v>1</v>
      </c>
      <c r="P263" s="218">
        <f t="shared" si="50"/>
        <v>0</v>
      </c>
      <c r="Q263" s="220">
        <f>'TECH DATA ENTRY'!S291</f>
        <v>0</v>
      </c>
      <c r="R263" s="217">
        <v>1</v>
      </c>
      <c r="S263" s="218">
        <f t="shared" si="51"/>
        <v>0</v>
      </c>
      <c r="T263" s="220">
        <f>'TECH DATA ENTRY'!T291</f>
        <v>0</v>
      </c>
      <c r="U263" s="217">
        <v>1</v>
      </c>
      <c r="V263" s="218">
        <f t="shared" si="52"/>
        <v>0</v>
      </c>
      <c r="W263" s="220">
        <f>'TECH DATA ENTRY'!U291</f>
        <v>0</v>
      </c>
      <c r="X263" s="217">
        <v>1</v>
      </c>
      <c r="Y263" s="218">
        <f t="shared" si="53"/>
        <v>0</v>
      </c>
      <c r="Z263" s="220">
        <f>'TECH DATA ENTRY'!V291</f>
        <v>0</v>
      </c>
      <c r="AA263" s="217">
        <v>1</v>
      </c>
      <c r="AB263" s="218">
        <f t="shared" si="54"/>
        <v>0</v>
      </c>
      <c r="AC263" s="220">
        <f>'TECH DATA ENTRY'!W291</f>
        <v>0</v>
      </c>
      <c r="AD263" s="217">
        <v>1</v>
      </c>
      <c r="AE263" s="218">
        <f t="shared" si="55"/>
        <v>0</v>
      </c>
      <c r="AF263" s="220">
        <f>'TECH DATA ENTRY'!X291</f>
        <v>0</v>
      </c>
      <c r="AG263" s="217">
        <v>1</v>
      </c>
      <c r="AH263" s="218">
        <f t="shared" si="56"/>
        <v>0</v>
      </c>
      <c r="AI263" s="219" t="e">
        <f t="shared" si="57"/>
        <v>#DIV/0!</v>
      </c>
      <c r="AJ263" s="221">
        <f>'TECH DATA ENTRY'!K291</f>
        <v>0</v>
      </c>
      <c r="AK263" s="222" t="e">
        <f t="shared" si="58"/>
        <v>#DIV/0!</v>
      </c>
      <c r="AL263" s="222" t="e">
        <f>VLOOKUP(AK263,'AUX TABLES'!A$2:B$29,2)</f>
        <v>#DIV/0!</v>
      </c>
      <c r="AM263" s="223" t="e">
        <f>IF(OR(ISTEXT(B263)=TRUE,ISTEXT('TECH DATA ENTRY'!L291)=TRUE), "NA",AL263*AI263)</f>
        <v>#DIV/0!</v>
      </c>
      <c r="AN263" s="79"/>
    </row>
    <row r="264" spans="1:40" s="80" customFormat="1" ht="20.149999999999999" customHeight="1">
      <c r="A264" s="216"/>
      <c r="B264" s="249" t="str">
        <f>'TECH DATA ENTRY'!B292</f>
        <v>Nominal</v>
      </c>
      <c r="C264" s="217" t="str">
        <f>'TECH DATA ENTRY'!O292</f>
        <v>Uncertainty Components</v>
      </c>
      <c r="D264" s="217">
        <v>1</v>
      </c>
      <c r="E264" s="218" t="e">
        <f t="shared" si="48"/>
        <v>#VALUE!</v>
      </c>
      <c r="F264" s="217">
        <f>'TECH DATA ENTRY'!P292</f>
        <v>0</v>
      </c>
      <c r="G264" s="217">
        <v>1</v>
      </c>
      <c r="H264" s="218" t="e">
        <f t="shared" si="49"/>
        <v>#VALUE!</v>
      </c>
      <c r="I264" s="219">
        <f>'TECH DATA ENTRY'!Q292</f>
        <v>0</v>
      </c>
      <c r="J264" s="219" t="str">
        <f>'TECH DATA ENTRY'!$G$26</f>
        <v>Digital</v>
      </c>
      <c r="K264" s="217">
        <v>1</v>
      </c>
      <c r="L264" s="218">
        <f t="shared" si="47"/>
        <v>0</v>
      </c>
      <c r="M264" s="219">
        <f>'TECH DATA ENTRY'!R292</f>
        <v>0</v>
      </c>
      <c r="N264" s="219" t="str">
        <f>'TECH DATA ENTRY'!$G$26</f>
        <v>Digital</v>
      </c>
      <c r="O264" s="217">
        <v>1</v>
      </c>
      <c r="P264" s="218">
        <f t="shared" si="50"/>
        <v>0</v>
      </c>
      <c r="Q264" s="220">
        <f>'TECH DATA ENTRY'!S292</f>
        <v>0</v>
      </c>
      <c r="R264" s="217">
        <v>1</v>
      </c>
      <c r="S264" s="218">
        <f t="shared" si="51"/>
        <v>0</v>
      </c>
      <c r="T264" s="220">
        <f>'TECH DATA ENTRY'!T292</f>
        <v>0</v>
      </c>
      <c r="U264" s="217">
        <v>1</v>
      </c>
      <c r="V264" s="218">
        <f t="shared" si="52"/>
        <v>0</v>
      </c>
      <c r="W264" s="220">
        <f>'TECH DATA ENTRY'!U292</f>
        <v>0</v>
      </c>
      <c r="X264" s="217">
        <v>1</v>
      </c>
      <c r="Y264" s="218">
        <f t="shared" si="53"/>
        <v>0</v>
      </c>
      <c r="Z264" s="220">
        <f>'TECH DATA ENTRY'!V292</f>
        <v>0</v>
      </c>
      <c r="AA264" s="217">
        <v>1</v>
      </c>
      <c r="AB264" s="218">
        <f t="shared" si="54"/>
        <v>0</v>
      </c>
      <c r="AC264" s="220">
        <f>'TECH DATA ENTRY'!W292</f>
        <v>0</v>
      </c>
      <c r="AD264" s="217">
        <v>1</v>
      </c>
      <c r="AE264" s="218">
        <f t="shared" si="55"/>
        <v>0</v>
      </c>
      <c r="AF264" s="220">
        <f>'TECH DATA ENTRY'!X292</f>
        <v>0</v>
      </c>
      <c r="AG264" s="217">
        <v>1</v>
      </c>
      <c r="AH264" s="218">
        <f t="shared" si="56"/>
        <v>0</v>
      </c>
      <c r="AI264" s="219" t="e">
        <f t="shared" si="57"/>
        <v>#VALUE!</v>
      </c>
      <c r="AJ264" s="221" t="str">
        <f>'TECH DATA ENTRY'!K292</f>
        <v>n</v>
      </c>
      <c r="AK264" s="222" t="e">
        <f t="shared" si="58"/>
        <v>#VALUE!</v>
      </c>
      <c r="AL264" s="222" t="e">
        <f>VLOOKUP(AK264,'AUX TABLES'!A$2:B$29,2)</f>
        <v>#VALUE!</v>
      </c>
      <c r="AM264" s="223" t="str">
        <f>IF(OR(ISTEXT(B264)=TRUE,ISTEXT('TECH DATA ENTRY'!L292)=TRUE), "NA",AL264*AI264)</f>
        <v>NA</v>
      </c>
      <c r="AN264" s="79"/>
    </row>
    <row r="265" spans="1:40" s="80" customFormat="1" ht="20.149999999999999" customHeight="1">
      <c r="A265" s="216"/>
      <c r="B265" s="249">
        <f>'TECH DATA ENTRY'!B293</f>
        <v>0</v>
      </c>
      <c r="C265" s="217" t="str">
        <f>'TECH DATA ENTRY'!O293</f>
        <v>Stdev 1</v>
      </c>
      <c r="D265" s="217">
        <v>1</v>
      </c>
      <c r="E265" s="218" t="e">
        <f t="shared" si="48"/>
        <v>#VALUE!</v>
      </c>
      <c r="F265" s="217" t="str">
        <f>'TECH DATA ENTRY'!P293</f>
        <v>Stdev 2</v>
      </c>
      <c r="G265" s="217">
        <v>1</v>
      </c>
      <c r="H265" s="218" t="e">
        <f t="shared" si="49"/>
        <v>#VALUE!</v>
      </c>
      <c r="I265" s="219" t="str">
        <f>'TECH DATA ENTRY'!Q293</f>
        <v>Resolution 1</v>
      </c>
      <c r="J265" s="219" t="str">
        <f>'TECH DATA ENTRY'!$G$26</f>
        <v>Digital</v>
      </c>
      <c r="K265" s="217">
        <v>1</v>
      </c>
      <c r="L265" s="218" t="e">
        <f t="shared" ref="L265:L311" si="59">IF(J265="Digital",I265/2/SQRT(3),I265/5/SQRT(3))*K265</f>
        <v>#VALUE!</v>
      </c>
      <c r="M265" s="219" t="str">
        <f>'TECH DATA ENTRY'!R293</f>
        <v>Resolution 2</v>
      </c>
      <c r="N265" s="219" t="str">
        <f>'TECH DATA ENTRY'!$G$26</f>
        <v>Digital</v>
      </c>
      <c r="O265" s="217">
        <v>1</v>
      </c>
      <c r="P265" s="218" t="e">
        <f t="shared" si="50"/>
        <v>#VALUE!</v>
      </c>
      <c r="Q265" s="220" t="str">
        <f>'TECH DATA ENTRY'!S293</f>
        <v>Scope Uncertainty</v>
      </c>
      <c r="R265" s="217">
        <v>1</v>
      </c>
      <c r="S265" s="218" t="e">
        <f t="shared" si="51"/>
        <v>#VALUE!</v>
      </c>
      <c r="T265" s="220" t="str">
        <f>'TECH DATA ENTRY'!T293</f>
        <v>STD 2 Cal Unc</v>
      </c>
      <c r="U265" s="217">
        <v>1</v>
      </c>
      <c r="V265" s="218" t="e">
        <f t="shared" si="52"/>
        <v>#VALUE!</v>
      </c>
      <c r="W265" s="220" t="str">
        <f>'TECH DATA ENTRY'!U293</f>
        <v>Others 1</v>
      </c>
      <c r="X265" s="217">
        <v>1</v>
      </c>
      <c r="Y265" s="218" t="e">
        <f t="shared" si="53"/>
        <v>#VALUE!</v>
      </c>
      <c r="Z265" s="220" t="str">
        <f>'TECH DATA ENTRY'!V293</f>
        <v>Others 2</v>
      </c>
      <c r="AA265" s="217">
        <v>1</v>
      </c>
      <c r="AB265" s="218" t="e">
        <f t="shared" si="54"/>
        <v>#VALUE!</v>
      </c>
      <c r="AC265" s="220" t="str">
        <f>'TECH DATA ENTRY'!W293</f>
        <v>Others 3</v>
      </c>
      <c r="AD265" s="217">
        <v>1</v>
      </c>
      <c r="AE265" s="218" t="e">
        <f t="shared" si="55"/>
        <v>#VALUE!</v>
      </c>
      <c r="AF265" s="220" t="str">
        <f>'TECH DATA ENTRY'!X293</f>
        <v>Others 4</v>
      </c>
      <c r="AG265" s="217">
        <v>1</v>
      </c>
      <c r="AH265" s="218" t="e">
        <f t="shared" si="56"/>
        <v>#VALUE!</v>
      </c>
      <c r="AI265" s="219" t="e">
        <f t="shared" si="57"/>
        <v>#VALUE!</v>
      </c>
      <c r="AJ265" s="221">
        <f>'TECH DATA ENTRY'!K293</f>
        <v>0</v>
      </c>
      <c r="AK265" s="222" t="e">
        <f t="shared" si="58"/>
        <v>#VALUE!</v>
      </c>
      <c r="AL265" s="222" t="e">
        <f>VLOOKUP(AK265,'AUX TABLES'!A$2:B$29,2)</f>
        <v>#VALUE!</v>
      </c>
      <c r="AM265" s="223" t="e">
        <f>IF(OR(ISTEXT(B265)=TRUE,ISTEXT('TECH DATA ENTRY'!L293)=TRUE), "NA",AL265*AI265)</f>
        <v>#VALUE!</v>
      </c>
      <c r="AN265" s="79"/>
    </row>
    <row r="266" spans="1:40" s="80" customFormat="1" ht="20.149999999999999" customHeight="1">
      <c r="A266" s="216"/>
      <c r="B266" s="249">
        <f>'TECH DATA ENTRY'!B294</f>
        <v>10</v>
      </c>
      <c r="C266" s="217" t="str">
        <f>'TECH DATA ENTRY'!O294</f>
        <v/>
      </c>
      <c r="D266" s="217">
        <v>1</v>
      </c>
      <c r="E266" s="218" t="e">
        <f t="shared" si="48"/>
        <v>#VALUE!</v>
      </c>
      <c r="F266" s="217">
        <f>'TECH DATA ENTRY'!P294</f>
        <v>0</v>
      </c>
      <c r="G266" s="217">
        <v>1</v>
      </c>
      <c r="H266" s="218" t="e">
        <f t="shared" si="49"/>
        <v>#VALUE!</v>
      </c>
      <c r="I266" s="219">
        <f>'TECH DATA ENTRY'!Q294</f>
        <v>1.0000000000000001E-5</v>
      </c>
      <c r="J266" s="219" t="str">
        <f>'TECH DATA ENTRY'!$G$26</f>
        <v>Digital</v>
      </c>
      <c r="K266" s="217">
        <v>1</v>
      </c>
      <c r="L266" s="218">
        <f t="shared" si="59"/>
        <v>2.8867513459481293E-6</v>
      </c>
      <c r="M266" s="219">
        <f>'TECH DATA ENTRY'!R294</f>
        <v>0</v>
      </c>
      <c r="N266" s="219" t="str">
        <f>'TECH DATA ENTRY'!$G$26</f>
        <v>Digital</v>
      </c>
      <c r="O266" s="217">
        <v>1</v>
      </c>
      <c r="P266" s="218">
        <f t="shared" si="50"/>
        <v>0</v>
      </c>
      <c r="Q266" s="220">
        <f>'TECH DATA ENTRY'!S294</f>
        <v>3.0500000000000002E-3</v>
      </c>
      <c r="R266" s="217">
        <v>1</v>
      </c>
      <c r="S266" s="218">
        <f t="shared" si="51"/>
        <v>1.5250000000000001E-3</v>
      </c>
      <c r="T266" s="220">
        <f>'TECH DATA ENTRY'!T294</f>
        <v>0</v>
      </c>
      <c r="U266" s="217">
        <v>1</v>
      </c>
      <c r="V266" s="218">
        <f t="shared" si="52"/>
        <v>0</v>
      </c>
      <c r="W266" s="220">
        <f>'TECH DATA ENTRY'!U294</f>
        <v>0</v>
      </c>
      <c r="X266" s="217">
        <v>1</v>
      </c>
      <c r="Y266" s="218">
        <f t="shared" si="53"/>
        <v>0</v>
      </c>
      <c r="Z266" s="220">
        <f>'TECH DATA ENTRY'!V294</f>
        <v>0</v>
      </c>
      <c r="AA266" s="217">
        <v>1</v>
      </c>
      <c r="AB266" s="218">
        <f t="shared" si="54"/>
        <v>0</v>
      </c>
      <c r="AC266" s="220">
        <f>'TECH DATA ENTRY'!W294</f>
        <v>0</v>
      </c>
      <c r="AD266" s="217">
        <v>1</v>
      </c>
      <c r="AE266" s="218">
        <f t="shared" si="55"/>
        <v>0</v>
      </c>
      <c r="AF266" s="220">
        <f>'TECH DATA ENTRY'!X294</f>
        <v>0</v>
      </c>
      <c r="AG266" s="217">
        <v>1</v>
      </c>
      <c r="AH266" s="218">
        <f t="shared" si="56"/>
        <v>0</v>
      </c>
      <c r="AI266" s="219" t="e">
        <f t="shared" si="57"/>
        <v>#VALUE!</v>
      </c>
      <c r="AJ266" s="221" t="str">
        <f>'TECH DATA ENTRY'!K294</f>
        <v/>
      </c>
      <c r="AK266" s="222" t="e">
        <f t="shared" si="58"/>
        <v>#VALUE!</v>
      </c>
      <c r="AL266" s="222" t="e">
        <f>VLOOKUP(AK266,'AUX TABLES'!A$2:B$29,2)</f>
        <v>#VALUE!</v>
      </c>
      <c r="AM266" s="223" t="str">
        <f>IF(OR(ISTEXT(B266)=TRUE,ISTEXT('TECH DATA ENTRY'!L294)=TRUE), "NA",AL266*AI266)</f>
        <v>NA</v>
      </c>
      <c r="AN266" s="79"/>
    </row>
    <row r="267" spans="1:40" s="80" customFormat="1" ht="20.149999999999999" customHeight="1">
      <c r="A267" s="216"/>
      <c r="B267" s="249">
        <f>'TECH DATA ENTRY'!B295</f>
        <v>10</v>
      </c>
      <c r="C267" s="217" t="str">
        <f>'TECH DATA ENTRY'!O295</f>
        <v/>
      </c>
      <c r="D267" s="217">
        <v>1</v>
      </c>
      <c r="E267" s="218" t="e">
        <f t="shared" si="48"/>
        <v>#VALUE!</v>
      </c>
      <c r="F267" s="217">
        <f>'TECH DATA ENTRY'!P295</f>
        <v>0</v>
      </c>
      <c r="G267" s="217">
        <v>1</v>
      </c>
      <c r="H267" s="218" t="e">
        <f t="shared" si="49"/>
        <v>#VALUE!</v>
      </c>
      <c r="I267" s="219">
        <f>'TECH DATA ENTRY'!Q295</f>
        <v>1.0000000000000001E-5</v>
      </c>
      <c r="J267" s="219" t="str">
        <f>'TECH DATA ENTRY'!$G$26</f>
        <v>Digital</v>
      </c>
      <c r="K267" s="217">
        <v>1</v>
      </c>
      <c r="L267" s="218">
        <f t="shared" si="59"/>
        <v>2.8867513459481293E-6</v>
      </c>
      <c r="M267" s="219">
        <f>'TECH DATA ENTRY'!R295</f>
        <v>0</v>
      </c>
      <c r="N267" s="219" t="str">
        <f>'TECH DATA ENTRY'!$G$26</f>
        <v>Digital</v>
      </c>
      <c r="O267" s="217">
        <v>1</v>
      </c>
      <c r="P267" s="218">
        <f t="shared" si="50"/>
        <v>0</v>
      </c>
      <c r="Q267" s="220">
        <f>'TECH DATA ENTRY'!S295</f>
        <v>1.65E-3</v>
      </c>
      <c r="R267" s="217">
        <v>1</v>
      </c>
      <c r="S267" s="218">
        <f t="shared" si="51"/>
        <v>8.25E-4</v>
      </c>
      <c r="T267" s="220">
        <f>'TECH DATA ENTRY'!T295</f>
        <v>0</v>
      </c>
      <c r="U267" s="217">
        <v>1</v>
      </c>
      <c r="V267" s="218">
        <f t="shared" si="52"/>
        <v>0</v>
      </c>
      <c r="W267" s="220">
        <f>'TECH DATA ENTRY'!U295</f>
        <v>0</v>
      </c>
      <c r="X267" s="217">
        <v>1</v>
      </c>
      <c r="Y267" s="218">
        <f t="shared" si="53"/>
        <v>0</v>
      </c>
      <c r="Z267" s="220">
        <f>'TECH DATA ENTRY'!V295</f>
        <v>0</v>
      </c>
      <c r="AA267" s="217">
        <v>1</v>
      </c>
      <c r="AB267" s="218">
        <f t="shared" si="54"/>
        <v>0</v>
      </c>
      <c r="AC267" s="220">
        <f>'TECH DATA ENTRY'!W295</f>
        <v>0</v>
      </c>
      <c r="AD267" s="217">
        <v>1</v>
      </c>
      <c r="AE267" s="218">
        <f t="shared" si="55"/>
        <v>0</v>
      </c>
      <c r="AF267" s="220">
        <f>'TECH DATA ENTRY'!X295</f>
        <v>0</v>
      </c>
      <c r="AG267" s="217">
        <v>1</v>
      </c>
      <c r="AH267" s="218">
        <f t="shared" si="56"/>
        <v>0</v>
      </c>
      <c r="AI267" s="219" t="e">
        <f t="shared" si="57"/>
        <v>#VALUE!</v>
      </c>
      <c r="AJ267" s="221" t="str">
        <f>'TECH DATA ENTRY'!K295</f>
        <v/>
      </c>
      <c r="AK267" s="222" t="e">
        <f t="shared" si="58"/>
        <v>#VALUE!</v>
      </c>
      <c r="AL267" s="222" t="e">
        <f>VLOOKUP(AK267,'AUX TABLES'!A$2:B$29,2)</f>
        <v>#VALUE!</v>
      </c>
      <c r="AM267" s="223" t="str">
        <f>IF(OR(ISTEXT(B267)=TRUE,ISTEXT('TECH DATA ENTRY'!L295)=TRUE), "NA",AL267*AI267)</f>
        <v>NA</v>
      </c>
      <c r="AN267" s="79"/>
    </row>
    <row r="268" spans="1:40" s="80" customFormat="1" ht="20.149999999999999" customHeight="1">
      <c r="A268" s="216"/>
      <c r="B268" s="249">
        <f>'TECH DATA ENTRY'!B296</f>
        <v>10</v>
      </c>
      <c r="C268" s="217" t="str">
        <f>'TECH DATA ENTRY'!O296</f>
        <v/>
      </c>
      <c r="D268" s="217">
        <v>1</v>
      </c>
      <c r="E268" s="218" t="e">
        <f t="shared" si="48"/>
        <v>#VALUE!</v>
      </c>
      <c r="F268" s="217">
        <f>'TECH DATA ENTRY'!P296</f>
        <v>0</v>
      </c>
      <c r="G268" s="217">
        <v>1</v>
      </c>
      <c r="H268" s="218" t="e">
        <f t="shared" si="49"/>
        <v>#VALUE!</v>
      </c>
      <c r="I268" s="219">
        <f>'TECH DATA ENTRY'!Q296</f>
        <v>1.0000000000000001E-5</v>
      </c>
      <c r="J268" s="219" t="str">
        <f>'TECH DATA ENTRY'!$G$26</f>
        <v>Digital</v>
      </c>
      <c r="K268" s="217">
        <v>1</v>
      </c>
      <c r="L268" s="218">
        <f t="shared" si="59"/>
        <v>2.8867513459481293E-6</v>
      </c>
      <c r="M268" s="219">
        <f>'TECH DATA ENTRY'!R296</f>
        <v>0</v>
      </c>
      <c r="N268" s="219" t="str">
        <f>'TECH DATA ENTRY'!$G$26</f>
        <v>Digital</v>
      </c>
      <c r="O268" s="217">
        <v>1</v>
      </c>
      <c r="P268" s="218">
        <f t="shared" si="50"/>
        <v>0</v>
      </c>
      <c r="Q268" s="220">
        <f>'TECH DATA ENTRY'!S296</f>
        <v>2.6199999999999999E-3</v>
      </c>
      <c r="R268" s="217">
        <v>1</v>
      </c>
      <c r="S268" s="218">
        <f t="shared" si="51"/>
        <v>1.31E-3</v>
      </c>
      <c r="T268" s="220">
        <f>'TECH DATA ENTRY'!T296</f>
        <v>0</v>
      </c>
      <c r="U268" s="217">
        <v>1</v>
      </c>
      <c r="V268" s="218">
        <f t="shared" si="52"/>
        <v>0</v>
      </c>
      <c r="W268" s="220">
        <f>'TECH DATA ENTRY'!U296</f>
        <v>0</v>
      </c>
      <c r="X268" s="217">
        <v>1</v>
      </c>
      <c r="Y268" s="218">
        <f t="shared" si="53"/>
        <v>0</v>
      </c>
      <c r="Z268" s="220">
        <f>'TECH DATA ENTRY'!V296</f>
        <v>0</v>
      </c>
      <c r="AA268" s="217">
        <v>1</v>
      </c>
      <c r="AB268" s="218">
        <f t="shared" si="54"/>
        <v>0</v>
      </c>
      <c r="AC268" s="220">
        <f>'TECH DATA ENTRY'!W296</f>
        <v>0</v>
      </c>
      <c r="AD268" s="217">
        <v>1</v>
      </c>
      <c r="AE268" s="218">
        <f t="shared" si="55"/>
        <v>0</v>
      </c>
      <c r="AF268" s="220">
        <f>'TECH DATA ENTRY'!X296</f>
        <v>0</v>
      </c>
      <c r="AG268" s="217">
        <v>1</v>
      </c>
      <c r="AH268" s="218">
        <f t="shared" si="56"/>
        <v>0</v>
      </c>
      <c r="AI268" s="219" t="e">
        <f t="shared" si="57"/>
        <v>#VALUE!</v>
      </c>
      <c r="AJ268" s="221" t="str">
        <f>'TECH DATA ENTRY'!K296</f>
        <v/>
      </c>
      <c r="AK268" s="222" t="e">
        <f t="shared" si="58"/>
        <v>#VALUE!</v>
      </c>
      <c r="AL268" s="222" t="e">
        <f>VLOOKUP(AK268,'AUX TABLES'!A$2:B$29,2)</f>
        <v>#VALUE!</v>
      </c>
      <c r="AM268" s="223" t="str">
        <f>IF(OR(ISTEXT(B268)=TRUE,ISTEXT('TECH DATA ENTRY'!L296)=TRUE), "NA",AL268*AI268)</f>
        <v>NA</v>
      </c>
      <c r="AN268" s="79"/>
    </row>
    <row r="269" spans="1:40" s="80" customFormat="1" ht="20.149999999999999" customHeight="1">
      <c r="A269" s="216"/>
      <c r="B269" s="249">
        <f>'TECH DATA ENTRY'!B297</f>
        <v>10</v>
      </c>
      <c r="C269" s="217" t="str">
        <f>'TECH DATA ENTRY'!O297</f>
        <v/>
      </c>
      <c r="D269" s="217">
        <v>1</v>
      </c>
      <c r="E269" s="218" t="e">
        <f t="shared" si="48"/>
        <v>#VALUE!</v>
      </c>
      <c r="F269" s="217">
        <f>'TECH DATA ENTRY'!P297</f>
        <v>0</v>
      </c>
      <c r="G269" s="217">
        <v>1</v>
      </c>
      <c r="H269" s="218" t="e">
        <f t="shared" si="49"/>
        <v>#VALUE!</v>
      </c>
      <c r="I269" s="219">
        <f>'TECH DATA ENTRY'!Q297</f>
        <v>1.0000000000000001E-5</v>
      </c>
      <c r="J269" s="219" t="str">
        <f>'TECH DATA ENTRY'!$G$26</f>
        <v>Digital</v>
      </c>
      <c r="K269" s="217">
        <v>1</v>
      </c>
      <c r="L269" s="218">
        <f t="shared" si="59"/>
        <v>2.8867513459481293E-6</v>
      </c>
      <c r="M269" s="219">
        <f>'TECH DATA ENTRY'!R297</f>
        <v>0</v>
      </c>
      <c r="N269" s="219" t="str">
        <f>'TECH DATA ENTRY'!$G$26</f>
        <v>Digital</v>
      </c>
      <c r="O269" s="217">
        <v>1</v>
      </c>
      <c r="P269" s="218">
        <f t="shared" si="50"/>
        <v>0</v>
      </c>
      <c r="Q269" s="220">
        <f>'TECH DATA ENTRY'!S297</f>
        <v>1.004E-2</v>
      </c>
      <c r="R269" s="217">
        <v>1</v>
      </c>
      <c r="S269" s="218">
        <f t="shared" si="51"/>
        <v>5.0200000000000002E-3</v>
      </c>
      <c r="T269" s="220">
        <f>'TECH DATA ENTRY'!T297</f>
        <v>0</v>
      </c>
      <c r="U269" s="217">
        <v>1</v>
      </c>
      <c r="V269" s="218">
        <f t="shared" si="52"/>
        <v>0</v>
      </c>
      <c r="W269" s="220">
        <f>'TECH DATA ENTRY'!U297</f>
        <v>0</v>
      </c>
      <c r="X269" s="217">
        <v>1</v>
      </c>
      <c r="Y269" s="218">
        <f t="shared" si="53"/>
        <v>0</v>
      </c>
      <c r="Z269" s="220">
        <f>'TECH DATA ENTRY'!V297</f>
        <v>0</v>
      </c>
      <c r="AA269" s="217">
        <v>1</v>
      </c>
      <c r="AB269" s="218">
        <f t="shared" si="54"/>
        <v>0</v>
      </c>
      <c r="AC269" s="220">
        <f>'TECH DATA ENTRY'!W297</f>
        <v>0</v>
      </c>
      <c r="AD269" s="217">
        <v>1</v>
      </c>
      <c r="AE269" s="218">
        <f t="shared" si="55"/>
        <v>0</v>
      </c>
      <c r="AF269" s="220">
        <f>'TECH DATA ENTRY'!X297</f>
        <v>0</v>
      </c>
      <c r="AG269" s="217">
        <v>1</v>
      </c>
      <c r="AH269" s="218">
        <f t="shared" si="56"/>
        <v>0</v>
      </c>
      <c r="AI269" s="219" t="e">
        <f t="shared" si="57"/>
        <v>#VALUE!</v>
      </c>
      <c r="AJ269" s="221" t="str">
        <f>'TECH DATA ENTRY'!K297</f>
        <v/>
      </c>
      <c r="AK269" s="222" t="e">
        <f t="shared" si="58"/>
        <v>#VALUE!</v>
      </c>
      <c r="AL269" s="222" t="e">
        <f>VLOOKUP(AK269,'AUX TABLES'!A$2:B$29,2)</f>
        <v>#VALUE!</v>
      </c>
      <c r="AM269" s="223" t="str">
        <f>IF(OR(ISTEXT(B269)=TRUE,ISTEXT('TECH DATA ENTRY'!L297)=TRUE), "NA",AL269*AI269)</f>
        <v>NA</v>
      </c>
      <c r="AN269" s="79"/>
    </row>
    <row r="270" spans="1:40" s="80" customFormat="1" ht="20.149999999999999" customHeight="1">
      <c r="A270" s="216"/>
      <c r="B270" s="249">
        <f>'TECH DATA ENTRY'!B298</f>
        <v>0</v>
      </c>
      <c r="C270" s="217">
        <f>'TECH DATA ENTRY'!O298</f>
        <v>0</v>
      </c>
      <c r="D270" s="217">
        <v>1</v>
      </c>
      <c r="E270" s="218" t="e">
        <f t="shared" si="48"/>
        <v>#DIV/0!</v>
      </c>
      <c r="F270" s="217">
        <f>'TECH DATA ENTRY'!P298</f>
        <v>0</v>
      </c>
      <c r="G270" s="217">
        <v>1</v>
      </c>
      <c r="H270" s="218" t="e">
        <f t="shared" si="49"/>
        <v>#DIV/0!</v>
      </c>
      <c r="I270" s="219">
        <f>'TECH DATA ENTRY'!Q298</f>
        <v>0</v>
      </c>
      <c r="J270" s="219" t="str">
        <f>'TECH DATA ENTRY'!$G$26</f>
        <v>Digital</v>
      </c>
      <c r="K270" s="217">
        <v>1</v>
      </c>
      <c r="L270" s="218">
        <f t="shared" si="59"/>
        <v>0</v>
      </c>
      <c r="M270" s="219">
        <f>'TECH DATA ENTRY'!R298</f>
        <v>0</v>
      </c>
      <c r="N270" s="219" t="str">
        <f>'TECH DATA ENTRY'!$G$26</f>
        <v>Digital</v>
      </c>
      <c r="O270" s="217">
        <v>1</v>
      </c>
      <c r="P270" s="218">
        <f t="shared" si="50"/>
        <v>0</v>
      </c>
      <c r="Q270" s="220">
        <f>'TECH DATA ENTRY'!S298</f>
        <v>0</v>
      </c>
      <c r="R270" s="217">
        <v>1</v>
      </c>
      <c r="S270" s="218">
        <f t="shared" si="51"/>
        <v>0</v>
      </c>
      <c r="T270" s="220">
        <f>'TECH DATA ENTRY'!T298</f>
        <v>0</v>
      </c>
      <c r="U270" s="217">
        <v>1</v>
      </c>
      <c r="V270" s="218">
        <f t="shared" si="52"/>
        <v>0</v>
      </c>
      <c r="W270" s="220">
        <f>'TECH DATA ENTRY'!U298</f>
        <v>0</v>
      </c>
      <c r="X270" s="217">
        <v>1</v>
      </c>
      <c r="Y270" s="218">
        <f t="shared" si="53"/>
        <v>0</v>
      </c>
      <c r="Z270" s="220">
        <f>'TECH DATA ENTRY'!V298</f>
        <v>0</v>
      </c>
      <c r="AA270" s="217">
        <v>1</v>
      </c>
      <c r="AB270" s="218">
        <f t="shared" si="54"/>
        <v>0</v>
      </c>
      <c r="AC270" s="220">
        <f>'TECH DATA ENTRY'!W298</f>
        <v>0</v>
      </c>
      <c r="AD270" s="217">
        <v>1</v>
      </c>
      <c r="AE270" s="218">
        <f t="shared" si="55"/>
        <v>0</v>
      </c>
      <c r="AF270" s="220">
        <f>'TECH DATA ENTRY'!X298</f>
        <v>0</v>
      </c>
      <c r="AG270" s="217">
        <v>1</v>
      </c>
      <c r="AH270" s="218">
        <f t="shared" si="56"/>
        <v>0</v>
      </c>
      <c r="AI270" s="219" t="e">
        <f t="shared" si="57"/>
        <v>#DIV/0!</v>
      </c>
      <c r="AJ270" s="221">
        <f>'TECH DATA ENTRY'!K298</f>
        <v>0</v>
      </c>
      <c r="AK270" s="222" t="e">
        <f t="shared" si="58"/>
        <v>#DIV/0!</v>
      </c>
      <c r="AL270" s="222" t="e">
        <f>VLOOKUP(AK270,'AUX TABLES'!A$2:B$29,2)</f>
        <v>#DIV/0!</v>
      </c>
      <c r="AM270" s="223" t="e">
        <f>IF(OR(ISTEXT(B270)=TRUE,ISTEXT('TECH DATA ENTRY'!L298)=TRUE), "NA",AL270*AI270)</f>
        <v>#DIV/0!</v>
      </c>
      <c r="AN270" s="79"/>
    </row>
    <row r="271" spans="1:40" s="80" customFormat="1" ht="20.149999999999999" customHeight="1">
      <c r="A271" s="216"/>
      <c r="B271" s="249">
        <f>'TECH DATA ENTRY'!B299</f>
        <v>0</v>
      </c>
      <c r="C271" s="217">
        <f>'TECH DATA ENTRY'!O299</f>
        <v>0</v>
      </c>
      <c r="D271" s="217">
        <v>1</v>
      </c>
      <c r="E271" s="218" t="e">
        <f t="shared" si="48"/>
        <v>#DIV/0!</v>
      </c>
      <c r="F271" s="217">
        <f>'TECH DATA ENTRY'!P299</f>
        <v>0</v>
      </c>
      <c r="G271" s="217">
        <v>1</v>
      </c>
      <c r="H271" s="218" t="e">
        <f t="shared" si="49"/>
        <v>#DIV/0!</v>
      </c>
      <c r="I271" s="219">
        <f>'TECH DATA ENTRY'!Q299</f>
        <v>0</v>
      </c>
      <c r="J271" s="219" t="str">
        <f>'TECH DATA ENTRY'!$G$26</f>
        <v>Digital</v>
      </c>
      <c r="K271" s="217">
        <v>1</v>
      </c>
      <c r="L271" s="218">
        <f t="shared" si="59"/>
        <v>0</v>
      </c>
      <c r="M271" s="219">
        <f>'TECH DATA ENTRY'!R299</f>
        <v>0</v>
      </c>
      <c r="N271" s="219" t="str">
        <f>'TECH DATA ENTRY'!$G$26</f>
        <v>Digital</v>
      </c>
      <c r="O271" s="217">
        <v>1</v>
      </c>
      <c r="P271" s="218">
        <f t="shared" si="50"/>
        <v>0</v>
      </c>
      <c r="Q271" s="220">
        <f>'TECH DATA ENTRY'!S299</f>
        <v>0</v>
      </c>
      <c r="R271" s="217">
        <v>1</v>
      </c>
      <c r="S271" s="218">
        <f t="shared" si="51"/>
        <v>0</v>
      </c>
      <c r="T271" s="220">
        <f>'TECH DATA ENTRY'!T299</f>
        <v>0</v>
      </c>
      <c r="U271" s="217">
        <v>1</v>
      </c>
      <c r="V271" s="218">
        <f t="shared" si="52"/>
        <v>0</v>
      </c>
      <c r="W271" s="220">
        <f>'TECH DATA ENTRY'!U299</f>
        <v>0</v>
      </c>
      <c r="X271" s="217">
        <v>1</v>
      </c>
      <c r="Y271" s="218">
        <f t="shared" si="53"/>
        <v>0</v>
      </c>
      <c r="Z271" s="220">
        <f>'TECH DATA ENTRY'!V299</f>
        <v>0</v>
      </c>
      <c r="AA271" s="217">
        <v>1</v>
      </c>
      <c r="AB271" s="218">
        <f t="shared" si="54"/>
        <v>0</v>
      </c>
      <c r="AC271" s="220">
        <f>'TECH DATA ENTRY'!W299</f>
        <v>0</v>
      </c>
      <c r="AD271" s="217">
        <v>1</v>
      </c>
      <c r="AE271" s="218">
        <f t="shared" si="55"/>
        <v>0</v>
      </c>
      <c r="AF271" s="220">
        <f>'TECH DATA ENTRY'!X299</f>
        <v>0</v>
      </c>
      <c r="AG271" s="217">
        <v>1</v>
      </c>
      <c r="AH271" s="218">
        <f t="shared" si="56"/>
        <v>0</v>
      </c>
      <c r="AI271" s="219" t="e">
        <f t="shared" si="57"/>
        <v>#DIV/0!</v>
      </c>
      <c r="AJ271" s="221">
        <f>'TECH DATA ENTRY'!K299</f>
        <v>0</v>
      </c>
      <c r="AK271" s="222" t="e">
        <f t="shared" si="58"/>
        <v>#DIV/0!</v>
      </c>
      <c r="AL271" s="222" t="e">
        <f>VLOOKUP(AK271,'AUX TABLES'!A$2:B$29,2)</f>
        <v>#DIV/0!</v>
      </c>
      <c r="AM271" s="223" t="e">
        <f>IF(OR(ISTEXT(B271)=TRUE,ISTEXT('TECH DATA ENTRY'!L299)=TRUE), "NA",AL271*AI271)</f>
        <v>#DIV/0!</v>
      </c>
      <c r="AN271" s="79"/>
    </row>
    <row r="272" spans="1:40" s="80" customFormat="1" ht="20.149999999999999" customHeight="1">
      <c r="A272" s="216"/>
      <c r="B272" s="249">
        <f>'TECH DATA ENTRY'!B300</f>
        <v>0</v>
      </c>
      <c r="C272" s="217">
        <f>'TECH DATA ENTRY'!O300</f>
        <v>0</v>
      </c>
      <c r="D272" s="217">
        <v>1</v>
      </c>
      <c r="E272" s="218" t="e">
        <f t="shared" si="48"/>
        <v>#DIV/0!</v>
      </c>
      <c r="F272" s="217">
        <f>'TECH DATA ENTRY'!P300</f>
        <v>0</v>
      </c>
      <c r="G272" s="217">
        <v>1</v>
      </c>
      <c r="H272" s="218" t="e">
        <f t="shared" si="49"/>
        <v>#DIV/0!</v>
      </c>
      <c r="I272" s="219">
        <f>'TECH DATA ENTRY'!Q300</f>
        <v>0</v>
      </c>
      <c r="J272" s="219" t="str">
        <f>'TECH DATA ENTRY'!$G$26</f>
        <v>Digital</v>
      </c>
      <c r="K272" s="217">
        <v>1</v>
      </c>
      <c r="L272" s="218">
        <f t="shared" si="59"/>
        <v>0</v>
      </c>
      <c r="M272" s="219">
        <f>'TECH DATA ENTRY'!R300</f>
        <v>0</v>
      </c>
      <c r="N272" s="219" t="str">
        <f>'TECH DATA ENTRY'!$G$26</f>
        <v>Digital</v>
      </c>
      <c r="O272" s="217">
        <v>1</v>
      </c>
      <c r="P272" s="218">
        <f t="shared" si="50"/>
        <v>0</v>
      </c>
      <c r="Q272" s="220">
        <f>'TECH DATA ENTRY'!S300</f>
        <v>0</v>
      </c>
      <c r="R272" s="217">
        <v>1</v>
      </c>
      <c r="S272" s="218">
        <f t="shared" si="51"/>
        <v>0</v>
      </c>
      <c r="T272" s="220">
        <f>'TECH DATA ENTRY'!T300</f>
        <v>0</v>
      </c>
      <c r="U272" s="217">
        <v>1</v>
      </c>
      <c r="V272" s="218">
        <f t="shared" si="52"/>
        <v>0</v>
      </c>
      <c r="W272" s="220">
        <f>'TECH DATA ENTRY'!U300</f>
        <v>0</v>
      </c>
      <c r="X272" s="217">
        <v>1</v>
      </c>
      <c r="Y272" s="218">
        <f t="shared" si="53"/>
        <v>0</v>
      </c>
      <c r="Z272" s="220">
        <f>'TECH DATA ENTRY'!V300</f>
        <v>0</v>
      </c>
      <c r="AA272" s="217">
        <v>1</v>
      </c>
      <c r="AB272" s="218">
        <f t="shared" si="54"/>
        <v>0</v>
      </c>
      <c r="AC272" s="220">
        <f>'TECH DATA ENTRY'!W300</f>
        <v>0</v>
      </c>
      <c r="AD272" s="217">
        <v>1</v>
      </c>
      <c r="AE272" s="218">
        <f t="shared" si="55"/>
        <v>0</v>
      </c>
      <c r="AF272" s="220">
        <f>'TECH DATA ENTRY'!X300</f>
        <v>0</v>
      </c>
      <c r="AG272" s="217">
        <v>1</v>
      </c>
      <c r="AH272" s="218">
        <f t="shared" si="56"/>
        <v>0</v>
      </c>
      <c r="AI272" s="219" t="e">
        <f t="shared" si="57"/>
        <v>#DIV/0!</v>
      </c>
      <c r="AJ272" s="221">
        <f>'TECH DATA ENTRY'!K300</f>
        <v>0</v>
      </c>
      <c r="AK272" s="222" t="e">
        <f t="shared" si="58"/>
        <v>#DIV/0!</v>
      </c>
      <c r="AL272" s="222" t="e">
        <f>VLOOKUP(AK272,'AUX TABLES'!A$2:B$29,2)</f>
        <v>#DIV/0!</v>
      </c>
      <c r="AM272" s="223" t="e">
        <f>IF(OR(ISTEXT(B272)=TRUE,ISTEXT('TECH DATA ENTRY'!L300)=TRUE), "NA",AL272*AI272)</f>
        <v>#DIV/0!</v>
      </c>
      <c r="AN272" s="79"/>
    </row>
    <row r="273" spans="1:40" s="80" customFormat="1" ht="20.149999999999999" customHeight="1">
      <c r="A273" s="216"/>
      <c r="B273" s="249" t="str">
        <f>'TECH DATA ENTRY'!B301</f>
        <v>Nominal</v>
      </c>
      <c r="C273" s="217" t="str">
        <f>'TECH DATA ENTRY'!O301</f>
        <v>Uncertainty Components</v>
      </c>
      <c r="D273" s="217">
        <v>1</v>
      </c>
      <c r="E273" s="218" t="e">
        <f t="shared" si="48"/>
        <v>#VALUE!</v>
      </c>
      <c r="F273" s="217">
        <f>'TECH DATA ENTRY'!P301</f>
        <v>0</v>
      </c>
      <c r="G273" s="217">
        <v>1</v>
      </c>
      <c r="H273" s="218" t="e">
        <f t="shared" si="49"/>
        <v>#VALUE!</v>
      </c>
      <c r="I273" s="219">
        <f>'TECH DATA ENTRY'!Q301</f>
        <v>0</v>
      </c>
      <c r="J273" s="219" t="str">
        <f>'TECH DATA ENTRY'!$G$26</f>
        <v>Digital</v>
      </c>
      <c r="K273" s="217">
        <v>1</v>
      </c>
      <c r="L273" s="218">
        <f t="shared" si="59"/>
        <v>0</v>
      </c>
      <c r="M273" s="219">
        <f>'TECH DATA ENTRY'!R301</f>
        <v>0</v>
      </c>
      <c r="N273" s="219" t="str">
        <f>'TECH DATA ENTRY'!$G$26</f>
        <v>Digital</v>
      </c>
      <c r="O273" s="217">
        <v>1</v>
      </c>
      <c r="P273" s="218">
        <f t="shared" si="50"/>
        <v>0</v>
      </c>
      <c r="Q273" s="220">
        <f>'TECH DATA ENTRY'!S301</f>
        <v>0</v>
      </c>
      <c r="R273" s="217">
        <v>1</v>
      </c>
      <c r="S273" s="218">
        <f t="shared" si="51"/>
        <v>0</v>
      </c>
      <c r="T273" s="220">
        <f>'TECH DATA ENTRY'!T301</f>
        <v>0</v>
      </c>
      <c r="U273" s="217">
        <v>1</v>
      </c>
      <c r="V273" s="218">
        <f t="shared" si="52"/>
        <v>0</v>
      </c>
      <c r="W273" s="220">
        <f>'TECH DATA ENTRY'!U301</f>
        <v>0</v>
      </c>
      <c r="X273" s="217">
        <v>1</v>
      </c>
      <c r="Y273" s="218">
        <f t="shared" si="53"/>
        <v>0</v>
      </c>
      <c r="Z273" s="220">
        <f>'TECH DATA ENTRY'!V301</f>
        <v>0</v>
      </c>
      <c r="AA273" s="217">
        <v>1</v>
      </c>
      <c r="AB273" s="218">
        <f t="shared" si="54"/>
        <v>0</v>
      </c>
      <c r="AC273" s="220">
        <f>'TECH DATA ENTRY'!W301</f>
        <v>0</v>
      </c>
      <c r="AD273" s="217">
        <v>1</v>
      </c>
      <c r="AE273" s="218">
        <f t="shared" si="55"/>
        <v>0</v>
      </c>
      <c r="AF273" s="220">
        <f>'TECH DATA ENTRY'!X301</f>
        <v>0</v>
      </c>
      <c r="AG273" s="217">
        <v>1</v>
      </c>
      <c r="AH273" s="218">
        <f t="shared" si="56"/>
        <v>0</v>
      </c>
      <c r="AI273" s="219" t="e">
        <f t="shared" si="57"/>
        <v>#VALUE!</v>
      </c>
      <c r="AJ273" s="221" t="str">
        <f>'TECH DATA ENTRY'!K301</f>
        <v>n</v>
      </c>
      <c r="AK273" s="222" t="e">
        <f t="shared" si="58"/>
        <v>#VALUE!</v>
      </c>
      <c r="AL273" s="222" t="e">
        <f>VLOOKUP(AK273,'AUX TABLES'!A$2:B$29,2)</f>
        <v>#VALUE!</v>
      </c>
      <c r="AM273" s="223" t="str">
        <f>IF(OR(ISTEXT(B273)=TRUE,ISTEXT('TECH DATA ENTRY'!L301)=TRUE), "NA",AL273*AI273)</f>
        <v>NA</v>
      </c>
      <c r="AN273" s="79"/>
    </row>
    <row r="274" spans="1:40" s="80" customFormat="1" ht="20.149999999999999" customHeight="1">
      <c r="A274" s="216"/>
      <c r="B274" s="249">
        <f>'TECH DATA ENTRY'!B302</f>
        <v>0</v>
      </c>
      <c r="C274" s="217" t="str">
        <f>'TECH DATA ENTRY'!O302</f>
        <v>Stdev 1</v>
      </c>
      <c r="D274" s="217">
        <v>1</v>
      </c>
      <c r="E274" s="218" t="e">
        <f t="shared" si="48"/>
        <v>#VALUE!</v>
      </c>
      <c r="F274" s="217" t="str">
        <f>'TECH DATA ENTRY'!P302</f>
        <v>Stdev 2</v>
      </c>
      <c r="G274" s="217">
        <v>1</v>
      </c>
      <c r="H274" s="218" t="e">
        <f t="shared" si="49"/>
        <v>#VALUE!</v>
      </c>
      <c r="I274" s="219" t="str">
        <f>'TECH DATA ENTRY'!Q302</f>
        <v>Resolution 1</v>
      </c>
      <c r="J274" s="219" t="str">
        <f>'TECH DATA ENTRY'!$G$26</f>
        <v>Digital</v>
      </c>
      <c r="K274" s="217">
        <v>1</v>
      </c>
      <c r="L274" s="218" t="e">
        <f t="shared" si="59"/>
        <v>#VALUE!</v>
      </c>
      <c r="M274" s="219" t="str">
        <f>'TECH DATA ENTRY'!R302</f>
        <v>Resolution 2</v>
      </c>
      <c r="N274" s="219" t="str">
        <f>'TECH DATA ENTRY'!$G$26</f>
        <v>Digital</v>
      </c>
      <c r="O274" s="217">
        <v>1</v>
      </c>
      <c r="P274" s="218" t="e">
        <f t="shared" si="50"/>
        <v>#VALUE!</v>
      </c>
      <c r="Q274" s="220" t="str">
        <f>'TECH DATA ENTRY'!S302</f>
        <v>Scope Uncertainty</v>
      </c>
      <c r="R274" s="217">
        <v>1</v>
      </c>
      <c r="S274" s="218" t="e">
        <f t="shared" si="51"/>
        <v>#VALUE!</v>
      </c>
      <c r="T274" s="220" t="str">
        <f>'TECH DATA ENTRY'!T302</f>
        <v>STD 2 Cal Unc</v>
      </c>
      <c r="U274" s="217">
        <v>1</v>
      </c>
      <c r="V274" s="218" t="e">
        <f t="shared" si="52"/>
        <v>#VALUE!</v>
      </c>
      <c r="W274" s="220" t="str">
        <f>'TECH DATA ENTRY'!U302</f>
        <v>Others 1</v>
      </c>
      <c r="X274" s="217">
        <v>1</v>
      </c>
      <c r="Y274" s="218" t="e">
        <f t="shared" si="53"/>
        <v>#VALUE!</v>
      </c>
      <c r="Z274" s="220" t="str">
        <f>'TECH DATA ENTRY'!V302</f>
        <v>Others 2</v>
      </c>
      <c r="AA274" s="217">
        <v>1</v>
      </c>
      <c r="AB274" s="218" t="e">
        <f t="shared" si="54"/>
        <v>#VALUE!</v>
      </c>
      <c r="AC274" s="220" t="str">
        <f>'TECH DATA ENTRY'!W302</f>
        <v>Others 3</v>
      </c>
      <c r="AD274" s="217">
        <v>1</v>
      </c>
      <c r="AE274" s="218" t="e">
        <f t="shared" si="55"/>
        <v>#VALUE!</v>
      </c>
      <c r="AF274" s="220" t="str">
        <f>'TECH DATA ENTRY'!X302</f>
        <v>Others 4</v>
      </c>
      <c r="AG274" s="217">
        <v>1</v>
      </c>
      <c r="AH274" s="218" t="e">
        <f t="shared" si="56"/>
        <v>#VALUE!</v>
      </c>
      <c r="AI274" s="219" t="e">
        <f t="shared" si="57"/>
        <v>#VALUE!</v>
      </c>
      <c r="AJ274" s="221">
        <f>'TECH DATA ENTRY'!K302</f>
        <v>0</v>
      </c>
      <c r="AK274" s="222" t="e">
        <f t="shared" si="58"/>
        <v>#VALUE!</v>
      </c>
      <c r="AL274" s="222" t="e">
        <f>VLOOKUP(AK274,'AUX TABLES'!A$2:B$29,2)</f>
        <v>#VALUE!</v>
      </c>
      <c r="AM274" s="223" t="e">
        <f>IF(OR(ISTEXT(B274)=TRUE,ISTEXT('TECH DATA ENTRY'!L302)=TRUE), "NA",AL274*AI274)</f>
        <v>#VALUE!</v>
      </c>
      <c r="AN274" s="79"/>
    </row>
    <row r="275" spans="1:40" s="80" customFormat="1" ht="20.149999999999999" customHeight="1">
      <c r="A275" s="216"/>
      <c r="B275" s="249">
        <f>'TECH DATA ENTRY'!B303</f>
        <v>100</v>
      </c>
      <c r="C275" s="217" t="str">
        <f>'TECH DATA ENTRY'!O303</f>
        <v/>
      </c>
      <c r="D275" s="217">
        <v>1</v>
      </c>
      <c r="E275" s="218" t="e">
        <f t="shared" si="48"/>
        <v>#VALUE!</v>
      </c>
      <c r="F275" s="217">
        <f>'TECH DATA ENTRY'!P303</f>
        <v>0</v>
      </c>
      <c r="G275" s="217">
        <v>1</v>
      </c>
      <c r="H275" s="218" t="e">
        <f t="shared" si="49"/>
        <v>#VALUE!</v>
      </c>
      <c r="I275" s="219">
        <f>'TECH DATA ENTRY'!Q303</f>
        <v>1E-4</v>
      </c>
      <c r="J275" s="219" t="str">
        <f>'TECH DATA ENTRY'!$G$26</f>
        <v>Digital</v>
      </c>
      <c r="K275" s="217">
        <v>1</v>
      </c>
      <c r="L275" s="218">
        <f t="shared" si="59"/>
        <v>2.8867513459481293E-5</v>
      </c>
      <c r="M275" s="219">
        <f>'TECH DATA ENTRY'!R303</f>
        <v>0</v>
      </c>
      <c r="N275" s="219" t="str">
        <f>'TECH DATA ENTRY'!$G$26</f>
        <v>Digital</v>
      </c>
      <c r="O275" s="217">
        <v>1</v>
      </c>
      <c r="P275" s="218">
        <f t="shared" si="50"/>
        <v>0</v>
      </c>
      <c r="Q275" s="220">
        <f>'TECH DATA ENTRY'!S303</f>
        <v>3.0699999999999998E-2</v>
      </c>
      <c r="R275" s="217">
        <v>1</v>
      </c>
      <c r="S275" s="218">
        <f t="shared" si="51"/>
        <v>1.5349999999999999E-2</v>
      </c>
      <c r="T275" s="220">
        <f>'TECH DATA ENTRY'!T303</f>
        <v>0</v>
      </c>
      <c r="U275" s="217">
        <v>1</v>
      </c>
      <c r="V275" s="218">
        <f t="shared" si="52"/>
        <v>0</v>
      </c>
      <c r="W275" s="220">
        <f>'TECH DATA ENTRY'!U303</f>
        <v>0</v>
      </c>
      <c r="X275" s="217">
        <v>1</v>
      </c>
      <c r="Y275" s="218">
        <f t="shared" si="53"/>
        <v>0</v>
      </c>
      <c r="Z275" s="220">
        <f>'TECH DATA ENTRY'!V303</f>
        <v>0</v>
      </c>
      <c r="AA275" s="217">
        <v>1</v>
      </c>
      <c r="AB275" s="218">
        <f t="shared" si="54"/>
        <v>0</v>
      </c>
      <c r="AC275" s="220">
        <f>'TECH DATA ENTRY'!W303</f>
        <v>0</v>
      </c>
      <c r="AD275" s="217">
        <v>1</v>
      </c>
      <c r="AE275" s="218">
        <f t="shared" si="55"/>
        <v>0</v>
      </c>
      <c r="AF275" s="220">
        <f>'TECH DATA ENTRY'!X303</f>
        <v>0</v>
      </c>
      <c r="AG275" s="217">
        <v>1</v>
      </c>
      <c r="AH275" s="218">
        <f t="shared" si="56"/>
        <v>0</v>
      </c>
      <c r="AI275" s="219" t="e">
        <f t="shared" si="57"/>
        <v>#VALUE!</v>
      </c>
      <c r="AJ275" s="221" t="str">
        <f>'TECH DATA ENTRY'!K303</f>
        <v/>
      </c>
      <c r="AK275" s="222" t="e">
        <f t="shared" si="58"/>
        <v>#VALUE!</v>
      </c>
      <c r="AL275" s="222" t="e">
        <f>VLOOKUP(AK275,'AUX TABLES'!A$2:B$29,2)</f>
        <v>#VALUE!</v>
      </c>
      <c r="AM275" s="223" t="str">
        <f>IF(OR(ISTEXT(B275)=TRUE,ISTEXT('TECH DATA ENTRY'!L303)=TRUE), "NA",AL275*AI275)</f>
        <v>NA</v>
      </c>
      <c r="AN275" s="79"/>
    </row>
    <row r="276" spans="1:40" s="80" customFormat="1" ht="20.149999999999999" customHeight="1">
      <c r="A276" s="216"/>
      <c r="B276" s="249">
        <f>'TECH DATA ENTRY'!B304</f>
        <v>100</v>
      </c>
      <c r="C276" s="217" t="str">
        <f>'TECH DATA ENTRY'!O304</f>
        <v/>
      </c>
      <c r="D276" s="217">
        <v>1</v>
      </c>
      <c r="E276" s="218" t="e">
        <f t="shared" si="48"/>
        <v>#VALUE!</v>
      </c>
      <c r="F276" s="217">
        <f>'TECH DATA ENTRY'!P304</f>
        <v>0</v>
      </c>
      <c r="G276" s="217">
        <v>1</v>
      </c>
      <c r="H276" s="218" t="e">
        <f t="shared" si="49"/>
        <v>#VALUE!</v>
      </c>
      <c r="I276" s="219">
        <f>'TECH DATA ENTRY'!Q304</f>
        <v>1E-4</v>
      </c>
      <c r="J276" s="219" t="str">
        <f>'TECH DATA ENTRY'!$G$26</f>
        <v>Digital</v>
      </c>
      <c r="K276" s="217">
        <v>1</v>
      </c>
      <c r="L276" s="218">
        <f t="shared" si="59"/>
        <v>2.8867513459481293E-5</v>
      </c>
      <c r="M276" s="219">
        <f>'TECH DATA ENTRY'!R304</f>
        <v>0</v>
      </c>
      <c r="N276" s="219" t="str">
        <f>'TECH DATA ENTRY'!$G$26</f>
        <v>Digital</v>
      </c>
      <c r="O276" s="217">
        <v>1</v>
      </c>
      <c r="P276" s="218">
        <f t="shared" si="50"/>
        <v>0</v>
      </c>
      <c r="Q276" s="220">
        <f>'TECH DATA ENTRY'!S304</f>
        <v>1.5700000000000002E-2</v>
      </c>
      <c r="R276" s="217">
        <v>1</v>
      </c>
      <c r="S276" s="218">
        <f t="shared" si="51"/>
        <v>7.8500000000000011E-3</v>
      </c>
      <c r="T276" s="220">
        <f>'TECH DATA ENTRY'!T304</f>
        <v>0</v>
      </c>
      <c r="U276" s="217">
        <v>1</v>
      </c>
      <c r="V276" s="218">
        <f t="shared" si="52"/>
        <v>0</v>
      </c>
      <c r="W276" s="220">
        <f>'TECH DATA ENTRY'!U304</f>
        <v>0</v>
      </c>
      <c r="X276" s="217">
        <v>1</v>
      </c>
      <c r="Y276" s="218">
        <f t="shared" si="53"/>
        <v>0</v>
      </c>
      <c r="Z276" s="220">
        <f>'TECH DATA ENTRY'!V304</f>
        <v>0</v>
      </c>
      <c r="AA276" s="217">
        <v>1</v>
      </c>
      <c r="AB276" s="218">
        <f t="shared" si="54"/>
        <v>0</v>
      </c>
      <c r="AC276" s="220">
        <f>'TECH DATA ENTRY'!W304</f>
        <v>0</v>
      </c>
      <c r="AD276" s="217">
        <v>1</v>
      </c>
      <c r="AE276" s="218">
        <f t="shared" si="55"/>
        <v>0</v>
      </c>
      <c r="AF276" s="220">
        <f>'TECH DATA ENTRY'!X304</f>
        <v>0</v>
      </c>
      <c r="AG276" s="217">
        <v>1</v>
      </c>
      <c r="AH276" s="218">
        <f t="shared" si="56"/>
        <v>0</v>
      </c>
      <c r="AI276" s="219" t="e">
        <f t="shared" si="57"/>
        <v>#VALUE!</v>
      </c>
      <c r="AJ276" s="221" t="str">
        <f>'TECH DATA ENTRY'!K304</f>
        <v/>
      </c>
      <c r="AK276" s="222" t="e">
        <f t="shared" si="58"/>
        <v>#VALUE!</v>
      </c>
      <c r="AL276" s="222" t="e">
        <f>VLOOKUP(AK276,'AUX TABLES'!A$2:B$29,2)</f>
        <v>#VALUE!</v>
      </c>
      <c r="AM276" s="223" t="str">
        <f>IF(OR(ISTEXT(B276)=TRUE,ISTEXT('TECH DATA ENTRY'!L304)=TRUE), "NA",AL276*AI276)</f>
        <v>NA</v>
      </c>
      <c r="AN276" s="79"/>
    </row>
    <row r="277" spans="1:40" s="80" customFormat="1" ht="20.149999999999999" customHeight="1">
      <c r="A277" s="216"/>
      <c r="B277" s="249">
        <f>'TECH DATA ENTRY'!B305</f>
        <v>100</v>
      </c>
      <c r="C277" s="217" t="str">
        <f>'TECH DATA ENTRY'!O305</f>
        <v/>
      </c>
      <c r="D277" s="217">
        <v>1</v>
      </c>
      <c r="E277" s="218" t="e">
        <f t="shared" si="48"/>
        <v>#VALUE!</v>
      </c>
      <c r="F277" s="217">
        <f>'TECH DATA ENTRY'!P305</f>
        <v>0</v>
      </c>
      <c r="G277" s="217">
        <v>1</v>
      </c>
      <c r="H277" s="218" t="e">
        <f t="shared" si="49"/>
        <v>#VALUE!</v>
      </c>
      <c r="I277" s="219">
        <f>'TECH DATA ENTRY'!Q305</f>
        <v>1E-4</v>
      </c>
      <c r="J277" s="219" t="str">
        <f>'TECH DATA ENTRY'!$G$26</f>
        <v>Digital</v>
      </c>
      <c r="K277" s="217">
        <v>1</v>
      </c>
      <c r="L277" s="218">
        <f t="shared" si="59"/>
        <v>2.8867513459481293E-5</v>
      </c>
      <c r="M277" s="219">
        <f>'TECH DATA ENTRY'!R305</f>
        <v>0</v>
      </c>
      <c r="N277" s="219" t="str">
        <f>'TECH DATA ENTRY'!$G$26</f>
        <v>Digital</v>
      </c>
      <c r="O277" s="217">
        <v>1</v>
      </c>
      <c r="P277" s="218">
        <f t="shared" si="50"/>
        <v>0</v>
      </c>
      <c r="Q277" s="220">
        <f>'TECH DATA ENTRY'!S305</f>
        <v>2.4400000000000002E-2</v>
      </c>
      <c r="R277" s="217">
        <v>1</v>
      </c>
      <c r="S277" s="218">
        <f t="shared" si="51"/>
        <v>1.2200000000000001E-2</v>
      </c>
      <c r="T277" s="220">
        <f>'TECH DATA ENTRY'!T305</f>
        <v>0</v>
      </c>
      <c r="U277" s="217">
        <v>1</v>
      </c>
      <c r="V277" s="218">
        <f t="shared" si="52"/>
        <v>0</v>
      </c>
      <c r="W277" s="220">
        <f>'TECH DATA ENTRY'!U305</f>
        <v>0</v>
      </c>
      <c r="X277" s="217">
        <v>1</v>
      </c>
      <c r="Y277" s="218">
        <f t="shared" si="53"/>
        <v>0</v>
      </c>
      <c r="Z277" s="220">
        <f>'TECH DATA ENTRY'!V305</f>
        <v>0</v>
      </c>
      <c r="AA277" s="217">
        <v>1</v>
      </c>
      <c r="AB277" s="218">
        <f t="shared" si="54"/>
        <v>0</v>
      </c>
      <c r="AC277" s="220">
        <f>'TECH DATA ENTRY'!W305</f>
        <v>0</v>
      </c>
      <c r="AD277" s="217">
        <v>1</v>
      </c>
      <c r="AE277" s="218">
        <f t="shared" si="55"/>
        <v>0</v>
      </c>
      <c r="AF277" s="220">
        <f>'TECH DATA ENTRY'!X305</f>
        <v>0</v>
      </c>
      <c r="AG277" s="217">
        <v>1</v>
      </c>
      <c r="AH277" s="218">
        <f t="shared" si="56"/>
        <v>0</v>
      </c>
      <c r="AI277" s="219" t="e">
        <f t="shared" si="57"/>
        <v>#VALUE!</v>
      </c>
      <c r="AJ277" s="221" t="str">
        <f>'TECH DATA ENTRY'!K305</f>
        <v/>
      </c>
      <c r="AK277" s="222" t="e">
        <f t="shared" si="58"/>
        <v>#VALUE!</v>
      </c>
      <c r="AL277" s="222" t="e">
        <f>VLOOKUP(AK277,'AUX TABLES'!A$2:B$29,2)</f>
        <v>#VALUE!</v>
      </c>
      <c r="AM277" s="223" t="str">
        <f>IF(OR(ISTEXT(B277)=TRUE,ISTEXT('TECH DATA ENTRY'!L305)=TRUE), "NA",AL277*AI277)</f>
        <v>NA</v>
      </c>
      <c r="AN277" s="79"/>
    </row>
    <row r="278" spans="1:40" s="80" customFormat="1" ht="20.149999999999999" customHeight="1">
      <c r="A278" s="216"/>
      <c r="B278" s="249">
        <f>'TECH DATA ENTRY'!B306</f>
        <v>100</v>
      </c>
      <c r="C278" s="217" t="str">
        <f>'TECH DATA ENTRY'!O306</f>
        <v/>
      </c>
      <c r="D278" s="217">
        <v>1</v>
      </c>
      <c r="E278" s="218" t="e">
        <f t="shared" si="48"/>
        <v>#VALUE!</v>
      </c>
      <c r="F278" s="217">
        <f>'TECH DATA ENTRY'!P306</f>
        <v>0</v>
      </c>
      <c r="G278" s="217">
        <v>1</v>
      </c>
      <c r="H278" s="218" t="e">
        <f t="shared" si="49"/>
        <v>#VALUE!</v>
      </c>
      <c r="I278" s="219">
        <f>'TECH DATA ENTRY'!Q306</f>
        <v>1E-4</v>
      </c>
      <c r="J278" s="219" t="str">
        <f>'TECH DATA ENTRY'!$G$26</f>
        <v>Digital</v>
      </c>
      <c r="K278" s="217">
        <v>1</v>
      </c>
      <c r="L278" s="218">
        <f t="shared" si="59"/>
        <v>2.8867513459481293E-5</v>
      </c>
      <c r="M278" s="219">
        <f>'TECH DATA ENTRY'!R306</f>
        <v>0</v>
      </c>
      <c r="N278" s="219" t="str">
        <f>'TECH DATA ENTRY'!$G$26</f>
        <v>Digital</v>
      </c>
      <c r="O278" s="217">
        <v>1</v>
      </c>
      <c r="P278" s="218">
        <f t="shared" si="50"/>
        <v>0</v>
      </c>
      <c r="Q278" s="220">
        <f>'TECH DATA ENTRY'!S306</f>
        <v>0.11</v>
      </c>
      <c r="R278" s="217">
        <v>1</v>
      </c>
      <c r="S278" s="218">
        <f t="shared" si="51"/>
        <v>5.5E-2</v>
      </c>
      <c r="T278" s="220">
        <f>'TECH DATA ENTRY'!T306</f>
        <v>0</v>
      </c>
      <c r="U278" s="217">
        <v>1</v>
      </c>
      <c r="V278" s="218">
        <f t="shared" si="52"/>
        <v>0</v>
      </c>
      <c r="W278" s="220">
        <f>'TECH DATA ENTRY'!U306</f>
        <v>0</v>
      </c>
      <c r="X278" s="217">
        <v>1</v>
      </c>
      <c r="Y278" s="218">
        <f t="shared" si="53"/>
        <v>0</v>
      </c>
      <c r="Z278" s="220">
        <f>'TECH DATA ENTRY'!V306</f>
        <v>0</v>
      </c>
      <c r="AA278" s="217">
        <v>1</v>
      </c>
      <c r="AB278" s="218">
        <f t="shared" si="54"/>
        <v>0</v>
      </c>
      <c r="AC278" s="220">
        <f>'TECH DATA ENTRY'!W306</f>
        <v>0</v>
      </c>
      <c r="AD278" s="217">
        <v>1</v>
      </c>
      <c r="AE278" s="218">
        <f t="shared" si="55"/>
        <v>0</v>
      </c>
      <c r="AF278" s="220">
        <f>'TECH DATA ENTRY'!X306</f>
        <v>0</v>
      </c>
      <c r="AG278" s="217">
        <v>1</v>
      </c>
      <c r="AH278" s="218">
        <f t="shared" si="56"/>
        <v>0</v>
      </c>
      <c r="AI278" s="219" t="e">
        <f t="shared" si="57"/>
        <v>#VALUE!</v>
      </c>
      <c r="AJ278" s="221" t="str">
        <f>'TECH DATA ENTRY'!K306</f>
        <v/>
      </c>
      <c r="AK278" s="222" t="e">
        <f t="shared" si="58"/>
        <v>#VALUE!</v>
      </c>
      <c r="AL278" s="222" t="e">
        <f>VLOOKUP(AK278,'AUX TABLES'!A$2:B$29,2)</f>
        <v>#VALUE!</v>
      </c>
      <c r="AM278" s="223" t="str">
        <f>IF(OR(ISTEXT(B278)=TRUE,ISTEXT('TECH DATA ENTRY'!L306)=TRUE), "NA",AL278*AI278)</f>
        <v>NA</v>
      </c>
      <c r="AN278" s="79"/>
    </row>
    <row r="279" spans="1:40" s="80" customFormat="1" ht="20.149999999999999" customHeight="1">
      <c r="A279" s="216"/>
      <c r="B279" s="249">
        <f>'TECH DATA ENTRY'!B307</f>
        <v>0</v>
      </c>
      <c r="C279" s="217">
        <f>'TECH DATA ENTRY'!O307</f>
        <v>0</v>
      </c>
      <c r="D279" s="217">
        <v>1</v>
      </c>
      <c r="E279" s="218" t="e">
        <f t="shared" si="48"/>
        <v>#DIV/0!</v>
      </c>
      <c r="F279" s="217">
        <f>'TECH DATA ENTRY'!P307</f>
        <v>0</v>
      </c>
      <c r="G279" s="217">
        <v>1</v>
      </c>
      <c r="H279" s="218" t="e">
        <f t="shared" si="49"/>
        <v>#DIV/0!</v>
      </c>
      <c r="I279" s="219">
        <f>'TECH DATA ENTRY'!Q307</f>
        <v>0</v>
      </c>
      <c r="J279" s="219" t="str">
        <f>'TECH DATA ENTRY'!$G$26</f>
        <v>Digital</v>
      </c>
      <c r="K279" s="217">
        <v>1</v>
      </c>
      <c r="L279" s="218">
        <f t="shared" si="59"/>
        <v>0</v>
      </c>
      <c r="M279" s="219">
        <f>'TECH DATA ENTRY'!R307</f>
        <v>0</v>
      </c>
      <c r="N279" s="219" t="str">
        <f>'TECH DATA ENTRY'!$G$26</f>
        <v>Digital</v>
      </c>
      <c r="O279" s="217">
        <v>1</v>
      </c>
      <c r="P279" s="218">
        <f t="shared" si="50"/>
        <v>0</v>
      </c>
      <c r="Q279" s="220">
        <f>'TECH DATA ENTRY'!S307</f>
        <v>0</v>
      </c>
      <c r="R279" s="217">
        <v>1</v>
      </c>
      <c r="S279" s="218">
        <f t="shared" si="51"/>
        <v>0</v>
      </c>
      <c r="T279" s="220">
        <f>'TECH DATA ENTRY'!T307</f>
        <v>0</v>
      </c>
      <c r="U279" s="217">
        <v>1</v>
      </c>
      <c r="V279" s="218">
        <f t="shared" si="52"/>
        <v>0</v>
      </c>
      <c r="W279" s="220">
        <f>'TECH DATA ENTRY'!U307</f>
        <v>0</v>
      </c>
      <c r="X279" s="217">
        <v>1</v>
      </c>
      <c r="Y279" s="218">
        <f t="shared" si="53"/>
        <v>0</v>
      </c>
      <c r="Z279" s="220">
        <f>'TECH DATA ENTRY'!V307</f>
        <v>0</v>
      </c>
      <c r="AA279" s="217">
        <v>1</v>
      </c>
      <c r="AB279" s="218">
        <f t="shared" si="54"/>
        <v>0</v>
      </c>
      <c r="AC279" s="220">
        <f>'TECH DATA ENTRY'!W307</f>
        <v>0</v>
      </c>
      <c r="AD279" s="217">
        <v>1</v>
      </c>
      <c r="AE279" s="218">
        <f t="shared" si="55"/>
        <v>0</v>
      </c>
      <c r="AF279" s="220">
        <f>'TECH DATA ENTRY'!X307</f>
        <v>0</v>
      </c>
      <c r="AG279" s="217">
        <v>1</v>
      </c>
      <c r="AH279" s="218">
        <f t="shared" si="56"/>
        <v>0</v>
      </c>
      <c r="AI279" s="219" t="e">
        <f t="shared" si="57"/>
        <v>#DIV/0!</v>
      </c>
      <c r="AJ279" s="221">
        <f>'TECH DATA ENTRY'!K307</f>
        <v>0</v>
      </c>
      <c r="AK279" s="222" t="e">
        <f t="shared" si="58"/>
        <v>#DIV/0!</v>
      </c>
      <c r="AL279" s="222" t="e">
        <f>VLOOKUP(AK279,'AUX TABLES'!A$2:B$29,2)</f>
        <v>#DIV/0!</v>
      </c>
      <c r="AM279" s="223" t="e">
        <f>IF(OR(ISTEXT(B279)=TRUE,ISTEXT('TECH DATA ENTRY'!L307)=TRUE), "NA",AL279*AI279)</f>
        <v>#DIV/0!</v>
      </c>
      <c r="AN279" s="79"/>
    </row>
    <row r="280" spans="1:40" s="80" customFormat="1" ht="20.149999999999999" customHeight="1">
      <c r="A280" s="216"/>
      <c r="B280" s="249">
        <f>'TECH DATA ENTRY'!B308</f>
        <v>0</v>
      </c>
      <c r="C280" s="217">
        <f>'TECH DATA ENTRY'!O308</f>
        <v>0</v>
      </c>
      <c r="D280" s="217">
        <v>1</v>
      </c>
      <c r="E280" s="218" t="e">
        <f t="shared" si="48"/>
        <v>#DIV/0!</v>
      </c>
      <c r="F280" s="217">
        <f>'TECH DATA ENTRY'!P308</f>
        <v>0</v>
      </c>
      <c r="G280" s="217">
        <v>1</v>
      </c>
      <c r="H280" s="218" t="e">
        <f t="shared" si="49"/>
        <v>#DIV/0!</v>
      </c>
      <c r="I280" s="219">
        <f>'TECH DATA ENTRY'!Q308</f>
        <v>0</v>
      </c>
      <c r="J280" s="219" t="str">
        <f>'TECH DATA ENTRY'!$G$26</f>
        <v>Digital</v>
      </c>
      <c r="K280" s="217">
        <v>1</v>
      </c>
      <c r="L280" s="218">
        <f t="shared" si="59"/>
        <v>0</v>
      </c>
      <c r="M280" s="219">
        <f>'TECH DATA ENTRY'!R308</f>
        <v>0</v>
      </c>
      <c r="N280" s="219" t="str">
        <f>'TECH DATA ENTRY'!$G$26</f>
        <v>Digital</v>
      </c>
      <c r="O280" s="217">
        <v>1</v>
      </c>
      <c r="P280" s="218">
        <f t="shared" si="50"/>
        <v>0</v>
      </c>
      <c r="Q280" s="220">
        <f>'TECH DATA ENTRY'!S308</f>
        <v>0</v>
      </c>
      <c r="R280" s="217">
        <v>1</v>
      </c>
      <c r="S280" s="218">
        <f t="shared" si="51"/>
        <v>0</v>
      </c>
      <c r="T280" s="220">
        <f>'TECH DATA ENTRY'!T308</f>
        <v>0</v>
      </c>
      <c r="U280" s="217">
        <v>1</v>
      </c>
      <c r="V280" s="218">
        <f t="shared" si="52"/>
        <v>0</v>
      </c>
      <c r="W280" s="220">
        <f>'TECH DATA ENTRY'!U308</f>
        <v>0</v>
      </c>
      <c r="X280" s="217">
        <v>1</v>
      </c>
      <c r="Y280" s="218">
        <f t="shared" si="53"/>
        <v>0</v>
      </c>
      <c r="Z280" s="220">
        <f>'TECH DATA ENTRY'!V308</f>
        <v>0</v>
      </c>
      <c r="AA280" s="217">
        <v>1</v>
      </c>
      <c r="AB280" s="218">
        <f t="shared" si="54"/>
        <v>0</v>
      </c>
      <c r="AC280" s="220">
        <f>'TECH DATA ENTRY'!W308</f>
        <v>0</v>
      </c>
      <c r="AD280" s="217">
        <v>1</v>
      </c>
      <c r="AE280" s="218">
        <f t="shared" si="55"/>
        <v>0</v>
      </c>
      <c r="AF280" s="220">
        <f>'TECH DATA ENTRY'!X308</f>
        <v>0</v>
      </c>
      <c r="AG280" s="217">
        <v>1</v>
      </c>
      <c r="AH280" s="218">
        <f t="shared" si="56"/>
        <v>0</v>
      </c>
      <c r="AI280" s="219" t="e">
        <f t="shared" si="57"/>
        <v>#DIV/0!</v>
      </c>
      <c r="AJ280" s="221">
        <f>'TECH DATA ENTRY'!K308</f>
        <v>0</v>
      </c>
      <c r="AK280" s="222" t="e">
        <f t="shared" si="58"/>
        <v>#DIV/0!</v>
      </c>
      <c r="AL280" s="222" t="e">
        <f>VLOOKUP(AK280,'AUX TABLES'!A$2:B$29,2)</f>
        <v>#DIV/0!</v>
      </c>
      <c r="AM280" s="223" t="e">
        <f>IF(OR(ISTEXT(B280)=TRUE,ISTEXT('TECH DATA ENTRY'!L308)=TRUE), "NA",AL280*AI280)</f>
        <v>#DIV/0!</v>
      </c>
      <c r="AN280" s="79"/>
    </row>
    <row r="281" spans="1:40" s="80" customFormat="1" ht="20.149999999999999" customHeight="1">
      <c r="A281" s="216"/>
      <c r="B281" s="249">
        <f>'TECH DATA ENTRY'!B309</f>
        <v>0</v>
      </c>
      <c r="C281" s="217">
        <f>'TECH DATA ENTRY'!O309</f>
        <v>0</v>
      </c>
      <c r="D281" s="217">
        <v>1</v>
      </c>
      <c r="E281" s="218" t="e">
        <f t="shared" si="48"/>
        <v>#DIV/0!</v>
      </c>
      <c r="F281" s="217">
        <f>'TECH DATA ENTRY'!P309</f>
        <v>0</v>
      </c>
      <c r="G281" s="217">
        <v>1</v>
      </c>
      <c r="H281" s="218" t="e">
        <f t="shared" si="49"/>
        <v>#DIV/0!</v>
      </c>
      <c r="I281" s="219">
        <f>'TECH DATA ENTRY'!Q309</f>
        <v>0</v>
      </c>
      <c r="J281" s="219" t="str">
        <f>'TECH DATA ENTRY'!$G$26</f>
        <v>Digital</v>
      </c>
      <c r="K281" s="217">
        <v>1</v>
      </c>
      <c r="L281" s="218">
        <f t="shared" si="59"/>
        <v>0</v>
      </c>
      <c r="M281" s="219">
        <f>'TECH DATA ENTRY'!R309</f>
        <v>0</v>
      </c>
      <c r="N281" s="219" t="str">
        <f>'TECH DATA ENTRY'!$G$26</f>
        <v>Digital</v>
      </c>
      <c r="O281" s="217">
        <v>1</v>
      </c>
      <c r="P281" s="218">
        <f t="shared" si="50"/>
        <v>0</v>
      </c>
      <c r="Q281" s="220">
        <f>'TECH DATA ENTRY'!S309</f>
        <v>0</v>
      </c>
      <c r="R281" s="217">
        <v>1</v>
      </c>
      <c r="S281" s="218">
        <f t="shared" si="51"/>
        <v>0</v>
      </c>
      <c r="T281" s="220">
        <f>'TECH DATA ENTRY'!T309</f>
        <v>0</v>
      </c>
      <c r="U281" s="217">
        <v>1</v>
      </c>
      <c r="V281" s="218">
        <f t="shared" si="52"/>
        <v>0</v>
      </c>
      <c r="W281" s="220">
        <f>'TECH DATA ENTRY'!U309</f>
        <v>0</v>
      </c>
      <c r="X281" s="217">
        <v>1</v>
      </c>
      <c r="Y281" s="218">
        <f t="shared" si="53"/>
        <v>0</v>
      </c>
      <c r="Z281" s="220">
        <f>'TECH DATA ENTRY'!V309</f>
        <v>0</v>
      </c>
      <c r="AA281" s="217">
        <v>1</v>
      </c>
      <c r="AB281" s="218">
        <f t="shared" si="54"/>
        <v>0</v>
      </c>
      <c r="AC281" s="220">
        <f>'TECH DATA ENTRY'!W309</f>
        <v>0</v>
      </c>
      <c r="AD281" s="217">
        <v>1</v>
      </c>
      <c r="AE281" s="218">
        <f t="shared" si="55"/>
        <v>0</v>
      </c>
      <c r="AF281" s="220">
        <f>'TECH DATA ENTRY'!X309</f>
        <v>0</v>
      </c>
      <c r="AG281" s="217">
        <v>1</v>
      </c>
      <c r="AH281" s="218">
        <f t="shared" si="56"/>
        <v>0</v>
      </c>
      <c r="AI281" s="219" t="e">
        <f t="shared" si="57"/>
        <v>#DIV/0!</v>
      </c>
      <c r="AJ281" s="221">
        <f>'TECH DATA ENTRY'!K309</f>
        <v>0</v>
      </c>
      <c r="AK281" s="222" t="e">
        <f t="shared" si="58"/>
        <v>#DIV/0!</v>
      </c>
      <c r="AL281" s="222" t="e">
        <f>VLOOKUP(AK281,'AUX TABLES'!A$2:B$29,2)</f>
        <v>#DIV/0!</v>
      </c>
      <c r="AM281" s="223" t="e">
        <f>IF(OR(ISTEXT(B281)=TRUE,ISTEXT('TECH DATA ENTRY'!L309)=TRUE), "NA",AL281*AI281)</f>
        <v>#DIV/0!</v>
      </c>
      <c r="AN281" s="79"/>
    </row>
    <row r="282" spans="1:40" s="80" customFormat="1" ht="20.149999999999999" customHeight="1">
      <c r="A282" s="216"/>
      <c r="B282" s="249" t="str">
        <f>'TECH DATA ENTRY'!B310</f>
        <v>Nominal</v>
      </c>
      <c r="C282" s="217" t="str">
        <f>'TECH DATA ENTRY'!O310</f>
        <v>Uncertainty Components</v>
      </c>
      <c r="D282" s="217">
        <v>1</v>
      </c>
      <c r="E282" s="218" t="e">
        <f t="shared" si="48"/>
        <v>#VALUE!</v>
      </c>
      <c r="F282" s="217">
        <f>'TECH DATA ENTRY'!P310</f>
        <v>0</v>
      </c>
      <c r="G282" s="217">
        <v>1</v>
      </c>
      <c r="H282" s="218" t="e">
        <f t="shared" si="49"/>
        <v>#VALUE!</v>
      </c>
      <c r="I282" s="219">
        <f>'TECH DATA ENTRY'!Q310</f>
        <v>0</v>
      </c>
      <c r="J282" s="219" t="str">
        <f>'TECH DATA ENTRY'!$G$26</f>
        <v>Digital</v>
      </c>
      <c r="K282" s="217">
        <v>1</v>
      </c>
      <c r="L282" s="218">
        <f t="shared" si="59"/>
        <v>0</v>
      </c>
      <c r="M282" s="219">
        <f>'TECH DATA ENTRY'!R310</f>
        <v>0</v>
      </c>
      <c r="N282" s="219" t="str">
        <f>'TECH DATA ENTRY'!$G$26</f>
        <v>Digital</v>
      </c>
      <c r="O282" s="217">
        <v>1</v>
      </c>
      <c r="P282" s="218">
        <f t="shared" si="50"/>
        <v>0</v>
      </c>
      <c r="Q282" s="220">
        <f>'TECH DATA ENTRY'!S310</f>
        <v>0</v>
      </c>
      <c r="R282" s="217">
        <v>1</v>
      </c>
      <c r="S282" s="218">
        <f t="shared" si="51"/>
        <v>0</v>
      </c>
      <c r="T282" s="220">
        <f>'TECH DATA ENTRY'!T310</f>
        <v>0</v>
      </c>
      <c r="U282" s="217">
        <v>1</v>
      </c>
      <c r="V282" s="218">
        <f t="shared" si="52"/>
        <v>0</v>
      </c>
      <c r="W282" s="220">
        <f>'TECH DATA ENTRY'!U310</f>
        <v>0</v>
      </c>
      <c r="X282" s="217">
        <v>1</v>
      </c>
      <c r="Y282" s="218">
        <f t="shared" si="53"/>
        <v>0</v>
      </c>
      <c r="Z282" s="220">
        <f>'TECH DATA ENTRY'!V310</f>
        <v>0</v>
      </c>
      <c r="AA282" s="217">
        <v>1</v>
      </c>
      <c r="AB282" s="218">
        <f t="shared" si="54"/>
        <v>0</v>
      </c>
      <c r="AC282" s="220">
        <f>'TECH DATA ENTRY'!W310</f>
        <v>0</v>
      </c>
      <c r="AD282" s="217">
        <v>1</v>
      </c>
      <c r="AE282" s="218">
        <f t="shared" si="55"/>
        <v>0</v>
      </c>
      <c r="AF282" s="220">
        <f>'TECH DATA ENTRY'!X310</f>
        <v>0</v>
      </c>
      <c r="AG282" s="217">
        <v>1</v>
      </c>
      <c r="AH282" s="218">
        <f t="shared" si="56"/>
        <v>0</v>
      </c>
      <c r="AI282" s="219" t="e">
        <f t="shared" si="57"/>
        <v>#VALUE!</v>
      </c>
      <c r="AJ282" s="221" t="str">
        <f>'TECH DATA ENTRY'!K310</f>
        <v>n</v>
      </c>
      <c r="AK282" s="222" t="e">
        <f t="shared" si="58"/>
        <v>#VALUE!</v>
      </c>
      <c r="AL282" s="222" t="e">
        <f>VLOOKUP(AK282,'AUX TABLES'!A$2:B$29,2)</f>
        <v>#VALUE!</v>
      </c>
      <c r="AM282" s="223" t="str">
        <f>IF(OR(ISTEXT(B282)=TRUE,ISTEXT('TECH DATA ENTRY'!L310)=TRUE), "NA",AL282*AI282)</f>
        <v>NA</v>
      </c>
      <c r="AN282" s="79"/>
    </row>
    <row r="283" spans="1:40" s="80" customFormat="1" ht="20.149999999999999" customHeight="1">
      <c r="A283" s="216"/>
      <c r="B283" s="249">
        <f>'TECH DATA ENTRY'!B311</f>
        <v>0</v>
      </c>
      <c r="C283" s="217" t="str">
        <f>'TECH DATA ENTRY'!O311</f>
        <v>Stdev 1</v>
      </c>
      <c r="D283" s="217">
        <v>1</v>
      </c>
      <c r="E283" s="218" t="e">
        <f t="shared" si="48"/>
        <v>#VALUE!</v>
      </c>
      <c r="F283" s="217" t="str">
        <f>'TECH DATA ENTRY'!P311</f>
        <v>Stdev 2</v>
      </c>
      <c r="G283" s="217">
        <v>1</v>
      </c>
      <c r="H283" s="218" t="e">
        <f t="shared" si="49"/>
        <v>#VALUE!</v>
      </c>
      <c r="I283" s="219" t="str">
        <f>'TECH DATA ENTRY'!Q311</f>
        <v>Resolution 1</v>
      </c>
      <c r="J283" s="219" t="str">
        <f>'TECH DATA ENTRY'!$G$26</f>
        <v>Digital</v>
      </c>
      <c r="K283" s="217">
        <v>1</v>
      </c>
      <c r="L283" s="218" t="e">
        <f t="shared" si="59"/>
        <v>#VALUE!</v>
      </c>
      <c r="M283" s="219" t="str">
        <f>'TECH DATA ENTRY'!R311</f>
        <v>Resolution 2</v>
      </c>
      <c r="N283" s="219" t="str">
        <f>'TECH DATA ENTRY'!$G$26</f>
        <v>Digital</v>
      </c>
      <c r="O283" s="217">
        <v>1</v>
      </c>
      <c r="P283" s="218" t="e">
        <f t="shared" si="50"/>
        <v>#VALUE!</v>
      </c>
      <c r="Q283" s="220" t="str">
        <f>'TECH DATA ENTRY'!S311</f>
        <v>Scope Uncertainty</v>
      </c>
      <c r="R283" s="217">
        <v>1</v>
      </c>
      <c r="S283" s="218" t="e">
        <f t="shared" si="51"/>
        <v>#VALUE!</v>
      </c>
      <c r="T283" s="220" t="str">
        <f>'TECH DATA ENTRY'!T311</f>
        <v>STD 2 Cal Unc</v>
      </c>
      <c r="U283" s="217">
        <v>1</v>
      </c>
      <c r="V283" s="218" t="e">
        <f t="shared" si="52"/>
        <v>#VALUE!</v>
      </c>
      <c r="W283" s="220" t="str">
        <f>'TECH DATA ENTRY'!U311</f>
        <v>Others 1</v>
      </c>
      <c r="X283" s="217">
        <v>1</v>
      </c>
      <c r="Y283" s="218" t="e">
        <f t="shared" si="53"/>
        <v>#VALUE!</v>
      </c>
      <c r="Z283" s="220" t="str">
        <f>'TECH DATA ENTRY'!V311</f>
        <v>Others 2</v>
      </c>
      <c r="AA283" s="217">
        <v>1</v>
      </c>
      <c r="AB283" s="218" t="e">
        <f t="shared" si="54"/>
        <v>#VALUE!</v>
      </c>
      <c r="AC283" s="220" t="str">
        <f>'TECH DATA ENTRY'!W311</f>
        <v>Others 3</v>
      </c>
      <c r="AD283" s="217">
        <v>1</v>
      </c>
      <c r="AE283" s="218" t="e">
        <f t="shared" si="55"/>
        <v>#VALUE!</v>
      </c>
      <c r="AF283" s="220" t="str">
        <f>'TECH DATA ENTRY'!X311</f>
        <v>Others 4</v>
      </c>
      <c r="AG283" s="217">
        <v>1</v>
      </c>
      <c r="AH283" s="218" t="e">
        <f t="shared" si="56"/>
        <v>#VALUE!</v>
      </c>
      <c r="AI283" s="219" t="e">
        <f t="shared" si="57"/>
        <v>#VALUE!</v>
      </c>
      <c r="AJ283" s="221">
        <f>'TECH DATA ENTRY'!K311</f>
        <v>0</v>
      </c>
      <c r="AK283" s="222" t="e">
        <f t="shared" si="58"/>
        <v>#VALUE!</v>
      </c>
      <c r="AL283" s="222" t="e">
        <f>VLOOKUP(AK283,'AUX TABLES'!A$2:B$29,2)</f>
        <v>#VALUE!</v>
      </c>
      <c r="AM283" s="223" t="e">
        <f>IF(OR(ISTEXT(B283)=TRUE,ISTEXT('TECH DATA ENTRY'!L311)=TRUE), "NA",AL283*AI283)</f>
        <v>#VALUE!</v>
      </c>
      <c r="AN283" s="79"/>
    </row>
    <row r="284" spans="1:40" s="80" customFormat="1" ht="20.149999999999999" customHeight="1">
      <c r="A284" s="216"/>
      <c r="B284" s="249">
        <f>'TECH DATA ENTRY'!B312</f>
        <v>329</v>
      </c>
      <c r="C284" s="217" t="str">
        <f>'TECH DATA ENTRY'!O312</f>
        <v/>
      </c>
      <c r="D284" s="217">
        <v>1</v>
      </c>
      <c r="E284" s="218" t="e">
        <f t="shared" si="48"/>
        <v>#VALUE!</v>
      </c>
      <c r="F284" s="217">
        <f>'TECH DATA ENTRY'!P312</f>
        <v>0</v>
      </c>
      <c r="G284" s="217">
        <v>1</v>
      </c>
      <c r="H284" s="218" t="e">
        <f t="shared" si="49"/>
        <v>#VALUE!</v>
      </c>
      <c r="I284" s="219">
        <f>'TECH DATA ENTRY'!Q312</f>
        <v>1E-3</v>
      </c>
      <c r="J284" s="219" t="str">
        <f>'TECH DATA ENTRY'!$G$26</f>
        <v>Digital</v>
      </c>
      <c r="K284" s="217">
        <v>1</v>
      </c>
      <c r="L284" s="218">
        <f t="shared" si="59"/>
        <v>2.886751345948129E-4</v>
      </c>
      <c r="M284" s="219">
        <f>'TECH DATA ENTRY'!R312</f>
        <v>0</v>
      </c>
      <c r="N284" s="219" t="str">
        <f>'TECH DATA ENTRY'!$G$26</f>
        <v>Digital</v>
      </c>
      <c r="O284" s="217">
        <v>1</v>
      </c>
      <c r="P284" s="218">
        <f t="shared" si="50"/>
        <v>0</v>
      </c>
      <c r="Q284" s="220">
        <f>'TECH DATA ENTRY'!S312</f>
        <v>0.124488</v>
      </c>
      <c r="R284" s="217">
        <v>1</v>
      </c>
      <c r="S284" s="218">
        <f t="shared" si="51"/>
        <v>6.2244000000000001E-2</v>
      </c>
      <c r="T284" s="220">
        <f>'TECH DATA ENTRY'!T312</f>
        <v>0</v>
      </c>
      <c r="U284" s="217">
        <v>1</v>
      </c>
      <c r="V284" s="218">
        <f t="shared" si="52"/>
        <v>0</v>
      </c>
      <c r="W284" s="220">
        <f>'TECH DATA ENTRY'!U312</f>
        <v>0</v>
      </c>
      <c r="X284" s="217">
        <v>1</v>
      </c>
      <c r="Y284" s="218">
        <f t="shared" si="53"/>
        <v>0</v>
      </c>
      <c r="Z284" s="220">
        <f>'TECH DATA ENTRY'!V312</f>
        <v>0</v>
      </c>
      <c r="AA284" s="217">
        <v>1</v>
      </c>
      <c r="AB284" s="218">
        <f t="shared" si="54"/>
        <v>0</v>
      </c>
      <c r="AC284" s="220">
        <f>'TECH DATA ENTRY'!W312</f>
        <v>0</v>
      </c>
      <c r="AD284" s="217">
        <v>1</v>
      </c>
      <c r="AE284" s="218">
        <f t="shared" si="55"/>
        <v>0</v>
      </c>
      <c r="AF284" s="220">
        <f>'TECH DATA ENTRY'!X312</f>
        <v>0</v>
      </c>
      <c r="AG284" s="217">
        <v>1</v>
      </c>
      <c r="AH284" s="218">
        <f t="shared" si="56"/>
        <v>0</v>
      </c>
      <c r="AI284" s="219" t="e">
        <f t="shared" si="57"/>
        <v>#VALUE!</v>
      </c>
      <c r="AJ284" s="221" t="str">
        <f>'TECH DATA ENTRY'!K312</f>
        <v/>
      </c>
      <c r="AK284" s="222" t="e">
        <f t="shared" si="58"/>
        <v>#VALUE!</v>
      </c>
      <c r="AL284" s="222" t="e">
        <f>VLOOKUP(AK284,'AUX TABLES'!A$2:B$29,2)</f>
        <v>#VALUE!</v>
      </c>
      <c r="AM284" s="223" t="str">
        <f>IF(OR(ISTEXT(B284)=TRUE,ISTEXT('TECH DATA ENTRY'!L312)=TRUE), "NA",AL284*AI284)</f>
        <v>NA</v>
      </c>
      <c r="AN284" s="79"/>
    </row>
    <row r="285" spans="1:40" s="80" customFormat="1" ht="20.149999999999999" customHeight="1">
      <c r="A285" s="216"/>
      <c r="B285" s="249">
        <f>'TECH DATA ENTRY'!B313</f>
        <v>329</v>
      </c>
      <c r="C285" s="217" t="str">
        <f>'TECH DATA ENTRY'!O313</f>
        <v/>
      </c>
      <c r="D285" s="217">
        <v>1</v>
      </c>
      <c r="E285" s="218" t="e">
        <f t="shared" si="48"/>
        <v>#VALUE!</v>
      </c>
      <c r="F285" s="217">
        <f>'TECH DATA ENTRY'!P313</f>
        <v>0</v>
      </c>
      <c r="G285" s="217">
        <v>1</v>
      </c>
      <c r="H285" s="218" t="e">
        <f t="shared" si="49"/>
        <v>#VALUE!</v>
      </c>
      <c r="I285" s="219">
        <f>'TECH DATA ENTRY'!Q313</f>
        <v>1E-3</v>
      </c>
      <c r="J285" s="219" t="str">
        <f>'TECH DATA ENTRY'!$G$26</f>
        <v>Digital</v>
      </c>
      <c r="K285" s="217">
        <v>1</v>
      </c>
      <c r="L285" s="218">
        <f t="shared" si="59"/>
        <v>2.886751345948129E-4</v>
      </c>
      <c r="M285" s="219">
        <f>'TECH DATA ENTRY'!R313</f>
        <v>0</v>
      </c>
      <c r="N285" s="219" t="str">
        <f>'TECH DATA ENTRY'!$G$26</f>
        <v>Digital</v>
      </c>
      <c r="O285" s="217">
        <v>1</v>
      </c>
      <c r="P285" s="218">
        <f t="shared" si="50"/>
        <v>0</v>
      </c>
      <c r="Q285" s="220">
        <f>'TECH DATA ENTRY'!S313</f>
        <v>0.124488</v>
      </c>
      <c r="R285" s="217">
        <v>1</v>
      </c>
      <c r="S285" s="218">
        <f t="shared" si="51"/>
        <v>6.2244000000000001E-2</v>
      </c>
      <c r="T285" s="220">
        <f>'TECH DATA ENTRY'!T313</f>
        <v>0</v>
      </c>
      <c r="U285" s="217">
        <v>1</v>
      </c>
      <c r="V285" s="218">
        <f t="shared" si="52"/>
        <v>0</v>
      </c>
      <c r="W285" s="220">
        <f>'TECH DATA ENTRY'!U313</f>
        <v>0</v>
      </c>
      <c r="X285" s="217">
        <v>1</v>
      </c>
      <c r="Y285" s="218">
        <f t="shared" si="53"/>
        <v>0</v>
      </c>
      <c r="Z285" s="220">
        <f>'TECH DATA ENTRY'!V313</f>
        <v>0</v>
      </c>
      <c r="AA285" s="217">
        <v>1</v>
      </c>
      <c r="AB285" s="218">
        <f t="shared" si="54"/>
        <v>0</v>
      </c>
      <c r="AC285" s="220">
        <f>'TECH DATA ENTRY'!W313</f>
        <v>0</v>
      </c>
      <c r="AD285" s="217">
        <v>1</v>
      </c>
      <c r="AE285" s="218">
        <f t="shared" si="55"/>
        <v>0</v>
      </c>
      <c r="AF285" s="220">
        <f>'TECH DATA ENTRY'!X313</f>
        <v>0</v>
      </c>
      <c r="AG285" s="217">
        <v>1</v>
      </c>
      <c r="AH285" s="218">
        <f t="shared" si="56"/>
        <v>0</v>
      </c>
      <c r="AI285" s="219" t="e">
        <f t="shared" si="57"/>
        <v>#VALUE!</v>
      </c>
      <c r="AJ285" s="221" t="str">
        <f>'TECH DATA ENTRY'!K313</f>
        <v/>
      </c>
      <c r="AK285" s="222" t="e">
        <f t="shared" si="58"/>
        <v>#VALUE!</v>
      </c>
      <c r="AL285" s="222" t="e">
        <f>VLOOKUP(AK285,'AUX TABLES'!A$2:B$29,2)</f>
        <v>#VALUE!</v>
      </c>
      <c r="AM285" s="223" t="str">
        <f>IF(OR(ISTEXT(B285)=TRUE,ISTEXT('TECH DATA ENTRY'!L313)=TRUE), "NA",AL285*AI285)</f>
        <v>NA</v>
      </c>
      <c r="AN285" s="79"/>
    </row>
    <row r="286" spans="1:40" s="80" customFormat="1" ht="20.149999999999999" customHeight="1">
      <c r="A286" s="216"/>
      <c r="B286" s="249">
        <f>'TECH DATA ENTRY'!B314</f>
        <v>329</v>
      </c>
      <c r="C286" s="217" t="str">
        <f>'TECH DATA ENTRY'!O314</f>
        <v/>
      </c>
      <c r="D286" s="217">
        <v>1</v>
      </c>
      <c r="E286" s="218" t="e">
        <f t="shared" si="48"/>
        <v>#VALUE!</v>
      </c>
      <c r="F286" s="217">
        <f>'TECH DATA ENTRY'!P314</f>
        <v>0</v>
      </c>
      <c r="G286" s="217">
        <v>1</v>
      </c>
      <c r="H286" s="218" t="e">
        <f t="shared" si="49"/>
        <v>#VALUE!</v>
      </c>
      <c r="I286" s="219">
        <f>'TECH DATA ENTRY'!Q314</f>
        <v>1E-3</v>
      </c>
      <c r="J286" s="219" t="str">
        <f>'TECH DATA ENTRY'!$G$26</f>
        <v>Digital</v>
      </c>
      <c r="K286" s="217">
        <v>1</v>
      </c>
      <c r="L286" s="218">
        <f t="shared" si="59"/>
        <v>2.886751345948129E-4</v>
      </c>
      <c r="M286" s="219">
        <f>'TECH DATA ENTRY'!R314</f>
        <v>0</v>
      </c>
      <c r="N286" s="219" t="str">
        <f>'TECH DATA ENTRY'!$G$26</f>
        <v>Digital</v>
      </c>
      <c r="O286" s="217">
        <v>1</v>
      </c>
      <c r="P286" s="218">
        <f t="shared" si="50"/>
        <v>0</v>
      </c>
      <c r="Q286" s="220">
        <f>'TECH DATA ENTRY'!S314</f>
        <v>0.22508899999999998</v>
      </c>
      <c r="R286" s="217">
        <v>1</v>
      </c>
      <c r="S286" s="218">
        <f t="shared" si="51"/>
        <v>0.11254449999999999</v>
      </c>
      <c r="T286" s="220">
        <f>'TECH DATA ENTRY'!T314</f>
        <v>0</v>
      </c>
      <c r="U286" s="217">
        <v>1</v>
      </c>
      <c r="V286" s="218">
        <f t="shared" si="52"/>
        <v>0</v>
      </c>
      <c r="W286" s="220">
        <f>'TECH DATA ENTRY'!U314</f>
        <v>0</v>
      </c>
      <c r="X286" s="217">
        <v>1</v>
      </c>
      <c r="Y286" s="218">
        <f t="shared" si="53"/>
        <v>0</v>
      </c>
      <c r="Z286" s="220">
        <f>'TECH DATA ENTRY'!V314</f>
        <v>0</v>
      </c>
      <c r="AA286" s="217">
        <v>1</v>
      </c>
      <c r="AB286" s="218">
        <f t="shared" si="54"/>
        <v>0</v>
      </c>
      <c r="AC286" s="220">
        <f>'TECH DATA ENTRY'!W314</f>
        <v>0</v>
      </c>
      <c r="AD286" s="217">
        <v>1</v>
      </c>
      <c r="AE286" s="218">
        <f t="shared" si="55"/>
        <v>0</v>
      </c>
      <c r="AF286" s="220">
        <f>'TECH DATA ENTRY'!X314</f>
        <v>0</v>
      </c>
      <c r="AG286" s="217">
        <v>1</v>
      </c>
      <c r="AH286" s="218">
        <f t="shared" si="56"/>
        <v>0</v>
      </c>
      <c r="AI286" s="219" t="e">
        <f t="shared" si="57"/>
        <v>#VALUE!</v>
      </c>
      <c r="AJ286" s="221" t="str">
        <f>'TECH DATA ENTRY'!K314</f>
        <v/>
      </c>
      <c r="AK286" s="222" t="e">
        <f t="shared" si="58"/>
        <v>#VALUE!</v>
      </c>
      <c r="AL286" s="222" t="e">
        <f>VLOOKUP(AK286,'AUX TABLES'!A$2:B$29,2)</f>
        <v>#VALUE!</v>
      </c>
      <c r="AM286" s="223" t="str">
        <f>IF(OR(ISTEXT(B286)=TRUE,ISTEXT('TECH DATA ENTRY'!L314)=TRUE), "NA",AL286*AI286)</f>
        <v>NA</v>
      </c>
      <c r="AN286" s="79"/>
    </row>
    <row r="287" spans="1:40" s="80" customFormat="1" ht="20.149999999999999" customHeight="1">
      <c r="A287" s="216"/>
      <c r="B287" s="249">
        <f>'TECH DATA ENTRY'!B315</f>
        <v>329</v>
      </c>
      <c r="C287" s="217" t="str">
        <f>'TECH DATA ENTRY'!O315</f>
        <v/>
      </c>
      <c r="D287" s="217">
        <v>1</v>
      </c>
      <c r="E287" s="218" t="e">
        <f t="shared" si="48"/>
        <v>#VALUE!</v>
      </c>
      <c r="F287" s="217">
        <f>'TECH DATA ENTRY'!P315</f>
        <v>0</v>
      </c>
      <c r="G287" s="217">
        <v>1</v>
      </c>
      <c r="H287" s="218" t="e">
        <f t="shared" si="49"/>
        <v>#VALUE!</v>
      </c>
      <c r="I287" s="219">
        <f>'TECH DATA ENTRY'!Q315</f>
        <v>1E-3</v>
      </c>
      <c r="J287" s="219" t="str">
        <f>'TECH DATA ENTRY'!$G$26</f>
        <v>Digital</v>
      </c>
      <c r="K287" s="217">
        <v>1</v>
      </c>
      <c r="L287" s="218">
        <f t="shared" si="59"/>
        <v>2.886751345948129E-4</v>
      </c>
      <c r="M287" s="219">
        <f>'TECH DATA ENTRY'!R315</f>
        <v>0</v>
      </c>
      <c r="N287" s="219" t="str">
        <f>'TECH DATA ENTRY'!$G$26</f>
        <v>Digital</v>
      </c>
      <c r="O287" s="217">
        <v>1</v>
      </c>
      <c r="P287" s="218">
        <f t="shared" si="50"/>
        <v>0</v>
      </c>
      <c r="Q287" s="220">
        <f>'TECH DATA ENTRY'!S315</f>
        <v>2.3972000000000002</v>
      </c>
      <c r="R287" s="217">
        <v>1</v>
      </c>
      <c r="S287" s="218">
        <f t="shared" si="51"/>
        <v>1.1986000000000001</v>
      </c>
      <c r="T287" s="220">
        <f>'TECH DATA ENTRY'!T315</f>
        <v>0</v>
      </c>
      <c r="U287" s="217">
        <v>1</v>
      </c>
      <c r="V287" s="218">
        <f t="shared" si="52"/>
        <v>0</v>
      </c>
      <c r="W287" s="220">
        <f>'TECH DATA ENTRY'!U315</f>
        <v>0</v>
      </c>
      <c r="X287" s="217">
        <v>1</v>
      </c>
      <c r="Y287" s="218">
        <f t="shared" si="53"/>
        <v>0</v>
      </c>
      <c r="Z287" s="220">
        <f>'TECH DATA ENTRY'!V315</f>
        <v>0</v>
      </c>
      <c r="AA287" s="217">
        <v>1</v>
      </c>
      <c r="AB287" s="218">
        <f t="shared" si="54"/>
        <v>0</v>
      </c>
      <c r="AC287" s="220">
        <f>'TECH DATA ENTRY'!W315</f>
        <v>0</v>
      </c>
      <c r="AD287" s="217">
        <v>1</v>
      </c>
      <c r="AE287" s="218">
        <f t="shared" si="55"/>
        <v>0</v>
      </c>
      <c r="AF287" s="220">
        <f>'TECH DATA ENTRY'!X315</f>
        <v>0</v>
      </c>
      <c r="AG287" s="217">
        <v>1</v>
      </c>
      <c r="AH287" s="218">
        <f t="shared" si="56"/>
        <v>0</v>
      </c>
      <c r="AI287" s="219" t="e">
        <f t="shared" si="57"/>
        <v>#VALUE!</v>
      </c>
      <c r="AJ287" s="221" t="str">
        <f>'TECH DATA ENTRY'!K315</f>
        <v/>
      </c>
      <c r="AK287" s="222" t="e">
        <f t="shared" si="58"/>
        <v>#VALUE!</v>
      </c>
      <c r="AL287" s="222" t="e">
        <f>VLOOKUP(AK287,'AUX TABLES'!A$2:B$29,2)</f>
        <v>#VALUE!</v>
      </c>
      <c r="AM287" s="223" t="str">
        <f>IF(OR(ISTEXT(B287)=TRUE,ISTEXT('TECH DATA ENTRY'!L315)=TRUE), "NA",AL287*AI287)</f>
        <v>NA</v>
      </c>
      <c r="AN287" s="79"/>
    </row>
    <row r="288" spans="1:40" s="80" customFormat="1" ht="20.149999999999999" customHeight="1">
      <c r="A288" s="216"/>
      <c r="B288" s="249">
        <f>'TECH DATA ENTRY'!B316</f>
        <v>0</v>
      </c>
      <c r="C288" s="217">
        <f>'TECH DATA ENTRY'!O316</f>
        <v>0</v>
      </c>
      <c r="D288" s="217">
        <v>1</v>
      </c>
      <c r="E288" s="218" t="e">
        <f t="shared" si="48"/>
        <v>#DIV/0!</v>
      </c>
      <c r="F288" s="217">
        <f>'TECH DATA ENTRY'!P316</f>
        <v>0</v>
      </c>
      <c r="G288" s="217">
        <v>1</v>
      </c>
      <c r="H288" s="218" t="e">
        <f t="shared" si="49"/>
        <v>#DIV/0!</v>
      </c>
      <c r="I288" s="219">
        <f>'TECH DATA ENTRY'!Q316</f>
        <v>0</v>
      </c>
      <c r="J288" s="219" t="str">
        <f>'TECH DATA ENTRY'!$G$26</f>
        <v>Digital</v>
      </c>
      <c r="K288" s="217">
        <v>1</v>
      </c>
      <c r="L288" s="218">
        <f t="shared" si="59"/>
        <v>0</v>
      </c>
      <c r="M288" s="219">
        <f>'TECH DATA ENTRY'!R316</f>
        <v>0</v>
      </c>
      <c r="N288" s="219" t="str">
        <f>'TECH DATA ENTRY'!$G$26</f>
        <v>Digital</v>
      </c>
      <c r="O288" s="217">
        <v>1</v>
      </c>
      <c r="P288" s="218">
        <f t="shared" si="50"/>
        <v>0</v>
      </c>
      <c r="Q288" s="220">
        <f>'TECH DATA ENTRY'!S316</f>
        <v>0</v>
      </c>
      <c r="R288" s="217">
        <v>1</v>
      </c>
      <c r="S288" s="218">
        <f t="shared" si="51"/>
        <v>0</v>
      </c>
      <c r="T288" s="220">
        <f>'TECH DATA ENTRY'!T316</f>
        <v>0</v>
      </c>
      <c r="U288" s="217">
        <v>1</v>
      </c>
      <c r="V288" s="218">
        <f t="shared" si="52"/>
        <v>0</v>
      </c>
      <c r="W288" s="220">
        <f>'TECH DATA ENTRY'!U316</f>
        <v>0</v>
      </c>
      <c r="X288" s="217">
        <v>1</v>
      </c>
      <c r="Y288" s="218">
        <f t="shared" si="53"/>
        <v>0</v>
      </c>
      <c r="Z288" s="220">
        <f>'TECH DATA ENTRY'!V316</f>
        <v>0</v>
      </c>
      <c r="AA288" s="217">
        <v>1</v>
      </c>
      <c r="AB288" s="218">
        <f t="shared" si="54"/>
        <v>0</v>
      </c>
      <c r="AC288" s="220">
        <f>'TECH DATA ENTRY'!W316</f>
        <v>0</v>
      </c>
      <c r="AD288" s="217">
        <v>1</v>
      </c>
      <c r="AE288" s="218">
        <f t="shared" si="55"/>
        <v>0</v>
      </c>
      <c r="AF288" s="220">
        <f>'TECH DATA ENTRY'!X316</f>
        <v>0</v>
      </c>
      <c r="AG288" s="217">
        <v>1</v>
      </c>
      <c r="AH288" s="218">
        <f t="shared" si="56"/>
        <v>0</v>
      </c>
      <c r="AI288" s="219" t="e">
        <f t="shared" si="57"/>
        <v>#DIV/0!</v>
      </c>
      <c r="AJ288" s="221">
        <f>'TECH DATA ENTRY'!K316</f>
        <v>0</v>
      </c>
      <c r="AK288" s="222" t="e">
        <f t="shared" si="58"/>
        <v>#DIV/0!</v>
      </c>
      <c r="AL288" s="222" t="e">
        <f>VLOOKUP(AK288,'AUX TABLES'!A$2:B$29,2)</f>
        <v>#DIV/0!</v>
      </c>
      <c r="AM288" s="223" t="e">
        <f>IF(OR(ISTEXT(B288)=TRUE,ISTEXT('TECH DATA ENTRY'!L316)=TRUE), "NA",AL288*AI288)</f>
        <v>#DIV/0!</v>
      </c>
      <c r="AN288" s="79"/>
    </row>
    <row r="289" spans="1:40" s="80" customFormat="1" ht="20.149999999999999" customHeight="1">
      <c r="A289" s="216"/>
      <c r="B289" s="249">
        <f>'TECH DATA ENTRY'!B317</f>
        <v>0</v>
      </c>
      <c r="C289" s="217">
        <f>'TECH DATA ENTRY'!O317</f>
        <v>0</v>
      </c>
      <c r="D289" s="217">
        <v>1</v>
      </c>
      <c r="E289" s="218" t="e">
        <f t="shared" si="48"/>
        <v>#DIV/0!</v>
      </c>
      <c r="F289" s="217">
        <f>'TECH DATA ENTRY'!P317</f>
        <v>0</v>
      </c>
      <c r="G289" s="217">
        <v>1</v>
      </c>
      <c r="H289" s="218" t="e">
        <f t="shared" si="49"/>
        <v>#DIV/0!</v>
      </c>
      <c r="I289" s="219">
        <f>'TECH DATA ENTRY'!Q317</f>
        <v>0</v>
      </c>
      <c r="J289" s="219" t="str">
        <f>'TECH DATA ENTRY'!$G$26</f>
        <v>Digital</v>
      </c>
      <c r="K289" s="217">
        <v>1</v>
      </c>
      <c r="L289" s="218">
        <f t="shared" si="59"/>
        <v>0</v>
      </c>
      <c r="M289" s="219">
        <f>'TECH DATA ENTRY'!R317</f>
        <v>0</v>
      </c>
      <c r="N289" s="219" t="str">
        <f>'TECH DATA ENTRY'!$G$26</f>
        <v>Digital</v>
      </c>
      <c r="O289" s="217">
        <v>1</v>
      </c>
      <c r="P289" s="218">
        <f t="shared" si="50"/>
        <v>0</v>
      </c>
      <c r="Q289" s="220">
        <f>'TECH DATA ENTRY'!S317</f>
        <v>0</v>
      </c>
      <c r="R289" s="217">
        <v>1</v>
      </c>
      <c r="S289" s="218">
        <f t="shared" si="51"/>
        <v>0</v>
      </c>
      <c r="T289" s="220">
        <f>'TECH DATA ENTRY'!T317</f>
        <v>0</v>
      </c>
      <c r="U289" s="217">
        <v>1</v>
      </c>
      <c r="V289" s="218">
        <f t="shared" si="52"/>
        <v>0</v>
      </c>
      <c r="W289" s="220">
        <f>'TECH DATA ENTRY'!U317</f>
        <v>0</v>
      </c>
      <c r="X289" s="217">
        <v>1</v>
      </c>
      <c r="Y289" s="218">
        <f t="shared" si="53"/>
        <v>0</v>
      </c>
      <c r="Z289" s="220">
        <f>'TECH DATA ENTRY'!V317</f>
        <v>0</v>
      </c>
      <c r="AA289" s="217">
        <v>1</v>
      </c>
      <c r="AB289" s="218">
        <f t="shared" si="54"/>
        <v>0</v>
      </c>
      <c r="AC289" s="220">
        <f>'TECH DATA ENTRY'!W317</f>
        <v>0</v>
      </c>
      <c r="AD289" s="217">
        <v>1</v>
      </c>
      <c r="AE289" s="218">
        <f t="shared" si="55"/>
        <v>0</v>
      </c>
      <c r="AF289" s="220">
        <f>'TECH DATA ENTRY'!X317</f>
        <v>0</v>
      </c>
      <c r="AG289" s="217">
        <v>1</v>
      </c>
      <c r="AH289" s="218">
        <f t="shared" si="56"/>
        <v>0</v>
      </c>
      <c r="AI289" s="219" t="e">
        <f t="shared" si="57"/>
        <v>#DIV/0!</v>
      </c>
      <c r="AJ289" s="221">
        <f>'TECH DATA ENTRY'!K317</f>
        <v>0</v>
      </c>
      <c r="AK289" s="222" t="e">
        <f t="shared" si="58"/>
        <v>#DIV/0!</v>
      </c>
      <c r="AL289" s="222" t="e">
        <f>VLOOKUP(AK289,'AUX TABLES'!A$2:B$29,2)</f>
        <v>#DIV/0!</v>
      </c>
      <c r="AM289" s="223" t="e">
        <f>IF(OR(ISTEXT(B289)=TRUE,ISTEXT('TECH DATA ENTRY'!L317)=TRUE), "NA",AL289*AI289)</f>
        <v>#DIV/0!</v>
      </c>
      <c r="AN289" s="79"/>
    </row>
    <row r="290" spans="1:40" s="80" customFormat="1" ht="20.149999999999999" customHeight="1">
      <c r="A290" s="216"/>
      <c r="B290" s="249">
        <f>'TECH DATA ENTRY'!B318</f>
        <v>0</v>
      </c>
      <c r="C290" s="217">
        <f>'TECH DATA ENTRY'!O318</f>
        <v>0</v>
      </c>
      <c r="D290" s="217">
        <v>1</v>
      </c>
      <c r="E290" s="218" t="e">
        <f t="shared" si="48"/>
        <v>#DIV/0!</v>
      </c>
      <c r="F290" s="217">
        <f>'TECH DATA ENTRY'!P318</f>
        <v>0</v>
      </c>
      <c r="G290" s="217">
        <v>1</v>
      </c>
      <c r="H290" s="218" t="e">
        <f t="shared" si="49"/>
        <v>#DIV/0!</v>
      </c>
      <c r="I290" s="219">
        <f>'TECH DATA ENTRY'!Q318</f>
        <v>0</v>
      </c>
      <c r="J290" s="219" t="str">
        <f>'TECH DATA ENTRY'!$G$26</f>
        <v>Digital</v>
      </c>
      <c r="K290" s="217">
        <v>1</v>
      </c>
      <c r="L290" s="218">
        <f t="shared" si="59"/>
        <v>0</v>
      </c>
      <c r="M290" s="219">
        <f>'TECH DATA ENTRY'!R318</f>
        <v>0</v>
      </c>
      <c r="N290" s="219" t="str">
        <f>'TECH DATA ENTRY'!$G$26</f>
        <v>Digital</v>
      </c>
      <c r="O290" s="217">
        <v>1</v>
      </c>
      <c r="P290" s="218">
        <f t="shared" si="50"/>
        <v>0</v>
      </c>
      <c r="Q290" s="220">
        <f>'TECH DATA ENTRY'!S318</f>
        <v>0</v>
      </c>
      <c r="R290" s="217">
        <v>1</v>
      </c>
      <c r="S290" s="218">
        <f t="shared" si="51"/>
        <v>0</v>
      </c>
      <c r="T290" s="220">
        <f>'TECH DATA ENTRY'!T318</f>
        <v>0</v>
      </c>
      <c r="U290" s="217">
        <v>1</v>
      </c>
      <c r="V290" s="218">
        <f t="shared" si="52"/>
        <v>0</v>
      </c>
      <c r="W290" s="220">
        <f>'TECH DATA ENTRY'!U318</f>
        <v>0</v>
      </c>
      <c r="X290" s="217">
        <v>1</v>
      </c>
      <c r="Y290" s="218">
        <f t="shared" si="53"/>
        <v>0</v>
      </c>
      <c r="Z290" s="220">
        <f>'TECH DATA ENTRY'!V318</f>
        <v>0</v>
      </c>
      <c r="AA290" s="217">
        <v>1</v>
      </c>
      <c r="AB290" s="218">
        <f t="shared" si="54"/>
        <v>0</v>
      </c>
      <c r="AC290" s="220">
        <f>'TECH DATA ENTRY'!W318</f>
        <v>0</v>
      </c>
      <c r="AD290" s="217">
        <v>1</v>
      </c>
      <c r="AE290" s="218">
        <f t="shared" si="55"/>
        <v>0</v>
      </c>
      <c r="AF290" s="220">
        <f>'TECH DATA ENTRY'!X318</f>
        <v>0</v>
      </c>
      <c r="AG290" s="217">
        <v>1</v>
      </c>
      <c r="AH290" s="218">
        <f t="shared" si="56"/>
        <v>0</v>
      </c>
      <c r="AI290" s="219" t="e">
        <f t="shared" si="57"/>
        <v>#DIV/0!</v>
      </c>
      <c r="AJ290" s="221">
        <f>'TECH DATA ENTRY'!K318</f>
        <v>0</v>
      </c>
      <c r="AK290" s="222" t="e">
        <f t="shared" si="58"/>
        <v>#DIV/0!</v>
      </c>
      <c r="AL290" s="222" t="e">
        <f>VLOOKUP(AK290,'AUX TABLES'!A$2:B$29,2)</f>
        <v>#DIV/0!</v>
      </c>
      <c r="AM290" s="223" t="e">
        <f>IF(OR(ISTEXT(B290)=TRUE,ISTEXT('TECH DATA ENTRY'!L318)=TRUE), "NA",AL290*AI290)</f>
        <v>#DIV/0!</v>
      </c>
      <c r="AN290" s="79"/>
    </row>
    <row r="291" spans="1:40" s="80" customFormat="1" ht="20.149999999999999" customHeight="1">
      <c r="A291" s="216"/>
      <c r="B291" s="249" t="str">
        <f>'TECH DATA ENTRY'!B319</f>
        <v>Nominal</v>
      </c>
      <c r="C291" s="217" t="str">
        <f>'TECH DATA ENTRY'!O319</f>
        <v>Uncertainty Components</v>
      </c>
      <c r="D291" s="217">
        <v>1</v>
      </c>
      <c r="E291" s="218" t="e">
        <f t="shared" si="48"/>
        <v>#VALUE!</v>
      </c>
      <c r="F291" s="217">
        <f>'TECH DATA ENTRY'!P319</f>
        <v>0</v>
      </c>
      <c r="G291" s="217">
        <v>1</v>
      </c>
      <c r="H291" s="218" t="e">
        <f t="shared" si="49"/>
        <v>#VALUE!</v>
      </c>
      <c r="I291" s="219">
        <f>'TECH DATA ENTRY'!Q319</f>
        <v>0</v>
      </c>
      <c r="J291" s="219" t="str">
        <f>'TECH DATA ENTRY'!$G$26</f>
        <v>Digital</v>
      </c>
      <c r="K291" s="217">
        <v>1</v>
      </c>
      <c r="L291" s="218">
        <f t="shared" si="59"/>
        <v>0</v>
      </c>
      <c r="M291" s="219">
        <f>'TECH DATA ENTRY'!R319</f>
        <v>0</v>
      </c>
      <c r="N291" s="219" t="str">
        <f>'TECH DATA ENTRY'!$G$26</f>
        <v>Digital</v>
      </c>
      <c r="O291" s="217">
        <v>1</v>
      </c>
      <c r="P291" s="218">
        <f t="shared" si="50"/>
        <v>0</v>
      </c>
      <c r="Q291" s="220">
        <f>'TECH DATA ENTRY'!S319</f>
        <v>0</v>
      </c>
      <c r="R291" s="217">
        <v>1</v>
      </c>
      <c r="S291" s="218">
        <f t="shared" si="51"/>
        <v>0</v>
      </c>
      <c r="T291" s="220">
        <f>'TECH DATA ENTRY'!T319</f>
        <v>0</v>
      </c>
      <c r="U291" s="217">
        <v>1</v>
      </c>
      <c r="V291" s="218">
        <f t="shared" si="52"/>
        <v>0</v>
      </c>
      <c r="W291" s="220">
        <f>'TECH DATA ENTRY'!U319</f>
        <v>0</v>
      </c>
      <c r="X291" s="217">
        <v>1</v>
      </c>
      <c r="Y291" s="218">
        <f t="shared" si="53"/>
        <v>0</v>
      </c>
      <c r="Z291" s="220">
        <f>'TECH DATA ENTRY'!V319</f>
        <v>0</v>
      </c>
      <c r="AA291" s="217">
        <v>1</v>
      </c>
      <c r="AB291" s="218">
        <f t="shared" si="54"/>
        <v>0</v>
      </c>
      <c r="AC291" s="220">
        <f>'TECH DATA ENTRY'!W319</f>
        <v>0</v>
      </c>
      <c r="AD291" s="217">
        <v>1</v>
      </c>
      <c r="AE291" s="218">
        <f t="shared" si="55"/>
        <v>0</v>
      </c>
      <c r="AF291" s="220">
        <f>'TECH DATA ENTRY'!X319</f>
        <v>0</v>
      </c>
      <c r="AG291" s="217">
        <v>1</v>
      </c>
      <c r="AH291" s="218">
        <f t="shared" si="56"/>
        <v>0</v>
      </c>
      <c r="AI291" s="219" t="e">
        <f t="shared" si="57"/>
        <v>#VALUE!</v>
      </c>
      <c r="AJ291" s="221" t="str">
        <f>'TECH DATA ENTRY'!K319</f>
        <v>n</v>
      </c>
      <c r="AK291" s="222" t="e">
        <f t="shared" si="58"/>
        <v>#VALUE!</v>
      </c>
      <c r="AL291" s="222" t="e">
        <f>VLOOKUP(AK291,'AUX TABLES'!A$2:B$29,2)</f>
        <v>#VALUE!</v>
      </c>
      <c r="AM291" s="223" t="str">
        <f>IF(OR(ISTEXT(B291)=TRUE,ISTEXT('TECH DATA ENTRY'!L319)=TRUE), "NA",AL291*AI291)</f>
        <v>NA</v>
      </c>
      <c r="AN291" s="79"/>
    </row>
    <row r="292" spans="1:40" s="80" customFormat="1" ht="20.149999999999999" customHeight="1">
      <c r="A292" s="216"/>
      <c r="B292" s="249">
        <f>'TECH DATA ENTRY'!B320</f>
        <v>0</v>
      </c>
      <c r="C292" s="217" t="str">
        <f>'TECH DATA ENTRY'!O320</f>
        <v>Stdev 1</v>
      </c>
      <c r="D292" s="217">
        <v>1</v>
      </c>
      <c r="E292" s="218" t="e">
        <f t="shared" si="48"/>
        <v>#VALUE!</v>
      </c>
      <c r="F292" s="217" t="str">
        <f>'TECH DATA ENTRY'!P320</f>
        <v>Stdev 2</v>
      </c>
      <c r="G292" s="217">
        <v>1</v>
      </c>
      <c r="H292" s="218" t="e">
        <f t="shared" si="49"/>
        <v>#VALUE!</v>
      </c>
      <c r="I292" s="219" t="str">
        <f>'TECH DATA ENTRY'!Q320</f>
        <v>Resolution 1</v>
      </c>
      <c r="J292" s="219" t="str">
        <f>'TECH DATA ENTRY'!$G$26</f>
        <v>Digital</v>
      </c>
      <c r="K292" s="217">
        <v>1</v>
      </c>
      <c r="L292" s="218" t="e">
        <f t="shared" si="59"/>
        <v>#VALUE!</v>
      </c>
      <c r="M292" s="219" t="str">
        <f>'TECH DATA ENTRY'!R320</f>
        <v>Resolution 2</v>
      </c>
      <c r="N292" s="219" t="str">
        <f>'TECH DATA ENTRY'!$G$26</f>
        <v>Digital</v>
      </c>
      <c r="O292" s="217">
        <v>1</v>
      </c>
      <c r="P292" s="218" t="e">
        <f t="shared" si="50"/>
        <v>#VALUE!</v>
      </c>
      <c r="Q292" s="220" t="str">
        <f>'TECH DATA ENTRY'!S320</f>
        <v>Scope Uncertainty</v>
      </c>
      <c r="R292" s="217">
        <v>1</v>
      </c>
      <c r="S292" s="218" t="e">
        <f t="shared" si="51"/>
        <v>#VALUE!</v>
      </c>
      <c r="T292" s="220" t="str">
        <f>'TECH DATA ENTRY'!T320</f>
        <v>STD 2 Cal Unc</v>
      </c>
      <c r="U292" s="217">
        <v>1</v>
      </c>
      <c r="V292" s="218" t="e">
        <f t="shared" si="52"/>
        <v>#VALUE!</v>
      </c>
      <c r="W292" s="220" t="str">
        <f>'TECH DATA ENTRY'!U320</f>
        <v>Others 1</v>
      </c>
      <c r="X292" s="217">
        <v>1</v>
      </c>
      <c r="Y292" s="218" t="e">
        <f t="shared" si="53"/>
        <v>#VALUE!</v>
      </c>
      <c r="Z292" s="220" t="str">
        <f>'TECH DATA ENTRY'!V320</f>
        <v>Others 2</v>
      </c>
      <c r="AA292" s="217">
        <v>1</v>
      </c>
      <c r="AB292" s="218" t="e">
        <f t="shared" si="54"/>
        <v>#VALUE!</v>
      </c>
      <c r="AC292" s="220" t="str">
        <f>'TECH DATA ENTRY'!W320</f>
        <v>Others 3</v>
      </c>
      <c r="AD292" s="217">
        <v>1</v>
      </c>
      <c r="AE292" s="218" t="e">
        <f t="shared" si="55"/>
        <v>#VALUE!</v>
      </c>
      <c r="AF292" s="220" t="str">
        <f>'TECH DATA ENTRY'!X320</f>
        <v>Others 4</v>
      </c>
      <c r="AG292" s="217">
        <v>1</v>
      </c>
      <c r="AH292" s="218" t="e">
        <f t="shared" si="56"/>
        <v>#VALUE!</v>
      </c>
      <c r="AI292" s="219" t="e">
        <f t="shared" si="57"/>
        <v>#VALUE!</v>
      </c>
      <c r="AJ292" s="221">
        <f>'TECH DATA ENTRY'!K320</f>
        <v>0</v>
      </c>
      <c r="AK292" s="222" t="e">
        <f t="shared" si="58"/>
        <v>#VALUE!</v>
      </c>
      <c r="AL292" s="222" t="e">
        <f>VLOOKUP(AK292,'AUX TABLES'!A$2:B$29,2)</f>
        <v>#VALUE!</v>
      </c>
      <c r="AM292" s="223" t="e">
        <f>IF(OR(ISTEXT(B292)=TRUE,ISTEXT('TECH DATA ENTRY'!L320)=TRUE), "NA",AL292*AI292)</f>
        <v>#VALUE!</v>
      </c>
      <c r="AN292" s="79"/>
    </row>
    <row r="293" spans="1:40" s="80" customFormat="1" ht="20.149999999999999" customHeight="1">
      <c r="A293" s="216"/>
      <c r="B293" s="249">
        <f>'TECH DATA ENTRY'!B321</f>
        <v>1</v>
      </c>
      <c r="C293" s="217" t="str">
        <f>'TECH DATA ENTRY'!O321</f>
        <v/>
      </c>
      <c r="D293" s="217">
        <v>1</v>
      </c>
      <c r="E293" s="218" t="e">
        <f t="shared" si="48"/>
        <v>#VALUE!</v>
      </c>
      <c r="F293" s="217">
        <f>'TECH DATA ENTRY'!P321</f>
        <v>0</v>
      </c>
      <c r="G293" s="217">
        <v>1</v>
      </c>
      <c r="H293" s="218" t="e">
        <f t="shared" si="49"/>
        <v>#VALUE!</v>
      </c>
      <c r="I293" s="219">
        <f>'TECH DATA ENTRY'!Q321</f>
        <v>9.9999999999999995E-7</v>
      </c>
      <c r="J293" s="219" t="str">
        <f>'TECH DATA ENTRY'!$G$26</f>
        <v>Digital</v>
      </c>
      <c r="K293" s="217">
        <v>1</v>
      </c>
      <c r="L293" s="218">
        <f t="shared" si="59"/>
        <v>2.8867513459481289E-7</v>
      </c>
      <c r="M293" s="219">
        <f>'TECH DATA ENTRY'!R321</f>
        <v>0</v>
      </c>
      <c r="N293" s="219" t="str">
        <f>'TECH DATA ENTRY'!$G$26</f>
        <v>Digital</v>
      </c>
      <c r="O293" s="217">
        <v>1</v>
      </c>
      <c r="P293" s="218">
        <f t="shared" si="50"/>
        <v>0</v>
      </c>
      <c r="Q293" s="220">
        <f>'TECH DATA ENTRY'!S321</f>
        <v>3.0699999999999998E-4</v>
      </c>
      <c r="R293" s="217">
        <v>1</v>
      </c>
      <c r="S293" s="218">
        <f t="shared" si="51"/>
        <v>1.5349999999999999E-4</v>
      </c>
      <c r="T293" s="220">
        <f>'TECH DATA ENTRY'!T321</f>
        <v>0</v>
      </c>
      <c r="U293" s="217">
        <v>1</v>
      </c>
      <c r="V293" s="218">
        <f t="shared" si="52"/>
        <v>0</v>
      </c>
      <c r="W293" s="220">
        <f>'TECH DATA ENTRY'!U321</f>
        <v>0</v>
      </c>
      <c r="X293" s="217">
        <v>1</v>
      </c>
      <c r="Y293" s="218">
        <f t="shared" si="53"/>
        <v>0</v>
      </c>
      <c r="Z293" s="220">
        <f>'TECH DATA ENTRY'!V321</f>
        <v>0</v>
      </c>
      <c r="AA293" s="217">
        <v>1</v>
      </c>
      <c r="AB293" s="218">
        <f t="shared" si="54"/>
        <v>0</v>
      </c>
      <c r="AC293" s="220">
        <f>'TECH DATA ENTRY'!W321</f>
        <v>0</v>
      </c>
      <c r="AD293" s="217">
        <v>1</v>
      </c>
      <c r="AE293" s="218">
        <f t="shared" si="55"/>
        <v>0</v>
      </c>
      <c r="AF293" s="220">
        <f>'TECH DATA ENTRY'!X321</f>
        <v>0</v>
      </c>
      <c r="AG293" s="217">
        <v>1</v>
      </c>
      <c r="AH293" s="218">
        <f t="shared" si="56"/>
        <v>0</v>
      </c>
      <c r="AI293" s="219" t="e">
        <f t="shared" si="57"/>
        <v>#VALUE!</v>
      </c>
      <c r="AJ293" s="221" t="str">
        <f>'TECH DATA ENTRY'!K321</f>
        <v/>
      </c>
      <c r="AK293" s="222" t="e">
        <f t="shared" si="58"/>
        <v>#VALUE!</v>
      </c>
      <c r="AL293" s="222" t="e">
        <f>VLOOKUP(AK293,'AUX TABLES'!A$2:B$29,2)</f>
        <v>#VALUE!</v>
      </c>
      <c r="AM293" s="223" t="str">
        <f>IF(OR(ISTEXT(B293)=TRUE,ISTEXT('TECH DATA ENTRY'!L321)=TRUE), "NA",AL293*AI293)</f>
        <v>NA</v>
      </c>
      <c r="AN293" s="79"/>
    </row>
    <row r="294" spans="1:40" s="80" customFormat="1" ht="20.149999999999999" customHeight="1">
      <c r="A294" s="216"/>
      <c r="B294" s="249">
        <f>'TECH DATA ENTRY'!B322</f>
        <v>1</v>
      </c>
      <c r="C294" s="217" t="str">
        <f>'TECH DATA ENTRY'!O322</f>
        <v/>
      </c>
      <c r="D294" s="217">
        <v>1</v>
      </c>
      <c r="E294" s="218" t="e">
        <f t="shared" si="48"/>
        <v>#VALUE!</v>
      </c>
      <c r="F294" s="217">
        <f>'TECH DATA ENTRY'!P322</f>
        <v>0</v>
      </c>
      <c r="G294" s="217">
        <v>1</v>
      </c>
      <c r="H294" s="218" t="e">
        <f t="shared" si="49"/>
        <v>#VALUE!</v>
      </c>
      <c r="I294" s="219">
        <f>'TECH DATA ENTRY'!Q322</f>
        <v>9.9999999999999995E-7</v>
      </c>
      <c r="J294" s="219" t="str">
        <f>'TECH DATA ENTRY'!$G$26</f>
        <v>Digital</v>
      </c>
      <c r="K294" s="217">
        <v>1</v>
      </c>
      <c r="L294" s="218">
        <f t="shared" si="59"/>
        <v>2.8867513459481289E-7</v>
      </c>
      <c r="M294" s="219">
        <f>'TECH DATA ENTRY'!R322</f>
        <v>0</v>
      </c>
      <c r="N294" s="219" t="str">
        <f>'TECH DATA ENTRY'!$G$26</f>
        <v>Digital</v>
      </c>
      <c r="O294" s="217">
        <v>1</v>
      </c>
      <c r="P294" s="218">
        <f t="shared" si="50"/>
        <v>0</v>
      </c>
      <c r="Q294" s="220">
        <f>'TECH DATA ENTRY'!S322</f>
        <v>3.0699999999999998E-4</v>
      </c>
      <c r="R294" s="217">
        <v>1</v>
      </c>
      <c r="S294" s="218">
        <f t="shared" si="51"/>
        <v>1.5349999999999999E-4</v>
      </c>
      <c r="T294" s="220">
        <f>'TECH DATA ENTRY'!T322</f>
        <v>0</v>
      </c>
      <c r="U294" s="217">
        <v>1</v>
      </c>
      <c r="V294" s="218">
        <f t="shared" si="52"/>
        <v>0</v>
      </c>
      <c r="W294" s="220">
        <f>'TECH DATA ENTRY'!U322</f>
        <v>0</v>
      </c>
      <c r="X294" s="217">
        <v>1</v>
      </c>
      <c r="Y294" s="218">
        <f t="shared" si="53"/>
        <v>0</v>
      </c>
      <c r="Z294" s="220">
        <f>'TECH DATA ENTRY'!V322</f>
        <v>0</v>
      </c>
      <c r="AA294" s="217">
        <v>1</v>
      </c>
      <c r="AB294" s="218">
        <f t="shared" si="54"/>
        <v>0</v>
      </c>
      <c r="AC294" s="220">
        <f>'TECH DATA ENTRY'!W322</f>
        <v>0</v>
      </c>
      <c r="AD294" s="217">
        <v>1</v>
      </c>
      <c r="AE294" s="218">
        <f t="shared" si="55"/>
        <v>0</v>
      </c>
      <c r="AF294" s="220">
        <f>'TECH DATA ENTRY'!X322</f>
        <v>0</v>
      </c>
      <c r="AG294" s="217">
        <v>1</v>
      </c>
      <c r="AH294" s="218">
        <f t="shared" si="56"/>
        <v>0</v>
      </c>
      <c r="AI294" s="219" t="e">
        <f t="shared" si="57"/>
        <v>#VALUE!</v>
      </c>
      <c r="AJ294" s="221" t="str">
        <f>'TECH DATA ENTRY'!K322</f>
        <v/>
      </c>
      <c r="AK294" s="222" t="e">
        <f t="shared" si="58"/>
        <v>#VALUE!</v>
      </c>
      <c r="AL294" s="222" t="e">
        <f>VLOOKUP(AK294,'AUX TABLES'!A$2:B$29,2)</f>
        <v>#VALUE!</v>
      </c>
      <c r="AM294" s="223" t="str">
        <f>IF(OR(ISTEXT(B294)=TRUE,ISTEXT('TECH DATA ENTRY'!L322)=TRUE), "NA",AL294*AI294)</f>
        <v>NA</v>
      </c>
      <c r="AN294" s="79"/>
    </row>
    <row r="295" spans="1:40" s="80" customFormat="1" ht="20.149999999999999" customHeight="1">
      <c r="A295" s="216"/>
      <c r="B295" s="249">
        <f>'TECH DATA ENTRY'!B323</f>
        <v>1</v>
      </c>
      <c r="C295" s="217" t="str">
        <f>'TECH DATA ENTRY'!O323</f>
        <v/>
      </c>
      <c r="D295" s="217">
        <v>1</v>
      </c>
      <c r="E295" s="218" t="e">
        <f t="shared" si="48"/>
        <v>#VALUE!</v>
      </c>
      <c r="F295" s="217">
        <f>'TECH DATA ENTRY'!P323</f>
        <v>0</v>
      </c>
      <c r="G295" s="217">
        <v>1</v>
      </c>
      <c r="H295" s="218" t="e">
        <f t="shared" si="49"/>
        <v>#VALUE!</v>
      </c>
      <c r="I295" s="219">
        <f>'TECH DATA ENTRY'!Q323</f>
        <v>9.9999999999999995E-7</v>
      </c>
      <c r="J295" s="219" t="str">
        <f>'TECH DATA ENTRY'!$G$26</f>
        <v>Digital</v>
      </c>
      <c r="K295" s="217">
        <v>1</v>
      </c>
      <c r="L295" s="218">
        <f t="shared" si="59"/>
        <v>2.8867513459481289E-7</v>
      </c>
      <c r="M295" s="219">
        <f>'TECH DATA ENTRY'!R323</f>
        <v>0</v>
      </c>
      <c r="N295" s="219" t="str">
        <f>'TECH DATA ENTRY'!$G$26</f>
        <v>Digital</v>
      </c>
      <c r="O295" s="217">
        <v>1</v>
      </c>
      <c r="P295" s="218">
        <f t="shared" si="50"/>
        <v>0</v>
      </c>
      <c r="Q295" s="220">
        <f>'TECH DATA ENTRY'!S323</f>
        <v>5.2099999999999998E-4</v>
      </c>
      <c r="R295" s="217">
        <v>1</v>
      </c>
      <c r="S295" s="218">
        <f t="shared" si="51"/>
        <v>2.6049999999999999E-4</v>
      </c>
      <c r="T295" s="220">
        <f>'TECH DATA ENTRY'!T323</f>
        <v>0</v>
      </c>
      <c r="U295" s="217">
        <v>1</v>
      </c>
      <c r="V295" s="218">
        <f t="shared" si="52"/>
        <v>0</v>
      </c>
      <c r="W295" s="220">
        <f>'TECH DATA ENTRY'!U323</f>
        <v>0</v>
      </c>
      <c r="X295" s="217">
        <v>1</v>
      </c>
      <c r="Y295" s="218">
        <f t="shared" si="53"/>
        <v>0</v>
      </c>
      <c r="Z295" s="220">
        <f>'TECH DATA ENTRY'!V323</f>
        <v>0</v>
      </c>
      <c r="AA295" s="217">
        <v>1</v>
      </c>
      <c r="AB295" s="218">
        <f t="shared" si="54"/>
        <v>0</v>
      </c>
      <c r="AC295" s="220">
        <f>'TECH DATA ENTRY'!W323</f>
        <v>0</v>
      </c>
      <c r="AD295" s="217">
        <v>1</v>
      </c>
      <c r="AE295" s="218">
        <f t="shared" si="55"/>
        <v>0</v>
      </c>
      <c r="AF295" s="220">
        <f>'TECH DATA ENTRY'!X323</f>
        <v>0</v>
      </c>
      <c r="AG295" s="217">
        <v>1</v>
      </c>
      <c r="AH295" s="218">
        <f t="shared" si="56"/>
        <v>0</v>
      </c>
      <c r="AI295" s="219" t="e">
        <f t="shared" si="57"/>
        <v>#VALUE!</v>
      </c>
      <c r="AJ295" s="221" t="str">
        <f>'TECH DATA ENTRY'!K323</f>
        <v/>
      </c>
      <c r="AK295" s="222" t="e">
        <f t="shared" si="58"/>
        <v>#VALUE!</v>
      </c>
      <c r="AL295" s="222" t="e">
        <f>VLOOKUP(AK295,'AUX TABLES'!A$2:B$29,2)</f>
        <v>#VALUE!</v>
      </c>
      <c r="AM295" s="223" t="str">
        <f>IF(OR(ISTEXT(B295)=TRUE,ISTEXT('TECH DATA ENTRY'!L323)=TRUE), "NA",AL295*AI295)</f>
        <v>NA</v>
      </c>
      <c r="AN295" s="79"/>
    </row>
    <row r="296" spans="1:40" s="80" customFormat="1" ht="20.149999999999999" customHeight="1">
      <c r="A296" s="216"/>
      <c r="B296" s="249">
        <f>'TECH DATA ENTRY'!B324</f>
        <v>1</v>
      </c>
      <c r="C296" s="217" t="str">
        <f>'TECH DATA ENTRY'!O324</f>
        <v/>
      </c>
      <c r="D296" s="217">
        <v>1</v>
      </c>
      <c r="E296" s="218" t="e">
        <f t="shared" si="48"/>
        <v>#VALUE!</v>
      </c>
      <c r="F296" s="217">
        <f>'TECH DATA ENTRY'!P324</f>
        <v>0</v>
      </c>
      <c r="G296" s="217">
        <v>1</v>
      </c>
      <c r="H296" s="218" t="e">
        <f t="shared" si="49"/>
        <v>#VALUE!</v>
      </c>
      <c r="I296" s="219">
        <f>'TECH DATA ENTRY'!Q324</f>
        <v>9.9999999999999995E-7</v>
      </c>
      <c r="J296" s="219" t="str">
        <f>'TECH DATA ENTRY'!$G$26</f>
        <v>Digital</v>
      </c>
      <c r="K296" s="217">
        <v>1</v>
      </c>
      <c r="L296" s="218">
        <f t="shared" si="59"/>
        <v>2.8867513459481289E-7</v>
      </c>
      <c r="M296" s="219">
        <f>'TECH DATA ENTRY'!R324</f>
        <v>0</v>
      </c>
      <c r="N296" s="219" t="str">
        <f>'TECH DATA ENTRY'!$G$26</f>
        <v>Digital</v>
      </c>
      <c r="O296" s="217">
        <v>1</v>
      </c>
      <c r="P296" s="218">
        <f t="shared" si="50"/>
        <v>0</v>
      </c>
      <c r="Q296" s="220">
        <f>'TECH DATA ENTRY'!S324</f>
        <v>6.96E-3</v>
      </c>
      <c r="R296" s="217">
        <v>1</v>
      </c>
      <c r="S296" s="218">
        <f t="shared" si="51"/>
        <v>3.48E-3</v>
      </c>
      <c r="T296" s="220">
        <f>'TECH DATA ENTRY'!T324</f>
        <v>0</v>
      </c>
      <c r="U296" s="217">
        <v>1</v>
      </c>
      <c r="V296" s="218">
        <f t="shared" si="52"/>
        <v>0</v>
      </c>
      <c r="W296" s="220">
        <f>'TECH DATA ENTRY'!U324</f>
        <v>0</v>
      </c>
      <c r="X296" s="217">
        <v>1</v>
      </c>
      <c r="Y296" s="218">
        <f t="shared" si="53"/>
        <v>0</v>
      </c>
      <c r="Z296" s="220">
        <f>'TECH DATA ENTRY'!V324</f>
        <v>0</v>
      </c>
      <c r="AA296" s="217">
        <v>1</v>
      </c>
      <c r="AB296" s="218">
        <f t="shared" si="54"/>
        <v>0</v>
      </c>
      <c r="AC296" s="220">
        <f>'TECH DATA ENTRY'!W324</f>
        <v>0</v>
      </c>
      <c r="AD296" s="217">
        <v>1</v>
      </c>
      <c r="AE296" s="218">
        <f t="shared" si="55"/>
        <v>0</v>
      </c>
      <c r="AF296" s="220">
        <f>'TECH DATA ENTRY'!X324</f>
        <v>0</v>
      </c>
      <c r="AG296" s="217">
        <v>1</v>
      </c>
      <c r="AH296" s="218">
        <f t="shared" si="56"/>
        <v>0</v>
      </c>
      <c r="AI296" s="219" t="e">
        <f t="shared" si="57"/>
        <v>#VALUE!</v>
      </c>
      <c r="AJ296" s="221" t="str">
        <f>'TECH DATA ENTRY'!K324</f>
        <v/>
      </c>
      <c r="AK296" s="222" t="e">
        <f t="shared" si="58"/>
        <v>#VALUE!</v>
      </c>
      <c r="AL296" s="222" t="e">
        <f>VLOOKUP(AK296,'AUX TABLES'!A$2:B$29,2)</f>
        <v>#VALUE!</v>
      </c>
      <c r="AM296" s="223" t="str">
        <f>IF(OR(ISTEXT(B296)=TRUE,ISTEXT('TECH DATA ENTRY'!L324)=TRUE), "NA",AL296*AI296)</f>
        <v>NA</v>
      </c>
      <c r="AN296" s="79"/>
    </row>
    <row r="297" spans="1:40" s="80" customFormat="1" ht="20.149999999999999" customHeight="1">
      <c r="A297" s="216"/>
      <c r="B297" s="249">
        <f>'TECH DATA ENTRY'!B325</f>
        <v>0</v>
      </c>
      <c r="C297" s="217">
        <f>'TECH DATA ENTRY'!O325</f>
        <v>0</v>
      </c>
      <c r="D297" s="217">
        <v>1</v>
      </c>
      <c r="E297" s="218" t="e">
        <f t="shared" si="48"/>
        <v>#DIV/0!</v>
      </c>
      <c r="F297" s="217">
        <f>'TECH DATA ENTRY'!P325</f>
        <v>0</v>
      </c>
      <c r="G297" s="217">
        <v>1</v>
      </c>
      <c r="H297" s="218" t="e">
        <f t="shared" si="49"/>
        <v>#DIV/0!</v>
      </c>
      <c r="I297" s="219">
        <f>'TECH DATA ENTRY'!Q325</f>
        <v>0</v>
      </c>
      <c r="J297" s="219" t="str">
        <f>'TECH DATA ENTRY'!$G$26</f>
        <v>Digital</v>
      </c>
      <c r="K297" s="217">
        <v>1</v>
      </c>
      <c r="L297" s="218">
        <f t="shared" si="59"/>
        <v>0</v>
      </c>
      <c r="M297" s="219">
        <f>'TECH DATA ENTRY'!R325</f>
        <v>0</v>
      </c>
      <c r="N297" s="219" t="str">
        <f>'TECH DATA ENTRY'!$G$26</f>
        <v>Digital</v>
      </c>
      <c r="O297" s="217">
        <v>1</v>
      </c>
      <c r="P297" s="218">
        <f t="shared" si="50"/>
        <v>0</v>
      </c>
      <c r="Q297" s="220">
        <f>'TECH DATA ENTRY'!S325</f>
        <v>0</v>
      </c>
      <c r="R297" s="217">
        <v>1</v>
      </c>
      <c r="S297" s="218">
        <f t="shared" si="51"/>
        <v>0</v>
      </c>
      <c r="T297" s="220">
        <f>'TECH DATA ENTRY'!T325</f>
        <v>0</v>
      </c>
      <c r="U297" s="217">
        <v>1</v>
      </c>
      <c r="V297" s="218">
        <f t="shared" si="52"/>
        <v>0</v>
      </c>
      <c r="W297" s="220">
        <f>'TECH DATA ENTRY'!U325</f>
        <v>0</v>
      </c>
      <c r="X297" s="217">
        <v>1</v>
      </c>
      <c r="Y297" s="218">
        <f t="shared" si="53"/>
        <v>0</v>
      </c>
      <c r="Z297" s="220">
        <f>'TECH DATA ENTRY'!V325</f>
        <v>0</v>
      </c>
      <c r="AA297" s="217">
        <v>1</v>
      </c>
      <c r="AB297" s="218">
        <f t="shared" si="54"/>
        <v>0</v>
      </c>
      <c r="AC297" s="220">
        <f>'TECH DATA ENTRY'!W325</f>
        <v>0</v>
      </c>
      <c r="AD297" s="217">
        <v>1</v>
      </c>
      <c r="AE297" s="218">
        <f t="shared" si="55"/>
        <v>0</v>
      </c>
      <c r="AF297" s="220">
        <f>'TECH DATA ENTRY'!X325</f>
        <v>0</v>
      </c>
      <c r="AG297" s="217">
        <v>1</v>
      </c>
      <c r="AH297" s="218">
        <f t="shared" si="56"/>
        <v>0</v>
      </c>
      <c r="AI297" s="219" t="e">
        <f t="shared" si="57"/>
        <v>#DIV/0!</v>
      </c>
      <c r="AJ297" s="221">
        <f>'TECH DATA ENTRY'!K325</f>
        <v>0</v>
      </c>
      <c r="AK297" s="222" t="e">
        <f t="shared" si="58"/>
        <v>#DIV/0!</v>
      </c>
      <c r="AL297" s="222" t="e">
        <f>VLOOKUP(AK297,'AUX TABLES'!A$2:B$29,2)</f>
        <v>#DIV/0!</v>
      </c>
      <c r="AM297" s="223" t="e">
        <f>IF(OR(ISTEXT(B297)=TRUE,ISTEXT('TECH DATA ENTRY'!L325)=TRUE), "NA",AL297*AI297)</f>
        <v>#DIV/0!</v>
      </c>
      <c r="AN297" s="79"/>
    </row>
    <row r="298" spans="1:40" s="80" customFormat="1" ht="20.149999999999999" customHeight="1">
      <c r="A298" s="216"/>
      <c r="B298" s="249">
        <f>'TECH DATA ENTRY'!B326</f>
        <v>0</v>
      </c>
      <c r="C298" s="217">
        <f>'TECH DATA ENTRY'!O326</f>
        <v>0</v>
      </c>
      <c r="D298" s="217">
        <v>1</v>
      </c>
      <c r="E298" s="218" t="e">
        <f t="shared" si="48"/>
        <v>#DIV/0!</v>
      </c>
      <c r="F298" s="217">
        <f>'TECH DATA ENTRY'!P326</f>
        <v>0</v>
      </c>
      <c r="G298" s="217">
        <v>1</v>
      </c>
      <c r="H298" s="218" t="e">
        <f t="shared" si="49"/>
        <v>#DIV/0!</v>
      </c>
      <c r="I298" s="219">
        <f>'TECH DATA ENTRY'!Q326</f>
        <v>0</v>
      </c>
      <c r="J298" s="219" t="str">
        <f>'TECH DATA ENTRY'!$G$26</f>
        <v>Digital</v>
      </c>
      <c r="K298" s="217">
        <v>1</v>
      </c>
      <c r="L298" s="218">
        <f t="shared" si="59"/>
        <v>0</v>
      </c>
      <c r="M298" s="219">
        <f>'TECH DATA ENTRY'!R326</f>
        <v>0</v>
      </c>
      <c r="N298" s="219" t="str">
        <f>'TECH DATA ENTRY'!$G$26</f>
        <v>Digital</v>
      </c>
      <c r="O298" s="217">
        <v>1</v>
      </c>
      <c r="P298" s="218">
        <f t="shared" si="50"/>
        <v>0</v>
      </c>
      <c r="Q298" s="220">
        <f>'TECH DATA ENTRY'!S326</f>
        <v>0</v>
      </c>
      <c r="R298" s="217">
        <v>1</v>
      </c>
      <c r="S298" s="218">
        <f t="shared" si="51"/>
        <v>0</v>
      </c>
      <c r="T298" s="220">
        <f>'TECH DATA ENTRY'!T326</f>
        <v>0</v>
      </c>
      <c r="U298" s="217">
        <v>1</v>
      </c>
      <c r="V298" s="218">
        <f t="shared" si="52"/>
        <v>0</v>
      </c>
      <c r="W298" s="220">
        <f>'TECH DATA ENTRY'!U326</f>
        <v>0</v>
      </c>
      <c r="X298" s="217">
        <v>1</v>
      </c>
      <c r="Y298" s="218">
        <f t="shared" si="53"/>
        <v>0</v>
      </c>
      <c r="Z298" s="220">
        <f>'TECH DATA ENTRY'!V326</f>
        <v>0</v>
      </c>
      <c r="AA298" s="217">
        <v>1</v>
      </c>
      <c r="AB298" s="218">
        <f t="shared" si="54"/>
        <v>0</v>
      </c>
      <c r="AC298" s="220">
        <f>'TECH DATA ENTRY'!W326</f>
        <v>0</v>
      </c>
      <c r="AD298" s="217">
        <v>1</v>
      </c>
      <c r="AE298" s="218">
        <f t="shared" si="55"/>
        <v>0</v>
      </c>
      <c r="AF298" s="220">
        <f>'TECH DATA ENTRY'!X326</f>
        <v>0</v>
      </c>
      <c r="AG298" s="217">
        <v>1</v>
      </c>
      <c r="AH298" s="218">
        <f t="shared" si="56"/>
        <v>0</v>
      </c>
      <c r="AI298" s="219" t="e">
        <f t="shared" si="57"/>
        <v>#DIV/0!</v>
      </c>
      <c r="AJ298" s="221">
        <f>'TECH DATA ENTRY'!K326</f>
        <v>0</v>
      </c>
      <c r="AK298" s="222" t="e">
        <f t="shared" si="58"/>
        <v>#DIV/0!</v>
      </c>
      <c r="AL298" s="222" t="e">
        <f>VLOOKUP(AK298,'AUX TABLES'!A$2:B$29,2)</f>
        <v>#DIV/0!</v>
      </c>
      <c r="AM298" s="223" t="e">
        <f>IF(OR(ISTEXT(B298)=TRUE,ISTEXT('TECH DATA ENTRY'!L326)=TRUE), "NA",AL298*AI298)</f>
        <v>#DIV/0!</v>
      </c>
      <c r="AN298" s="79"/>
    </row>
    <row r="299" spans="1:40" s="80" customFormat="1" ht="20.149999999999999" customHeight="1">
      <c r="A299" s="216"/>
      <c r="B299" s="249">
        <f>'TECH DATA ENTRY'!B327</f>
        <v>0</v>
      </c>
      <c r="C299" s="217">
        <f>'TECH DATA ENTRY'!O327</f>
        <v>0</v>
      </c>
      <c r="D299" s="217">
        <v>1</v>
      </c>
      <c r="E299" s="218" t="e">
        <f t="shared" si="48"/>
        <v>#DIV/0!</v>
      </c>
      <c r="F299" s="217">
        <f>'TECH DATA ENTRY'!P327</f>
        <v>0</v>
      </c>
      <c r="G299" s="217">
        <v>1</v>
      </c>
      <c r="H299" s="218" t="e">
        <f t="shared" si="49"/>
        <v>#DIV/0!</v>
      </c>
      <c r="I299" s="219">
        <f>'TECH DATA ENTRY'!Q327</f>
        <v>0</v>
      </c>
      <c r="J299" s="219" t="str">
        <f>'TECH DATA ENTRY'!$G$26</f>
        <v>Digital</v>
      </c>
      <c r="K299" s="217">
        <v>1</v>
      </c>
      <c r="L299" s="218">
        <f t="shared" si="59"/>
        <v>0</v>
      </c>
      <c r="M299" s="219">
        <f>'TECH DATA ENTRY'!R327</f>
        <v>0</v>
      </c>
      <c r="N299" s="219" t="str">
        <f>'TECH DATA ENTRY'!$G$26</f>
        <v>Digital</v>
      </c>
      <c r="O299" s="217">
        <v>1</v>
      </c>
      <c r="P299" s="218">
        <f t="shared" si="50"/>
        <v>0</v>
      </c>
      <c r="Q299" s="220">
        <f>'TECH DATA ENTRY'!S327</f>
        <v>0</v>
      </c>
      <c r="R299" s="217">
        <v>1</v>
      </c>
      <c r="S299" s="218">
        <f t="shared" si="51"/>
        <v>0</v>
      </c>
      <c r="T299" s="220">
        <f>'TECH DATA ENTRY'!T327</f>
        <v>0</v>
      </c>
      <c r="U299" s="217">
        <v>1</v>
      </c>
      <c r="V299" s="218">
        <f t="shared" si="52"/>
        <v>0</v>
      </c>
      <c r="W299" s="220">
        <f>'TECH DATA ENTRY'!U327</f>
        <v>0</v>
      </c>
      <c r="X299" s="217">
        <v>1</v>
      </c>
      <c r="Y299" s="218">
        <f t="shared" si="53"/>
        <v>0</v>
      </c>
      <c r="Z299" s="220">
        <f>'TECH DATA ENTRY'!V327</f>
        <v>0</v>
      </c>
      <c r="AA299" s="217">
        <v>1</v>
      </c>
      <c r="AB299" s="218">
        <f t="shared" si="54"/>
        <v>0</v>
      </c>
      <c r="AC299" s="220">
        <f>'TECH DATA ENTRY'!W327</f>
        <v>0</v>
      </c>
      <c r="AD299" s="217">
        <v>1</v>
      </c>
      <c r="AE299" s="218">
        <f t="shared" si="55"/>
        <v>0</v>
      </c>
      <c r="AF299" s="220">
        <f>'TECH DATA ENTRY'!X327</f>
        <v>0</v>
      </c>
      <c r="AG299" s="217">
        <v>1</v>
      </c>
      <c r="AH299" s="218">
        <f t="shared" si="56"/>
        <v>0</v>
      </c>
      <c r="AI299" s="219" t="e">
        <f t="shared" si="57"/>
        <v>#DIV/0!</v>
      </c>
      <c r="AJ299" s="221">
        <f>'TECH DATA ENTRY'!K327</f>
        <v>0</v>
      </c>
      <c r="AK299" s="222" t="e">
        <f t="shared" si="58"/>
        <v>#DIV/0!</v>
      </c>
      <c r="AL299" s="222" t="e">
        <f>VLOOKUP(AK299,'AUX TABLES'!A$2:B$29,2)</f>
        <v>#DIV/0!</v>
      </c>
      <c r="AM299" s="223" t="e">
        <f>IF(OR(ISTEXT(B299)=TRUE,ISTEXT('TECH DATA ENTRY'!L327)=TRUE), "NA",AL299*AI299)</f>
        <v>#DIV/0!</v>
      </c>
      <c r="AN299" s="79"/>
    </row>
    <row r="300" spans="1:40" s="80" customFormat="1" ht="20.149999999999999" customHeight="1">
      <c r="A300" s="216"/>
      <c r="B300" s="249" t="str">
        <f>'TECH DATA ENTRY'!B328</f>
        <v>Nominal</v>
      </c>
      <c r="C300" s="217" t="str">
        <f>'TECH DATA ENTRY'!O328</f>
        <v>Uncertainty Components</v>
      </c>
      <c r="D300" s="217">
        <v>1</v>
      </c>
      <c r="E300" s="218" t="e">
        <f t="shared" si="48"/>
        <v>#VALUE!</v>
      </c>
      <c r="F300" s="217">
        <f>'TECH DATA ENTRY'!P328</f>
        <v>0</v>
      </c>
      <c r="G300" s="217">
        <v>1</v>
      </c>
      <c r="H300" s="218" t="e">
        <f t="shared" si="49"/>
        <v>#VALUE!</v>
      </c>
      <c r="I300" s="219">
        <f>'TECH DATA ENTRY'!Q328</f>
        <v>0</v>
      </c>
      <c r="J300" s="219" t="str">
        <f>'TECH DATA ENTRY'!$G$26</f>
        <v>Digital</v>
      </c>
      <c r="K300" s="217">
        <v>1</v>
      </c>
      <c r="L300" s="218">
        <f t="shared" si="59"/>
        <v>0</v>
      </c>
      <c r="M300" s="219">
        <f>'TECH DATA ENTRY'!R328</f>
        <v>0</v>
      </c>
      <c r="N300" s="219" t="str">
        <f>'TECH DATA ENTRY'!$G$26</f>
        <v>Digital</v>
      </c>
      <c r="O300" s="217">
        <v>1</v>
      </c>
      <c r="P300" s="218">
        <f t="shared" si="50"/>
        <v>0</v>
      </c>
      <c r="Q300" s="220">
        <f>'TECH DATA ENTRY'!S328</f>
        <v>0</v>
      </c>
      <c r="R300" s="217">
        <v>1</v>
      </c>
      <c r="S300" s="218">
        <f t="shared" si="51"/>
        <v>0</v>
      </c>
      <c r="T300" s="220">
        <f>'TECH DATA ENTRY'!T328</f>
        <v>0</v>
      </c>
      <c r="U300" s="217">
        <v>1</v>
      </c>
      <c r="V300" s="218">
        <f t="shared" si="52"/>
        <v>0</v>
      </c>
      <c r="W300" s="220">
        <f>'TECH DATA ENTRY'!U328</f>
        <v>0</v>
      </c>
      <c r="X300" s="217">
        <v>1</v>
      </c>
      <c r="Y300" s="218">
        <f t="shared" si="53"/>
        <v>0</v>
      </c>
      <c r="Z300" s="220">
        <f>'TECH DATA ENTRY'!V328</f>
        <v>0</v>
      </c>
      <c r="AA300" s="217">
        <v>1</v>
      </c>
      <c r="AB300" s="218">
        <f t="shared" si="54"/>
        <v>0</v>
      </c>
      <c r="AC300" s="220">
        <f>'TECH DATA ENTRY'!W328</f>
        <v>0</v>
      </c>
      <c r="AD300" s="217">
        <v>1</v>
      </c>
      <c r="AE300" s="218">
        <f t="shared" si="55"/>
        <v>0</v>
      </c>
      <c r="AF300" s="220">
        <f>'TECH DATA ENTRY'!X328</f>
        <v>0</v>
      </c>
      <c r="AG300" s="217">
        <v>1</v>
      </c>
      <c r="AH300" s="218">
        <f t="shared" si="56"/>
        <v>0</v>
      </c>
      <c r="AI300" s="219" t="e">
        <f t="shared" si="57"/>
        <v>#VALUE!</v>
      </c>
      <c r="AJ300" s="221" t="str">
        <f>'TECH DATA ENTRY'!K328</f>
        <v>n</v>
      </c>
      <c r="AK300" s="222" t="e">
        <f t="shared" si="58"/>
        <v>#VALUE!</v>
      </c>
      <c r="AL300" s="222" t="e">
        <f>VLOOKUP(AK300,'AUX TABLES'!A$2:B$29,2)</f>
        <v>#VALUE!</v>
      </c>
      <c r="AM300" s="223" t="str">
        <f>IF(OR(ISTEXT(B300)=TRUE,ISTEXT('TECH DATA ENTRY'!L328)=TRUE), "NA",AL300*AI300)</f>
        <v>NA</v>
      </c>
      <c r="AN300" s="79"/>
    </row>
    <row r="301" spans="1:40" s="80" customFormat="1" ht="20.149999999999999" customHeight="1">
      <c r="A301" s="216"/>
      <c r="B301" s="249">
        <f>'TECH DATA ENTRY'!B329</f>
        <v>0</v>
      </c>
      <c r="C301" s="217" t="str">
        <f>'TECH DATA ENTRY'!O329</f>
        <v>Stdev 1</v>
      </c>
      <c r="D301" s="217">
        <v>1</v>
      </c>
      <c r="E301" s="218" t="e">
        <f t="shared" si="48"/>
        <v>#VALUE!</v>
      </c>
      <c r="F301" s="217" t="str">
        <f>'TECH DATA ENTRY'!P329</f>
        <v>Stdev 2</v>
      </c>
      <c r="G301" s="217">
        <v>1</v>
      </c>
      <c r="H301" s="218" t="e">
        <f t="shared" si="49"/>
        <v>#VALUE!</v>
      </c>
      <c r="I301" s="219" t="str">
        <f>'TECH DATA ENTRY'!Q329</f>
        <v>Resolution 1</v>
      </c>
      <c r="J301" s="219" t="str">
        <f>'TECH DATA ENTRY'!$G$26</f>
        <v>Digital</v>
      </c>
      <c r="K301" s="217">
        <v>1</v>
      </c>
      <c r="L301" s="218" t="e">
        <f t="shared" si="59"/>
        <v>#VALUE!</v>
      </c>
      <c r="M301" s="219" t="str">
        <f>'TECH DATA ENTRY'!R329</f>
        <v>Resolution 2</v>
      </c>
      <c r="N301" s="219" t="str">
        <f>'TECH DATA ENTRY'!$G$26</f>
        <v>Digital</v>
      </c>
      <c r="O301" s="217">
        <v>1</v>
      </c>
      <c r="P301" s="218" t="e">
        <f t="shared" si="50"/>
        <v>#VALUE!</v>
      </c>
      <c r="Q301" s="220" t="str">
        <f>'TECH DATA ENTRY'!S329</f>
        <v>Scope Uncertainty</v>
      </c>
      <c r="R301" s="217">
        <v>1</v>
      </c>
      <c r="S301" s="218" t="e">
        <f t="shared" si="51"/>
        <v>#VALUE!</v>
      </c>
      <c r="T301" s="220" t="str">
        <f>'TECH DATA ENTRY'!T329</f>
        <v>STD 2 Cal Unc</v>
      </c>
      <c r="U301" s="217">
        <v>1</v>
      </c>
      <c r="V301" s="218" t="e">
        <f t="shared" si="52"/>
        <v>#VALUE!</v>
      </c>
      <c r="W301" s="220" t="str">
        <f>'TECH DATA ENTRY'!U329</f>
        <v>Others 1</v>
      </c>
      <c r="X301" s="217">
        <v>1</v>
      </c>
      <c r="Y301" s="218" t="e">
        <f t="shared" si="53"/>
        <v>#VALUE!</v>
      </c>
      <c r="Z301" s="220" t="str">
        <f>'TECH DATA ENTRY'!V329</f>
        <v>Others 2</v>
      </c>
      <c r="AA301" s="217">
        <v>1</v>
      </c>
      <c r="AB301" s="218" t="e">
        <f t="shared" si="54"/>
        <v>#VALUE!</v>
      </c>
      <c r="AC301" s="220" t="str">
        <f>'TECH DATA ENTRY'!W329</f>
        <v>Others 3</v>
      </c>
      <c r="AD301" s="217">
        <v>1</v>
      </c>
      <c r="AE301" s="218" t="e">
        <f t="shared" si="55"/>
        <v>#VALUE!</v>
      </c>
      <c r="AF301" s="220" t="str">
        <f>'TECH DATA ENTRY'!X329</f>
        <v>Others 4</v>
      </c>
      <c r="AG301" s="217">
        <v>1</v>
      </c>
      <c r="AH301" s="218" t="e">
        <f t="shared" si="56"/>
        <v>#VALUE!</v>
      </c>
      <c r="AI301" s="219" t="e">
        <f t="shared" si="57"/>
        <v>#VALUE!</v>
      </c>
      <c r="AJ301" s="221">
        <f>'TECH DATA ENTRY'!K329</f>
        <v>0</v>
      </c>
      <c r="AK301" s="222" t="e">
        <f t="shared" si="58"/>
        <v>#VALUE!</v>
      </c>
      <c r="AL301" s="222" t="e">
        <f>VLOOKUP(AK301,'AUX TABLES'!A$2:B$29,2)</f>
        <v>#VALUE!</v>
      </c>
      <c r="AM301" s="223" t="e">
        <f>IF(OR(ISTEXT(B301)=TRUE,ISTEXT('TECH DATA ENTRY'!L329)=TRUE), "NA",AL301*AI301)</f>
        <v>#VALUE!</v>
      </c>
      <c r="AN301" s="79"/>
    </row>
    <row r="302" spans="1:40" s="80" customFormat="1" ht="20.149999999999999" customHeight="1">
      <c r="A302" s="216"/>
      <c r="B302" s="249">
        <f>'TECH DATA ENTRY'!B330</f>
        <v>1.9</v>
      </c>
      <c r="C302" s="217" t="str">
        <f>'TECH DATA ENTRY'!O330</f>
        <v/>
      </c>
      <c r="D302" s="217">
        <v>1</v>
      </c>
      <c r="E302" s="218" t="e">
        <f t="shared" si="48"/>
        <v>#VALUE!</v>
      </c>
      <c r="F302" s="217">
        <f>'TECH DATA ENTRY'!P330</f>
        <v>0</v>
      </c>
      <c r="G302" s="217">
        <v>1</v>
      </c>
      <c r="H302" s="218" t="e">
        <f t="shared" si="49"/>
        <v>#VALUE!</v>
      </c>
      <c r="I302" s="219">
        <f>'TECH DATA ENTRY'!Q330</f>
        <v>1.0000000000000001E-5</v>
      </c>
      <c r="J302" s="219" t="str">
        <f>'TECH DATA ENTRY'!$G$26</f>
        <v>Digital</v>
      </c>
      <c r="K302" s="217">
        <v>1</v>
      </c>
      <c r="L302" s="218">
        <f t="shared" si="59"/>
        <v>2.8867513459481293E-6</v>
      </c>
      <c r="M302" s="219">
        <f>'TECH DATA ENTRY'!R330</f>
        <v>0</v>
      </c>
      <c r="N302" s="219" t="str">
        <f>'TECH DATA ENTRY'!$G$26</f>
        <v>Digital</v>
      </c>
      <c r="O302" s="217">
        <v>1</v>
      </c>
      <c r="P302" s="218">
        <f t="shared" si="50"/>
        <v>0</v>
      </c>
      <c r="Q302" s="220">
        <f>'TECH DATA ENTRY'!S330</f>
        <v>1.2852999999999999E-3</v>
      </c>
      <c r="R302" s="217">
        <v>1</v>
      </c>
      <c r="S302" s="218">
        <f t="shared" si="51"/>
        <v>6.4264999999999993E-4</v>
      </c>
      <c r="T302" s="220">
        <f>'TECH DATA ENTRY'!T330</f>
        <v>0</v>
      </c>
      <c r="U302" s="217">
        <v>1</v>
      </c>
      <c r="V302" s="218">
        <f t="shared" si="52"/>
        <v>0</v>
      </c>
      <c r="W302" s="220">
        <f>'TECH DATA ENTRY'!U330</f>
        <v>0</v>
      </c>
      <c r="X302" s="217">
        <v>1</v>
      </c>
      <c r="Y302" s="218">
        <f t="shared" si="53"/>
        <v>0</v>
      </c>
      <c r="Z302" s="220">
        <f>'TECH DATA ENTRY'!V330</f>
        <v>0</v>
      </c>
      <c r="AA302" s="217">
        <v>1</v>
      </c>
      <c r="AB302" s="218">
        <f t="shared" si="54"/>
        <v>0</v>
      </c>
      <c r="AC302" s="220">
        <f>'TECH DATA ENTRY'!W330</f>
        <v>0</v>
      </c>
      <c r="AD302" s="217">
        <v>1</v>
      </c>
      <c r="AE302" s="218">
        <f t="shared" si="55"/>
        <v>0</v>
      </c>
      <c r="AF302" s="220">
        <f>'TECH DATA ENTRY'!X330</f>
        <v>0</v>
      </c>
      <c r="AG302" s="217">
        <v>1</v>
      </c>
      <c r="AH302" s="218">
        <f t="shared" si="56"/>
        <v>0</v>
      </c>
      <c r="AI302" s="219" t="e">
        <f t="shared" si="57"/>
        <v>#VALUE!</v>
      </c>
      <c r="AJ302" s="221" t="str">
        <f>'TECH DATA ENTRY'!K330</f>
        <v/>
      </c>
      <c r="AK302" s="222" t="e">
        <f t="shared" si="58"/>
        <v>#VALUE!</v>
      </c>
      <c r="AL302" s="222" t="e">
        <f>VLOOKUP(AK302,'AUX TABLES'!A$2:B$29,2)</f>
        <v>#VALUE!</v>
      </c>
      <c r="AM302" s="223" t="str">
        <f>IF(OR(ISTEXT(B302)=TRUE,ISTEXT('TECH DATA ENTRY'!L330)=TRUE), "NA",AL302*AI302)</f>
        <v>NA</v>
      </c>
      <c r="AN302" s="79"/>
    </row>
    <row r="303" spans="1:40" s="80" customFormat="1" ht="20.149999999999999" customHeight="1">
      <c r="A303" s="216"/>
      <c r="B303" s="249">
        <f>'TECH DATA ENTRY'!B331</f>
        <v>1.9</v>
      </c>
      <c r="C303" s="217" t="str">
        <f>'TECH DATA ENTRY'!O331</f>
        <v/>
      </c>
      <c r="D303" s="217">
        <v>1</v>
      </c>
      <c r="E303" s="218" t="e">
        <f t="shared" si="48"/>
        <v>#VALUE!</v>
      </c>
      <c r="F303" s="217">
        <f>'TECH DATA ENTRY'!P331</f>
        <v>0</v>
      </c>
      <c r="G303" s="217">
        <v>1</v>
      </c>
      <c r="H303" s="218" t="e">
        <f t="shared" si="49"/>
        <v>#VALUE!</v>
      </c>
      <c r="I303" s="219">
        <f>'TECH DATA ENTRY'!Q331</f>
        <v>1.0000000000000001E-5</v>
      </c>
      <c r="J303" s="219" t="str">
        <f>'TECH DATA ENTRY'!$G$26</f>
        <v>Digital</v>
      </c>
      <c r="K303" s="217">
        <v>1</v>
      </c>
      <c r="L303" s="218">
        <f t="shared" si="59"/>
        <v>2.8867513459481293E-6</v>
      </c>
      <c r="M303" s="219">
        <f>'TECH DATA ENTRY'!R331</f>
        <v>0</v>
      </c>
      <c r="N303" s="219" t="str">
        <f>'TECH DATA ENTRY'!$G$26</f>
        <v>Digital</v>
      </c>
      <c r="O303" s="217">
        <v>1</v>
      </c>
      <c r="P303" s="218">
        <f t="shared" si="50"/>
        <v>0</v>
      </c>
      <c r="Q303" s="220">
        <f>'TECH DATA ENTRY'!S331</f>
        <v>1.2852999999999999E-3</v>
      </c>
      <c r="R303" s="217">
        <v>1</v>
      </c>
      <c r="S303" s="218">
        <f t="shared" si="51"/>
        <v>6.4264999999999993E-4</v>
      </c>
      <c r="T303" s="220">
        <f>'TECH DATA ENTRY'!T331</f>
        <v>0</v>
      </c>
      <c r="U303" s="217">
        <v>1</v>
      </c>
      <c r="V303" s="218">
        <f t="shared" si="52"/>
        <v>0</v>
      </c>
      <c r="W303" s="220">
        <f>'TECH DATA ENTRY'!U331</f>
        <v>0</v>
      </c>
      <c r="X303" s="217">
        <v>1</v>
      </c>
      <c r="Y303" s="218">
        <f t="shared" si="53"/>
        <v>0</v>
      </c>
      <c r="Z303" s="220">
        <f>'TECH DATA ENTRY'!V331</f>
        <v>0</v>
      </c>
      <c r="AA303" s="217">
        <v>1</v>
      </c>
      <c r="AB303" s="218">
        <f t="shared" si="54"/>
        <v>0</v>
      </c>
      <c r="AC303" s="220">
        <f>'TECH DATA ENTRY'!W331</f>
        <v>0</v>
      </c>
      <c r="AD303" s="217">
        <v>1</v>
      </c>
      <c r="AE303" s="218">
        <f t="shared" si="55"/>
        <v>0</v>
      </c>
      <c r="AF303" s="220">
        <f>'TECH DATA ENTRY'!X331</f>
        <v>0</v>
      </c>
      <c r="AG303" s="217">
        <v>1</v>
      </c>
      <c r="AH303" s="218">
        <f t="shared" si="56"/>
        <v>0</v>
      </c>
      <c r="AI303" s="219" t="e">
        <f t="shared" si="57"/>
        <v>#VALUE!</v>
      </c>
      <c r="AJ303" s="221" t="str">
        <f>'TECH DATA ENTRY'!K331</f>
        <v/>
      </c>
      <c r="AK303" s="222" t="e">
        <f t="shared" si="58"/>
        <v>#VALUE!</v>
      </c>
      <c r="AL303" s="222" t="e">
        <f>VLOOKUP(AK303,'AUX TABLES'!A$2:B$29,2)</f>
        <v>#VALUE!</v>
      </c>
      <c r="AM303" s="223" t="str">
        <f>IF(OR(ISTEXT(B303)=TRUE,ISTEXT('TECH DATA ENTRY'!L331)=TRUE), "NA",AL303*AI303)</f>
        <v>NA</v>
      </c>
      <c r="AN303" s="79"/>
    </row>
    <row r="304" spans="1:40" s="80" customFormat="1" ht="20.149999999999999" customHeight="1">
      <c r="A304" s="216"/>
      <c r="B304" s="249">
        <f>'TECH DATA ENTRY'!B332</f>
        <v>1.9</v>
      </c>
      <c r="C304" s="217" t="str">
        <f>'TECH DATA ENTRY'!O332</f>
        <v/>
      </c>
      <c r="D304" s="217">
        <v>1</v>
      </c>
      <c r="E304" s="218" t="e">
        <f t="shared" si="48"/>
        <v>#VALUE!</v>
      </c>
      <c r="F304" s="217">
        <f>'TECH DATA ENTRY'!P332</f>
        <v>0</v>
      </c>
      <c r="G304" s="217">
        <v>1</v>
      </c>
      <c r="H304" s="218" t="e">
        <f t="shared" si="49"/>
        <v>#VALUE!</v>
      </c>
      <c r="I304" s="219">
        <f>'TECH DATA ENTRY'!Q332</f>
        <v>1.0000000000000001E-5</v>
      </c>
      <c r="J304" s="219" t="str">
        <f>'TECH DATA ENTRY'!$G$26</f>
        <v>Digital</v>
      </c>
      <c r="K304" s="217">
        <v>1</v>
      </c>
      <c r="L304" s="218">
        <f t="shared" si="59"/>
        <v>2.8867513459481293E-6</v>
      </c>
      <c r="M304" s="219">
        <f>'TECH DATA ENTRY'!R332</f>
        <v>0</v>
      </c>
      <c r="N304" s="219" t="str">
        <f>'TECH DATA ENTRY'!$G$26</f>
        <v>Digital</v>
      </c>
      <c r="O304" s="217">
        <v>1</v>
      </c>
      <c r="P304" s="218">
        <f t="shared" si="50"/>
        <v>0</v>
      </c>
      <c r="Q304" s="220">
        <f>'TECH DATA ENTRY'!S332</f>
        <v>7.9699999999999997E-3</v>
      </c>
      <c r="R304" s="217">
        <v>1</v>
      </c>
      <c r="S304" s="218">
        <f t="shared" si="51"/>
        <v>3.9849999999999998E-3</v>
      </c>
      <c r="T304" s="220">
        <f>'TECH DATA ENTRY'!T332</f>
        <v>1.9689999999999998E-3</v>
      </c>
      <c r="U304" s="217">
        <v>1</v>
      </c>
      <c r="V304" s="218">
        <f t="shared" si="52"/>
        <v>1.1368026800343731E-3</v>
      </c>
      <c r="W304" s="220">
        <f>'TECH DATA ENTRY'!U332</f>
        <v>0</v>
      </c>
      <c r="X304" s="217">
        <v>1</v>
      </c>
      <c r="Y304" s="218">
        <f t="shared" si="53"/>
        <v>0</v>
      </c>
      <c r="Z304" s="220">
        <f>'TECH DATA ENTRY'!V332</f>
        <v>0</v>
      </c>
      <c r="AA304" s="217">
        <v>1</v>
      </c>
      <c r="AB304" s="218">
        <f t="shared" si="54"/>
        <v>0</v>
      </c>
      <c r="AC304" s="220">
        <f>'TECH DATA ENTRY'!W332</f>
        <v>0</v>
      </c>
      <c r="AD304" s="217">
        <v>1</v>
      </c>
      <c r="AE304" s="218">
        <f t="shared" si="55"/>
        <v>0</v>
      </c>
      <c r="AF304" s="220">
        <f>'TECH DATA ENTRY'!X332</f>
        <v>0</v>
      </c>
      <c r="AG304" s="217">
        <v>1</v>
      </c>
      <c r="AH304" s="218">
        <f t="shared" si="56"/>
        <v>0</v>
      </c>
      <c r="AI304" s="219" t="e">
        <f t="shared" si="57"/>
        <v>#VALUE!</v>
      </c>
      <c r="AJ304" s="221" t="str">
        <f>'TECH DATA ENTRY'!K332</f>
        <v/>
      </c>
      <c r="AK304" s="222" t="e">
        <f t="shared" si="58"/>
        <v>#VALUE!</v>
      </c>
      <c r="AL304" s="222" t="e">
        <f>VLOOKUP(AK304,'AUX TABLES'!A$2:B$29,2)</f>
        <v>#VALUE!</v>
      </c>
      <c r="AM304" s="223" t="str">
        <f>IF(OR(ISTEXT(B304)=TRUE,ISTEXT('TECH DATA ENTRY'!L332)=TRUE), "NA",AL304*AI304)</f>
        <v>NA</v>
      </c>
      <c r="AN304" s="79"/>
    </row>
    <row r="305" spans="1:40" s="80" customFormat="1" ht="20.149999999999999" customHeight="1">
      <c r="A305" s="216"/>
      <c r="B305" s="249">
        <f>'TECH DATA ENTRY'!B333</f>
        <v>0</v>
      </c>
      <c r="C305" s="217">
        <f>'TECH DATA ENTRY'!O333</f>
        <v>0</v>
      </c>
      <c r="D305" s="217">
        <v>1</v>
      </c>
      <c r="E305" s="218" t="e">
        <f t="shared" si="48"/>
        <v>#DIV/0!</v>
      </c>
      <c r="F305" s="217">
        <f>'TECH DATA ENTRY'!P333</f>
        <v>0</v>
      </c>
      <c r="G305" s="217">
        <v>1</v>
      </c>
      <c r="H305" s="218" t="e">
        <f t="shared" si="49"/>
        <v>#DIV/0!</v>
      </c>
      <c r="I305" s="219">
        <f>'TECH DATA ENTRY'!Q333</f>
        <v>0</v>
      </c>
      <c r="J305" s="219" t="str">
        <f>'TECH DATA ENTRY'!$G$26</f>
        <v>Digital</v>
      </c>
      <c r="K305" s="217">
        <v>1</v>
      </c>
      <c r="L305" s="218">
        <f t="shared" si="59"/>
        <v>0</v>
      </c>
      <c r="M305" s="219">
        <f>'TECH DATA ENTRY'!R333</f>
        <v>0</v>
      </c>
      <c r="N305" s="219" t="str">
        <f>'TECH DATA ENTRY'!$G$26</f>
        <v>Digital</v>
      </c>
      <c r="O305" s="217">
        <v>1</v>
      </c>
      <c r="P305" s="218">
        <f t="shared" si="50"/>
        <v>0</v>
      </c>
      <c r="Q305" s="220">
        <f>'TECH DATA ENTRY'!S333</f>
        <v>0</v>
      </c>
      <c r="R305" s="217">
        <v>1</v>
      </c>
      <c r="S305" s="218">
        <f t="shared" si="51"/>
        <v>0</v>
      </c>
      <c r="T305" s="220">
        <f>'TECH DATA ENTRY'!T333</f>
        <v>0</v>
      </c>
      <c r="U305" s="217">
        <v>1</v>
      </c>
      <c r="V305" s="218">
        <f t="shared" si="52"/>
        <v>0</v>
      </c>
      <c r="W305" s="220">
        <f>'TECH DATA ENTRY'!U333</f>
        <v>0</v>
      </c>
      <c r="X305" s="217">
        <v>1</v>
      </c>
      <c r="Y305" s="218">
        <f t="shared" si="53"/>
        <v>0</v>
      </c>
      <c r="Z305" s="220">
        <f>'TECH DATA ENTRY'!V333</f>
        <v>0</v>
      </c>
      <c r="AA305" s="217">
        <v>1</v>
      </c>
      <c r="AB305" s="218">
        <f t="shared" si="54"/>
        <v>0</v>
      </c>
      <c r="AC305" s="220">
        <f>'TECH DATA ENTRY'!W333</f>
        <v>0</v>
      </c>
      <c r="AD305" s="217">
        <v>1</v>
      </c>
      <c r="AE305" s="218">
        <f t="shared" si="55"/>
        <v>0</v>
      </c>
      <c r="AF305" s="220">
        <f>'TECH DATA ENTRY'!X333</f>
        <v>0</v>
      </c>
      <c r="AG305" s="217">
        <v>1</v>
      </c>
      <c r="AH305" s="218">
        <f t="shared" si="56"/>
        <v>0</v>
      </c>
      <c r="AI305" s="219" t="e">
        <f t="shared" si="57"/>
        <v>#DIV/0!</v>
      </c>
      <c r="AJ305" s="221">
        <f>'TECH DATA ENTRY'!K333</f>
        <v>0</v>
      </c>
      <c r="AK305" s="222" t="e">
        <f t="shared" si="58"/>
        <v>#DIV/0!</v>
      </c>
      <c r="AL305" s="222" t="e">
        <f>VLOOKUP(AK305,'AUX TABLES'!A$2:B$29,2)</f>
        <v>#DIV/0!</v>
      </c>
      <c r="AM305" s="223" t="e">
        <f>IF(OR(ISTEXT(B305)=TRUE,ISTEXT('TECH DATA ENTRY'!L333)=TRUE), "NA",AL305*AI305)</f>
        <v>#DIV/0!</v>
      </c>
      <c r="AN305" s="79"/>
    </row>
    <row r="306" spans="1:40" s="80" customFormat="1" ht="20.149999999999999" customHeight="1">
      <c r="A306" s="216"/>
      <c r="B306" s="249">
        <f>'TECH DATA ENTRY'!B334</f>
        <v>0</v>
      </c>
      <c r="C306" s="217">
        <f>'TECH DATA ENTRY'!O334</f>
        <v>0</v>
      </c>
      <c r="D306" s="217">
        <v>1</v>
      </c>
      <c r="E306" s="218" t="e">
        <f t="shared" si="48"/>
        <v>#DIV/0!</v>
      </c>
      <c r="F306" s="217">
        <f>'TECH DATA ENTRY'!P334</f>
        <v>0</v>
      </c>
      <c r="G306" s="217">
        <v>1</v>
      </c>
      <c r="H306" s="218" t="e">
        <f t="shared" si="49"/>
        <v>#DIV/0!</v>
      </c>
      <c r="I306" s="219">
        <f>'TECH DATA ENTRY'!Q334</f>
        <v>0</v>
      </c>
      <c r="J306" s="219" t="str">
        <f>'TECH DATA ENTRY'!$G$26</f>
        <v>Digital</v>
      </c>
      <c r="K306" s="217">
        <v>1</v>
      </c>
      <c r="L306" s="218">
        <f t="shared" si="59"/>
        <v>0</v>
      </c>
      <c r="M306" s="219">
        <f>'TECH DATA ENTRY'!R334</f>
        <v>0</v>
      </c>
      <c r="N306" s="219" t="str">
        <f>'TECH DATA ENTRY'!$G$26</f>
        <v>Digital</v>
      </c>
      <c r="O306" s="217">
        <v>1</v>
      </c>
      <c r="P306" s="218">
        <f t="shared" si="50"/>
        <v>0</v>
      </c>
      <c r="Q306" s="220">
        <f>'TECH DATA ENTRY'!S334</f>
        <v>0</v>
      </c>
      <c r="R306" s="217">
        <v>1</v>
      </c>
      <c r="S306" s="218">
        <f t="shared" si="51"/>
        <v>0</v>
      </c>
      <c r="T306" s="220">
        <f>'TECH DATA ENTRY'!T334</f>
        <v>0</v>
      </c>
      <c r="U306" s="217">
        <v>1</v>
      </c>
      <c r="V306" s="218">
        <f t="shared" si="52"/>
        <v>0</v>
      </c>
      <c r="W306" s="220">
        <f>'TECH DATA ENTRY'!U334</f>
        <v>0</v>
      </c>
      <c r="X306" s="217">
        <v>1</v>
      </c>
      <c r="Y306" s="218">
        <f t="shared" si="53"/>
        <v>0</v>
      </c>
      <c r="Z306" s="220">
        <f>'TECH DATA ENTRY'!V334</f>
        <v>0</v>
      </c>
      <c r="AA306" s="217">
        <v>1</v>
      </c>
      <c r="AB306" s="218">
        <f t="shared" si="54"/>
        <v>0</v>
      </c>
      <c r="AC306" s="220">
        <f>'TECH DATA ENTRY'!W334</f>
        <v>0</v>
      </c>
      <c r="AD306" s="217">
        <v>1</v>
      </c>
      <c r="AE306" s="218">
        <f t="shared" si="55"/>
        <v>0</v>
      </c>
      <c r="AF306" s="220">
        <f>'TECH DATA ENTRY'!X334</f>
        <v>0</v>
      </c>
      <c r="AG306" s="217">
        <v>1</v>
      </c>
      <c r="AH306" s="218">
        <f t="shared" si="56"/>
        <v>0</v>
      </c>
      <c r="AI306" s="219" t="e">
        <f t="shared" si="57"/>
        <v>#DIV/0!</v>
      </c>
      <c r="AJ306" s="221">
        <f>'TECH DATA ENTRY'!K334</f>
        <v>0</v>
      </c>
      <c r="AK306" s="222" t="e">
        <f t="shared" si="58"/>
        <v>#DIV/0!</v>
      </c>
      <c r="AL306" s="222" t="e">
        <f>VLOOKUP(AK306,'AUX TABLES'!A$2:B$29,2)</f>
        <v>#DIV/0!</v>
      </c>
      <c r="AM306" s="223" t="e">
        <f>IF(OR(ISTEXT(B306)=TRUE,ISTEXT('TECH DATA ENTRY'!L334)=TRUE), "NA",AL306*AI306)</f>
        <v>#DIV/0!</v>
      </c>
      <c r="AN306" s="79"/>
    </row>
    <row r="307" spans="1:40" s="80" customFormat="1" ht="20.149999999999999" customHeight="1">
      <c r="A307" s="216"/>
      <c r="B307" s="249">
        <f>'TECH DATA ENTRY'!B335</f>
        <v>0</v>
      </c>
      <c r="C307" s="217">
        <f>'TECH DATA ENTRY'!O335</f>
        <v>0</v>
      </c>
      <c r="D307" s="217">
        <v>1</v>
      </c>
      <c r="E307" s="218" t="e">
        <f t="shared" ref="E307:E311" si="60">D307*(C307/SQRT(AJ307))+0.00000000000001</f>
        <v>#DIV/0!</v>
      </c>
      <c r="F307" s="217">
        <f>'TECH DATA ENTRY'!P335</f>
        <v>0</v>
      </c>
      <c r="G307" s="217">
        <v>1</v>
      </c>
      <c r="H307" s="218" t="e">
        <f t="shared" ref="H307:H311" si="61">G307*(F307/SQRT(AJ307))+0.00000000000001</f>
        <v>#DIV/0!</v>
      </c>
      <c r="I307" s="219">
        <f>'TECH DATA ENTRY'!Q335</f>
        <v>0</v>
      </c>
      <c r="J307" s="219" t="str">
        <f>'TECH DATA ENTRY'!$G$26</f>
        <v>Digital</v>
      </c>
      <c r="K307" s="217">
        <v>1</v>
      </c>
      <c r="L307" s="218">
        <f t="shared" si="59"/>
        <v>0</v>
      </c>
      <c r="M307" s="219">
        <f>'TECH DATA ENTRY'!R335</f>
        <v>0</v>
      </c>
      <c r="N307" s="219" t="str">
        <f>'TECH DATA ENTRY'!$G$26</f>
        <v>Digital</v>
      </c>
      <c r="O307" s="217">
        <v>1</v>
      </c>
      <c r="P307" s="218">
        <f t="shared" ref="P307:P311" si="62">IF(N307="Digital",M307/2/SQRT(3),M307/5/SQRT(3))*O307</f>
        <v>0</v>
      </c>
      <c r="Q307" s="220">
        <f>'TECH DATA ENTRY'!S335</f>
        <v>0</v>
      </c>
      <c r="R307" s="217">
        <v>1</v>
      </c>
      <c r="S307" s="218">
        <f t="shared" ref="S307:S311" si="63">Q307/IF(S$6="NORMAL", 2, IF(S$6="TRIANGULAR",SQRT(6),IF(S$6="U-SHAPED",SQRT(2),SQRT(3))))*R307</f>
        <v>0</v>
      </c>
      <c r="T307" s="220">
        <f>'TECH DATA ENTRY'!T335</f>
        <v>0</v>
      </c>
      <c r="U307" s="217">
        <v>1</v>
      </c>
      <c r="V307" s="218">
        <f t="shared" ref="V307:V311" si="64">T307/IF(V$6="NORMAL", 2, IF(V$6="TRIANGULAR",SQRT(6),IF(V$6="U-SHAPED",SQRT(2),SQRT(3))))*U307</f>
        <v>0</v>
      </c>
      <c r="W307" s="220">
        <f>'TECH DATA ENTRY'!U335</f>
        <v>0</v>
      </c>
      <c r="X307" s="217">
        <v>1</v>
      </c>
      <c r="Y307" s="218">
        <f t="shared" ref="Y307:Y311" si="65">W307/IF(Y$6="NORMAL", 2, IF(Y$6="TRIANGULAR",SQRT(6),IF(Y$6="U-SHAPED",SQRT(2),SQRT(3))))*X307</f>
        <v>0</v>
      </c>
      <c r="Z307" s="220">
        <f>'TECH DATA ENTRY'!V335</f>
        <v>0</v>
      </c>
      <c r="AA307" s="217">
        <v>1</v>
      </c>
      <c r="AB307" s="218">
        <f t="shared" ref="AB307:AB311" si="66">Z307/IF(AB$6="NORMAL", 2, IF(AB$6="TRIANGULAR",SQRT(6),IF(AB$6="U-SHAPED",SQRT(2),SQRT(3))))*AA307</f>
        <v>0</v>
      </c>
      <c r="AC307" s="220">
        <f>'TECH DATA ENTRY'!W335</f>
        <v>0</v>
      </c>
      <c r="AD307" s="217">
        <v>1</v>
      </c>
      <c r="AE307" s="218">
        <f t="shared" ref="AE307:AE311" si="67">AC307/IF(AE$6="NORMAL", 2, IF(AE$6="TRIANGULAR",SQRT(6),IF(AE$6="U-SHAPED",SQRT(2),SQRT(3))))*AD307</f>
        <v>0</v>
      </c>
      <c r="AF307" s="220">
        <f>'TECH DATA ENTRY'!X335</f>
        <v>0</v>
      </c>
      <c r="AG307" s="217">
        <v>1</v>
      </c>
      <c r="AH307" s="218">
        <f t="shared" ref="AH307:AH311" si="68">AF307/IF(AH$6="NORMAL", 2, IF(AH$6="TRIANGULAR",SQRT(6),IF(AH$6="U-SHAPED",SQRT(2),SQRT(3))))*AG307</f>
        <v>0</v>
      </c>
      <c r="AI307" s="219" t="e">
        <f t="shared" ref="AI307:AI311" si="69">SQRT(SUM(E307^2, H307^2,L307^2, P307^2,S307^2,V307^2,Y307^2,AB307^2,AE307^2,AH307^2))</f>
        <v>#DIV/0!</v>
      </c>
      <c r="AJ307" s="221">
        <f>'TECH DATA ENTRY'!K335</f>
        <v>0</v>
      </c>
      <c r="AK307" s="222" t="e">
        <f t="shared" ref="AK307:AK311" si="70">IF((AI307^4/(SUM(E307^4,H307^4)/(AJ307-1)))&gt;100,200,(AI307^4/(SUM(E307^4,H307^4)/(AJ307-1))))</f>
        <v>#DIV/0!</v>
      </c>
      <c r="AL307" s="222" t="e">
        <f>VLOOKUP(AK307,'AUX TABLES'!A$2:B$29,2)</f>
        <v>#DIV/0!</v>
      </c>
      <c r="AM307" s="223" t="e">
        <f>IF(OR(ISTEXT(B307)=TRUE,ISTEXT('TECH DATA ENTRY'!L335)=TRUE), "NA",AL307*AI307)</f>
        <v>#DIV/0!</v>
      </c>
      <c r="AN307" s="79"/>
    </row>
    <row r="308" spans="1:40" s="80" customFormat="1" ht="20.149999999999999" customHeight="1">
      <c r="A308" s="216"/>
      <c r="B308" s="249" t="str">
        <f>'TECH DATA ENTRY'!B336</f>
        <v>Nominal</v>
      </c>
      <c r="C308" s="217" t="str">
        <f>'TECH DATA ENTRY'!O336</f>
        <v>Uncertainty Components</v>
      </c>
      <c r="D308" s="217">
        <v>1</v>
      </c>
      <c r="E308" s="218" t="e">
        <f t="shared" si="60"/>
        <v>#VALUE!</v>
      </c>
      <c r="F308" s="217">
        <f>'TECH DATA ENTRY'!P336</f>
        <v>0</v>
      </c>
      <c r="G308" s="217">
        <v>1</v>
      </c>
      <c r="H308" s="218" t="e">
        <f t="shared" si="61"/>
        <v>#VALUE!</v>
      </c>
      <c r="I308" s="219">
        <f>'TECH DATA ENTRY'!Q336</f>
        <v>0</v>
      </c>
      <c r="J308" s="219" t="str">
        <f>'TECH DATA ENTRY'!$G$26</f>
        <v>Digital</v>
      </c>
      <c r="K308" s="217">
        <v>1</v>
      </c>
      <c r="L308" s="218">
        <f t="shared" si="59"/>
        <v>0</v>
      </c>
      <c r="M308" s="219">
        <f>'TECH DATA ENTRY'!R336</f>
        <v>0</v>
      </c>
      <c r="N308" s="219" t="str">
        <f>'TECH DATA ENTRY'!$G$26</f>
        <v>Digital</v>
      </c>
      <c r="O308" s="217">
        <v>1</v>
      </c>
      <c r="P308" s="218">
        <f t="shared" si="62"/>
        <v>0</v>
      </c>
      <c r="Q308" s="220">
        <f>'TECH DATA ENTRY'!S336</f>
        <v>0</v>
      </c>
      <c r="R308" s="217">
        <v>1</v>
      </c>
      <c r="S308" s="218">
        <f t="shared" si="63"/>
        <v>0</v>
      </c>
      <c r="T308" s="220">
        <f>'TECH DATA ENTRY'!T336</f>
        <v>0</v>
      </c>
      <c r="U308" s="217">
        <v>1</v>
      </c>
      <c r="V308" s="218">
        <f t="shared" si="64"/>
        <v>0</v>
      </c>
      <c r="W308" s="220">
        <f>'TECH DATA ENTRY'!U336</f>
        <v>0</v>
      </c>
      <c r="X308" s="217">
        <v>1</v>
      </c>
      <c r="Y308" s="218">
        <f t="shared" si="65"/>
        <v>0</v>
      </c>
      <c r="Z308" s="220">
        <f>'TECH DATA ENTRY'!V336</f>
        <v>0</v>
      </c>
      <c r="AA308" s="217">
        <v>1</v>
      </c>
      <c r="AB308" s="218">
        <f t="shared" si="66"/>
        <v>0</v>
      </c>
      <c r="AC308" s="220">
        <f>'TECH DATA ENTRY'!W336</f>
        <v>0</v>
      </c>
      <c r="AD308" s="217">
        <v>1</v>
      </c>
      <c r="AE308" s="218">
        <f t="shared" si="67"/>
        <v>0</v>
      </c>
      <c r="AF308" s="220">
        <f>'TECH DATA ENTRY'!X336</f>
        <v>0</v>
      </c>
      <c r="AG308" s="217">
        <v>1</v>
      </c>
      <c r="AH308" s="218">
        <f t="shared" si="68"/>
        <v>0</v>
      </c>
      <c r="AI308" s="219" t="e">
        <f t="shared" si="69"/>
        <v>#VALUE!</v>
      </c>
      <c r="AJ308" s="221" t="str">
        <f>'TECH DATA ENTRY'!K336</f>
        <v>n</v>
      </c>
      <c r="AK308" s="222" t="e">
        <f t="shared" si="70"/>
        <v>#VALUE!</v>
      </c>
      <c r="AL308" s="222" t="e">
        <f>VLOOKUP(AK308,'AUX TABLES'!A$2:B$29,2)</f>
        <v>#VALUE!</v>
      </c>
      <c r="AM308" s="223" t="str">
        <f>IF(OR(ISTEXT(B308)=TRUE,ISTEXT('TECH DATA ENTRY'!L336)=TRUE), "NA",AL308*AI308)</f>
        <v>NA</v>
      </c>
      <c r="AN308" s="79"/>
    </row>
    <row r="309" spans="1:40" s="80" customFormat="1" ht="20.149999999999999" customHeight="1">
      <c r="A309" s="216"/>
      <c r="B309" s="249">
        <f>'TECH DATA ENTRY'!B337</f>
        <v>0</v>
      </c>
      <c r="C309" s="217" t="str">
        <f>'TECH DATA ENTRY'!O337</f>
        <v>Stdev 1</v>
      </c>
      <c r="D309" s="217">
        <v>1</v>
      </c>
      <c r="E309" s="218" t="e">
        <f t="shared" si="60"/>
        <v>#VALUE!</v>
      </c>
      <c r="F309" s="217" t="str">
        <f>'TECH DATA ENTRY'!P337</f>
        <v>Stdev 2</v>
      </c>
      <c r="G309" s="217">
        <v>1</v>
      </c>
      <c r="H309" s="218" t="e">
        <f t="shared" si="61"/>
        <v>#VALUE!</v>
      </c>
      <c r="I309" s="219" t="str">
        <f>'TECH DATA ENTRY'!Q337</f>
        <v>Resolution 1</v>
      </c>
      <c r="J309" s="219" t="str">
        <f>'TECH DATA ENTRY'!$G$26</f>
        <v>Digital</v>
      </c>
      <c r="K309" s="217">
        <v>1</v>
      </c>
      <c r="L309" s="218" t="e">
        <f t="shared" si="59"/>
        <v>#VALUE!</v>
      </c>
      <c r="M309" s="219" t="str">
        <f>'TECH DATA ENTRY'!R337</f>
        <v>Resolution 2</v>
      </c>
      <c r="N309" s="219" t="str">
        <f>'TECH DATA ENTRY'!$G$26</f>
        <v>Digital</v>
      </c>
      <c r="O309" s="217">
        <v>1</v>
      </c>
      <c r="P309" s="218" t="e">
        <f t="shared" si="62"/>
        <v>#VALUE!</v>
      </c>
      <c r="Q309" s="220" t="str">
        <f>'TECH DATA ENTRY'!S337</f>
        <v>Scope Uncertainty</v>
      </c>
      <c r="R309" s="217">
        <v>1</v>
      </c>
      <c r="S309" s="218" t="e">
        <f t="shared" si="63"/>
        <v>#VALUE!</v>
      </c>
      <c r="T309" s="220" t="str">
        <f>'TECH DATA ENTRY'!T337</f>
        <v>STD 2 Cal Unc</v>
      </c>
      <c r="U309" s="217">
        <v>1</v>
      </c>
      <c r="V309" s="218" t="e">
        <f t="shared" si="64"/>
        <v>#VALUE!</v>
      </c>
      <c r="W309" s="220" t="str">
        <f>'TECH DATA ENTRY'!U337</f>
        <v>Others 1</v>
      </c>
      <c r="X309" s="217">
        <v>1</v>
      </c>
      <c r="Y309" s="218" t="e">
        <f t="shared" si="65"/>
        <v>#VALUE!</v>
      </c>
      <c r="Z309" s="220" t="str">
        <f>'TECH DATA ENTRY'!V337</f>
        <v>Others 2</v>
      </c>
      <c r="AA309" s="217">
        <v>1</v>
      </c>
      <c r="AB309" s="218" t="e">
        <f t="shared" si="66"/>
        <v>#VALUE!</v>
      </c>
      <c r="AC309" s="220" t="str">
        <f>'TECH DATA ENTRY'!W337</f>
        <v>Others 3</v>
      </c>
      <c r="AD309" s="217">
        <v>1</v>
      </c>
      <c r="AE309" s="218" t="e">
        <f t="shared" si="67"/>
        <v>#VALUE!</v>
      </c>
      <c r="AF309" s="220" t="str">
        <f>'TECH DATA ENTRY'!X337</f>
        <v>Others 4</v>
      </c>
      <c r="AG309" s="217">
        <v>1</v>
      </c>
      <c r="AH309" s="218" t="e">
        <f t="shared" si="68"/>
        <v>#VALUE!</v>
      </c>
      <c r="AI309" s="219" t="e">
        <f t="shared" si="69"/>
        <v>#VALUE!</v>
      </c>
      <c r="AJ309" s="221">
        <f>'TECH DATA ENTRY'!K337</f>
        <v>0</v>
      </c>
      <c r="AK309" s="222" t="e">
        <f t="shared" si="70"/>
        <v>#VALUE!</v>
      </c>
      <c r="AL309" s="222" t="e">
        <f>VLOOKUP(AK309,'AUX TABLES'!A$2:B$29,2)</f>
        <v>#VALUE!</v>
      </c>
      <c r="AM309" s="223" t="e">
        <f>IF(OR(ISTEXT(B309)=TRUE,ISTEXT('TECH DATA ENTRY'!L337)=TRUE), "NA",AL309*AI309)</f>
        <v>#VALUE!</v>
      </c>
      <c r="AN309" s="79"/>
    </row>
    <row r="310" spans="1:40" s="80" customFormat="1" ht="20.149999999999999" customHeight="1">
      <c r="A310" s="216"/>
      <c r="B310" s="249">
        <f>'TECH DATA ENTRY'!B338</f>
        <v>10</v>
      </c>
      <c r="C310" s="217" t="str">
        <f>'TECH DATA ENTRY'!O338</f>
        <v/>
      </c>
      <c r="D310" s="217">
        <v>1</v>
      </c>
      <c r="E310" s="218" t="e">
        <f t="shared" si="60"/>
        <v>#VALUE!</v>
      </c>
      <c r="F310" s="217">
        <f>'TECH DATA ENTRY'!P338</f>
        <v>0</v>
      </c>
      <c r="G310" s="217">
        <v>1</v>
      </c>
      <c r="H310" s="218" t="e">
        <f t="shared" si="61"/>
        <v>#VALUE!</v>
      </c>
      <c r="I310" s="219">
        <f>'TECH DATA ENTRY'!Q338</f>
        <v>1.0000000000000001E-5</v>
      </c>
      <c r="J310" s="219" t="str">
        <f>'TECH DATA ENTRY'!$G$26</f>
        <v>Digital</v>
      </c>
      <c r="K310" s="217">
        <v>1</v>
      </c>
      <c r="L310" s="218">
        <f t="shared" si="59"/>
        <v>2.8867513459481293E-6</v>
      </c>
      <c r="M310" s="219">
        <f>'TECH DATA ENTRY'!R338</f>
        <v>0</v>
      </c>
      <c r="N310" s="219" t="str">
        <f>'TECH DATA ENTRY'!$G$26</f>
        <v>Digital</v>
      </c>
      <c r="O310" s="217">
        <v>1</v>
      </c>
      <c r="P310" s="218">
        <f t="shared" si="62"/>
        <v>0</v>
      </c>
      <c r="Q310" s="220">
        <f>'TECH DATA ENTRY'!S338</f>
        <v>6.0399999999999994E-3</v>
      </c>
      <c r="R310" s="217">
        <v>1</v>
      </c>
      <c r="S310" s="218">
        <f t="shared" si="63"/>
        <v>3.0199999999999997E-3</v>
      </c>
      <c r="T310" s="220">
        <f>'TECH DATA ENTRY'!T338</f>
        <v>0</v>
      </c>
      <c r="U310" s="217">
        <v>1</v>
      </c>
      <c r="V310" s="218">
        <f t="shared" si="64"/>
        <v>0</v>
      </c>
      <c r="W310" s="220">
        <f>'TECH DATA ENTRY'!U338</f>
        <v>0</v>
      </c>
      <c r="X310" s="217">
        <v>1</v>
      </c>
      <c r="Y310" s="218">
        <f t="shared" si="65"/>
        <v>0</v>
      </c>
      <c r="Z310" s="220">
        <f>'TECH DATA ENTRY'!V338</f>
        <v>0</v>
      </c>
      <c r="AA310" s="217">
        <v>1</v>
      </c>
      <c r="AB310" s="218">
        <f t="shared" si="66"/>
        <v>0</v>
      </c>
      <c r="AC310" s="220">
        <f>'TECH DATA ENTRY'!W338</f>
        <v>0</v>
      </c>
      <c r="AD310" s="217">
        <v>1</v>
      </c>
      <c r="AE310" s="218">
        <f t="shared" si="67"/>
        <v>0</v>
      </c>
      <c r="AF310" s="220">
        <f>'TECH DATA ENTRY'!X338</f>
        <v>0</v>
      </c>
      <c r="AG310" s="217">
        <v>1</v>
      </c>
      <c r="AH310" s="218">
        <f t="shared" si="68"/>
        <v>0</v>
      </c>
      <c r="AI310" s="219" t="e">
        <f t="shared" si="69"/>
        <v>#VALUE!</v>
      </c>
      <c r="AJ310" s="221" t="str">
        <f>'TECH DATA ENTRY'!K338</f>
        <v/>
      </c>
      <c r="AK310" s="222" t="e">
        <f t="shared" si="70"/>
        <v>#VALUE!</v>
      </c>
      <c r="AL310" s="222" t="e">
        <f>VLOOKUP(AK310,'AUX TABLES'!A$2:B$29,2)</f>
        <v>#VALUE!</v>
      </c>
      <c r="AM310" s="223" t="str">
        <f>IF(OR(ISTEXT(B310)=TRUE,ISTEXT('TECH DATA ENTRY'!L338)=TRUE), "NA",AL310*AI310)</f>
        <v>NA</v>
      </c>
      <c r="AN310" s="79"/>
    </row>
    <row r="311" spans="1:40" s="80" customFormat="1" ht="20.149999999999999" customHeight="1">
      <c r="A311" s="216"/>
      <c r="B311" s="249">
        <f>'TECH DATA ENTRY'!B339</f>
        <v>10</v>
      </c>
      <c r="C311" s="217" t="str">
        <f>'TECH DATA ENTRY'!O339</f>
        <v/>
      </c>
      <c r="D311" s="217">
        <v>1</v>
      </c>
      <c r="E311" s="218" t="e">
        <f t="shared" si="60"/>
        <v>#VALUE!</v>
      </c>
      <c r="F311" s="217">
        <f>'TECH DATA ENTRY'!P339</f>
        <v>0</v>
      </c>
      <c r="G311" s="217">
        <v>1</v>
      </c>
      <c r="H311" s="218" t="e">
        <f t="shared" si="61"/>
        <v>#VALUE!</v>
      </c>
      <c r="I311" s="219">
        <f>'TECH DATA ENTRY'!Q339</f>
        <v>1.0000000000000001E-5</v>
      </c>
      <c r="J311" s="219" t="str">
        <f>'TECH DATA ENTRY'!$G$26</f>
        <v>Digital</v>
      </c>
      <c r="K311" s="217">
        <v>1</v>
      </c>
      <c r="L311" s="218">
        <f t="shared" si="59"/>
        <v>2.8867513459481293E-6</v>
      </c>
      <c r="M311" s="219">
        <f>'TECH DATA ENTRY'!R339</f>
        <v>0</v>
      </c>
      <c r="N311" s="219" t="str">
        <f>'TECH DATA ENTRY'!$G$26</f>
        <v>Digital</v>
      </c>
      <c r="O311" s="217">
        <v>1</v>
      </c>
      <c r="P311" s="218">
        <f t="shared" si="62"/>
        <v>0</v>
      </c>
      <c r="Q311" s="220">
        <f>'TECH DATA ENTRY'!S339</f>
        <v>0</v>
      </c>
      <c r="R311" s="217">
        <v>1</v>
      </c>
      <c r="S311" s="218">
        <f t="shared" si="63"/>
        <v>0</v>
      </c>
      <c r="T311" s="220">
        <f>'TECH DATA ENTRY'!T339</f>
        <v>0</v>
      </c>
      <c r="U311" s="217">
        <v>1</v>
      </c>
      <c r="V311" s="218">
        <f t="shared" si="64"/>
        <v>0</v>
      </c>
      <c r="W311" s="220">
        <f>'TECH DATA ENTRY'!U339</f>
        <v>0</v>
      </c>
      <c r="X311" s="217">
        <v>1</v>
      </c>
      <c r="Y311" s="218">
        <f t="shared" si="65"/>
        <v>0</v>
      </c>
      <c r="Z311" s="220">
        <f>'TECH DATA ENTRY'!V339</f>
        <v>0</v>
      </c>
      <c r="AA311" s="217">
        <v>1</v>
      </c>
      <c r="AB311" s="218">
        <f t="shared" si="66"/>
        <v>0</v>
      </c>
      <c r="AC311" s="220">
        <f>'TECH DATA ENTRY'!W339</f>
        <v>0</v>
      </c>
      <c r="AD311" s="217">
        <v>1</v>
      </c>
      <c r="AE311" s="218">
        <f t="shared" si="67"/>
        <v>0</v>
      </c>
      <c r="AF311" s="220">
        <f>'TECH DATA ENTRY'!X339</f>
        <v>0</v>
      </c>
      <c r="AG311" s="217">
        <v>1</v>
      </c>
      <c r="AH311" s="218">
        <f t="shared" si="68"/>
        <v>0</v>
      </c>
      <c r="AI311" s="219" t="e">
        <f t="shared" si="69"/>
        <v>#VALUE!</v>
      </c>
      <c r="AJ311" s="221" t="str">
        <f>'TECH DATA ENTRY'!K339</f>
        <v/>
      </c>
      <c r="AK311" s="222" t="e">
        <f t="shared" si="70"/>
        <v>#VALUE!</v>
      </c>
      <c r="AL311" s="222" t="e">
        <f>VLOOKUP(AK311,'AUX TABLES'!A$2:B$29,2)</f>
        <v>#VALUE!</v>
      </c>
      <c r="AM311" s="223" t="str">
        <f>IF(OR(ISTEXT(B311)=TRUE,ISTEXT('TECH DATA ENTRY'!L339)=TRUE), "NA",AL311*AI311)</f>
        <v>NA</v>
      </c>
      <c r="AN311" s="79"/>
    </row>
  </sheetData>
  <sheetProtection formatRows="0" insertColumns="0" insertRows="0" insertHyperlinks="0" deleteColumns="0" selectLockedCells="1" selectUnlockedCells="1"/>
  <mergeCells count="15">
    <mergeCell ref="B5:B7"/>
    <mergeCell ref="AM5:AM7"/>
    <mergeCell ref="C5:E5"/>
    <mergeCell ref="F5:H5"/>
    <mergeCell ref="I5:L5"/>
    <mergeCell ref="M5:P5"/>
    <mergeCell ref="Q5:S5"/>
    <mergeCell ref="AF5:AH5"/>
    <mergeCell ref="AI5:AI7"/>
    <mergeCell ref="AJ5:AK6"/>
    <mergeCell ref="AL5:AL7"/>
    <mergeCell ref="T5:V5"/>
    <mergeCell ref="W5:Y5"/>
    <mergeCell ref="Z5:AB5"/>
    <mergeCell ref="AC5:AE5"/>
  </mergeCells>
  <dataValidations count="4">
    <dataValidation type="list" allowBlank="1" showInputMessage="1" showErrorMessage="1" sqref="J8:J311 N8:N311" xr:uid="{00000000-0002-0000-0200-000000000000}">
      <formula1>"Digital, Analog"</formula1>
    </dataValidation>
    <dataValidation type="list" allowBlank="1" showInputMessage="1" showErrorMessage="1" sqref="I6 C6 AC6 M6 AF6 F6 T6 W6 Z6 Q6" xr:uid="{00000000-0002-0000-0200-000001000000}">
      <formula1>"Type A, Type B"</formula1>
    </dataValidation>
    <dataValidation type="list" allowBlank="1" showInputMessage="1" showErrorMessage="1" sqref="E6 H6 L6 P6 S6" xr:uid="{00000000-0002-0000-0200-000002000000}">
      <formula1>"Normal, Rectangular, Triangular"</formula1>
    </dataValidation>
    <dataValidation type="list" allowBlank="1" showInputMessage="1" showErrorMessage="1" sqref="V6 Y6 AB6 AE6 AH6" xr:uid="{00000000-0002-0000-0200-000003000000}">
      <formula1>"Normal, Rectangular, Triangular, U-Shaped"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DG45"/>
  <sheetViews>
    <sheetView topLeftCell="A16" zoomScale="55" zoomScaleNormal="55" workbookViewId="0">
      <selection activeCell="N17" sqref="N17"/>
    </sheetView>
  </sheetViews>
  <sheetFormatPr defaultRowHeight="13"/>
  <cols>
    <col min="1" max="2" width="21.453125" style="105" customWidth="1"/>
    <col min="3" max="3" width="34.453125" style="105" customWidth="1"/>
    <col min="4" max="9" width="21.453125" style="105" customWidth="1"/>
    <col min="10" max="10" width="2.54296875" style="105" customWidth="1"/>
    <col min="11" max="11" width="23.26953125" style="107" hidden="1" customWidth="1"/>
    <col min="12" max="42" width="9.26953125" style="107" customWidth="1"/>
    <col min="43" max="246" width="8.81640625" style="107"/>
    <col min="247" max="247" width="12.7265625" style="107" customWidth="1"/>
    <col min="248" max="248" width="7.7265625" style="107" customWidth="1"/>
    <col min="249" max="249" width="55" style="107" customWidth="1"/>
    <col min="250" max="255" width="16.1796875" style="107" customWidth="1"/>
    <col min="256" max="258" width="8.81640625" style="107"/>
    <col min="259" max="259" width="11.1796875" style="107" customWidth="1"/>
    <col min="260" max="502" width="8.81640625" style="107"/>
    <col min="503" max="503" width="12.7265625" style="107" customWidth="1"/>
    <col min="504" max="504" width="7.7265625" style="107" customWidth="1"/>
    <col min="505" max="505" width="55" style="107" customWidth="1"/>
    <col min="506" max="511" width="16.1796875" style="107" customWidth="1"/>
    <col min="512" max="514" width="8.81640625" style="107"/>
    <col min="515" max="515" width="11.1796875" style="107" customWidth="1"/>
    <col min="516" max="758" width="8.81640625" style="107"/>
    <col min="759" max="759" width="12.7265625" style="107" customWidth="1"/>
    <col min="760" max="760" width="7.7265625" style="107" customWidth="1"/>
    <col min="761" max="761" width="55" style="107" customWidth="1"/>
    <col min="762" max="767" width="16.1796875" style="107" customWidth="1"/>
    <col min="768" max="770" width="8.81640625" style="107"/>
    <col min="771" max="771" width="11.1796875" style="107" customWidth="1"/>
    <col min="772" max="1014" width="8.81640625" style="107"/>
    <col min="1015" max="1015" width="12.7265625" style="107" customWidth="1"/>
    <col min="1016" max="1016" width="7.7265625" style="107" customWidth="1"/>
    <col min="1017" max="1017" width="55" style="107" customWidth="1"/>
    <col min="1018" max="1023" width="16.1796875" style="107" customWidth="1"/>
    <col min="1024" max="1026" width="8.81640625" style="107"/>
    <col min="1027" max="1027" width="11.1796875" style="107" customWidth="1"/>
    <col min="1028" max="1270" width="8.81640625" style="107"/>
    <col min="1271" max="1271" width="12.7265625" style="107" customWidth="1"/>
    <col min="1272" max="1272" width="7.7265625" style="107" customWidth="1"/>
    <col min="1273" max="1273" width="55" style="107" customWidth="1"/>
    <col min="1274" max="1279" width="16.1796875" style="107" customWidth="1"/>
    <col min="1280" max="1282" width="8.81640625" style="107"/>
    <col min="1283" max="1283" width="11.1796875" style="107" customWidth="1"/>
    <col min="1284" max="1526" width="8.81640625" style="107"/>
    <col min="1527" max="1527" width="12.7265625" style="107" customWidth="1"/>
    <col min="1528" max="1528" width="7.7265625" style="107" customWidth="1"/>
    <col min="1529" max="1529" width="55" style="107" customWidth="1"/>
    <col min="1530" max="1535" width="16.1796875" style="107" customWidth="1"/>
    <col min="1536" max="1538" width="8.81640625" style="107"/>
    <col min="1539" max="1539" width="11.1796875" style="107" customWidth="1"/>
    <col min="1540" max="1782" width="8.81640625" style="107"/>
    <col min="1783" max="1783" width="12.7265625" style="107" customWidth="1"/>
    <col min="1784" max="1784" width="7.7265625" style="107" customWidth="1"/>
    <col min="1785" max="1785" width="55" style="107" customWidth="1"/>
    <col min="1786" max="1791" width="16.1796875" style="107" customWidth="1"/>
    <col min="1792" max="1794" width="8.81640625" style="107"/>
    <col min="1795" max="1795" width="11.1796875" style="107" customWidth="1"/>
    <col min="1796" max="2038" width="8.81640625" style="107"/>
    <col min="2039" max="2039" width="12.7265625" style="107" customWidth="1"/>
    <col min="2040" max="2040" width="7.7265625" style="107" customWidth="1"/>
    <col min="2041" max="2041" width="55" style="107" customWidth="1"/>
    <col min="2042" max="2047" width="16.1796875" style="107" customWidth="1"/>
    <col min="2048" max="2050" width="8.81640625" style="107"/>
    <col min="2051" max="2051" width="11.1796875" style="107" customWidth="1"/>
    <col min="2052" max="2294" width="8.81640625" style="107"/>
    <col min="2295" max="2295" width="12.7265625" style="107" customWidth="1"/>
    <col min="2296" max="2296" width="7.7265625" style="107" customWidth="1"/>
    <col min="2297" max="2297" width="55" style="107" customWidth="1"/>
    <col min="2298" max="2303" width="16.1796875" style="107" customWidth="1"/>
    <col min="2304" max="2306" width="8.81640625" style="107"/>
    <col min="2307" max="2307" width="11.1796875" style="107" customWidth="1"/>
    <col min="2308" max="2550" width="8.81640625" style="107"/>
    <col min="2551" max="2551" width="12.7265625" style="107" customWidth="1"/>
    <col min="2552" max="2552" width="7.7265625" style="107" customWidth="1"/>
    <col min="2553" max="2553" width="55" style="107" customWidth="1"/>
    <col min="2554" max="2559" width="16.1796875" style="107" customWidth="1"/>
    <col min="2560" max="2562" width="8.81640625" style="107"/>
    <col min="2563" max="2563" width="11.1796875" style="107" customWidth="1"/>
    <col min="2564" max="2806" width="8.81640625" style="107"/>
    <col min="2807" max="2807" width="12.7265625" style="107" customWidth="1"/>
    <col min="2808" max="2808" width="7.7265625" style="107" customWidth="1"/>
    <col min="2809" max="2809" width="55" style="107" customWidth="1"/>
    <col min="2810" max="2815" width="16.1796875" style="107" customWidth="1"/>
    <col min="2816" max="2818" width="8.81640625" style="107"/>
    <col min="2819" max="2819" width="11.1796875" style="107" customWidth="1"/>
    <col min="2820" max="3062" width="8.81640625" style="107"/>
    <col min="3063" max="3063" width="12.7265625" style="107" customWidth="1"/>
    <col min="3064" max="3064" width="7.7265625" style="107" customWidth="1"/>
    <col min="3065" max="3065" width="55" style="107" customWidth="1"/>
    <col min="3066" max="3071" width="16.1796875" style="107" customWidth="1"/>
    <col min="3072" max="3074" width="8.81640625" style="107"/>
    <col min="3075" max="3075" width="11.1796875" style="107" customWidth="1"/>
    <col min="3076" max="3318" width="8.81640625" style="107"/>
    <col min="3319" max="3319" width="12.7265625" style="107" customWidth="1"/>
    <col min="3320" max="3320" width="7.7265625" style="107" customWidth="1"/>
    <col min="3321" max="3321" width="55" style="107" customWidth="1"/>
    <col min="3322" max="3327" width="16.1796875" style="107" customWidth="1"/>
    <col min="3328" max="3330" width="8.81640625" style="107"/>
    <col min="3331" max="3331" width="11.1796875" style="107" customWidth="1"/>
    <col min="3332" max="3574" width="8.81640625" style="107"/>
    <col min="3575" max="3575" width="12.7265625" style="107" customWidth="1"/>
    <col min="3576" max="3576" width="7.7265625" style="107" customWidth="1"/>
    <col min="3577" max="3577" width="55" style="107" customWidth="1"/>
    <col min="3578" max="3583" width="16.1796875" style="107" customWidth="1"/>
    <col min="3584" max="3586" width="8.81640625" style="107"/>
    <col min="3587" max="3587" width="11.1796875" style="107" customWidth="1"/>
    <col min="3588" max="3830" width="8.81640625" style="107"/>
    <col min="3831" max="3831" width="12.7265625" style="107" customWidth="1"/>
    <col min="3832" max="3832" width="7.7265625" style="107" customWidth="1"/>
    <col min="3833" max="3833" width="55" style="107" customWidth="1"/>
    <col min="3834" max="3839" width="16.1796875" style="107" customWidth="1"/>
    <col min="3840" max="3842" width="8.81640625" style="107"/>
    <col min="3843" max="3843" width="11.1796875" style="107" customWidth="1"/>
    <col min="3844" max="4086" width="8.81640625" style="107"/>
    <col min="4087" max="4087" width="12.7265625" style="107" customWidth="1"/>
    <col min="4088" max="4088" width="7.7265625" style="107" customWidth="1"/>
    <col min="4089" max="4089" width="55" style="107" customWidth="1"/>
    <col min="4090" max="4095" width="16.1796875" style="107" customWidth="1"/>
    <col min="4096" max="4098" width="8.81640625" style="107"/>
    <col min="4099" max="4099" width="11.1796875" style="107" customWidth="1"/>
    <col min="4100" max="4342" width="8.81640625" style="107"/>
    <col min="4343" max="4343" width="12.7265625" style="107" customWidth="1"/>
    <col min="4344" max="4344" width="7.7265625" style="107" customWidth="1"/>
    <col min="4345" max="4345" width="55" style="107" customWidth="1"/>
    <col min="4346" max="4351" width="16.1796875" style="107" customWidth="1"/>
    <col min="4352" max="4354" width="8.81640625" style="107"/>
    <col min="4355" max="4355" width="11.1796875" style="107" customWidth="1"/>
    <col min="4356" max="4598" width="8.81640625" style="107"/>
    <col min="4599" max="4599" width="12.7265625" style="107" customWidth="1"/>
    <col min="4600" max="4600" width="7.7265625" style="107" customWidth="1"/>
    <col min="4601" max="4601" width="55" style="107" customWidth="1"/>
    <col min="4602" max="4607" width="16.1796875" style="107" customWidth="1"/>
    <col min="4608" max="4610" width="8.81640625" style="107"/>
    <col min="4611" max="4611" width="11.1796875" style="107" customWidth="1"/>
    <col min="4612" max="4854" width="8.81640625" style="107"/>
    <col min="4855" max="4855" width="12.7265625" style="107" customWidth="1"/>
    <col min="4856" max="4856" width="7.7265625" style="107" customWidth="1"/>
    <col min="4857" max="4857" width="55" style="107" customWidth="1"/>
    <col min="4858" max="4863" width="16.1796875" style="107" customWidth="1"/>
    <col min="4864" max="4866" width="8.81640625" style="107"/>
    <col min="4867" max="4867" width="11.1796875" style="107" customWidth="1"/>
    <col min="4868" max="5110" width="8.81640625" style="107"/>
    <col min="5111" max="5111" width="12.7265625" style="107" customWidth="1"/>
    <col min="5112" max="5112" width="7.7265625" style="107" customWidth="1"/>
    <col min="5113" max="5113" width="55" style="107" customWidth="1"/>
    <col min="5114" max="5119" width="16.1796875" style="107" customWidth="1"/>
    <col min="5120" max="5122" width="8.81640625" style="107"/>
    <col min="5123" max="5123" width="11.1796875" style="107" customWidth="1"/>
    <col min="5124" max="5366" width="8.81640625" style="107"/>
    <col min="5367" max="5367" width="12.7265625" style="107" customWidth="1"/>
    <col min="5368" max="5368" width="7.7265625" style="107" customWidth="1"/>
    <col min="5369" max="5369" width="55" style="107" customWidth="1"/>
    <col min="5370" max="5375" width="16.1796875" style="107" customWidth="1"/>
    <col min="5376" max="5378" width="8.81640625" style="107"/>
    <col min="5379" max="5379" width="11.1796875" style="107" customWidth="1"/>
    <col min="5380" max="5622" width="8.81640625" style="107"/>
    <col min="5623" max="5623" width="12.7265625" style="107" customWidth="1"/>
    <col min="5624" max="5624" width="7.7265625" style="107" customWidth="1"/>
    <col min="5625" max="5625" width="55" style="107" customWidth="1"/>
    <col min="5626" max="5631" width="16.1796875" style="107" customWidth="1"/>
    <col min="5632" max="5634" width="8.81640625" style="107"/>
    <col min="5635" max="5635" width="11.1796875" style="107" customWidth="1"/>
    <col min="5636" max="5878" width="8.81640625" style="107"/>
    <col min="5879" max="5879" width="12.7265625" style="107" customWidth="1"/>
    <col min="5880" max="5880" width="7.7265625" style="107" customWidth="1"/>
    <col min="5881" max="5881" width="55" style="107" customWidth="1"/>
    <col min="5882" max="5887" width="16.1796875" style="107" customWidth="1"/>
    <col min="5888" max="5890" width="8.81640625" style="107"/>
    <col min="5891" max="5891" width="11.1796875" style="107" customWidth="1"/>
    <col min="5892" max="6134" width="8.81640625" style="107"/>
    <col min="6135" max="6135" width="12.7265625" style="107" customWidth="1"/>
    <col min="6136" max="6136" width="7.7265625" style="107" customWidth="1"/>
    <col min="6137" max="6137" width="55" style="107" customWidth="1"/>
    <col min="6138" max="6143" width="16.1796875" style="107" customWidth="1"/>
    <col min="6144" max="6146" width="8.81640625" style="107"/>
    <col min="6147" max="6147" width="11.1796875" style="107" customWidth="1"/>
    <col min="6148" max="6390" width="8.81640625" style="107"/>
    <col min="6391" max="6391" width="12.7265625" style="107" customWidth="1"/>
    <col min="6392" max="6392" width="7.7265625" style="107" customWidth="1"/>
    <col min="6393" max="6393" width="55" style="107" customWidth="1"/>
    <col min="6394" max="6399" width="16.1796875" style="107" customWidth="1"/>
    <col min="6400" max="6402" width="8.81640625" style="107"/>
    <col min="6403" max="6403" width="11.1796875" style="107" customWidth="1"/>
    <col min="6404" max="6646" width="8.81640625" style="107"/>
    <col min="6647" max="6647" width="12.7265625" style="107" customWidth="1"/>
    <col min="6648" max="6648" width="7.7265625" style="107" customWidth="1"/>
    <col min="6649" max="6649" width="55" style="107" customWidth="1"/>
    <col min="6650" max="6655" width="16.1796875" style="107" customWidth="1"/>
    <col min="6656" max="6658" width="8.81640625" style="107"/>
    <col min="6659" max="6659" width="11.1796875" style="107" customWidth="1"/>
    <col min="6660" max="6902" width="8.81640625" style="107"/>
    <col min="6903" max="6903" width="12.7265625" style="107" customWidth="1"/>
    <col min="6904" max="6904" width="7.7265625" style="107" customWidth="1"/>
    <col min="6905" max="6905" width="55" style="107" customWidth="1"/>
    <col min="6906" max="6911" width="16.1796875" style="107" customWidth="1"/>
    <col min="6912" max="6914" width="8.81640625" style="107"/>
    <col min="6915" max="6915" width="11.1796875" style="107" customWidth="1"/>
    <col min="6916" max="7158" width="8.81640625" style="107"/>
    <col min="7159" max="7159" width="12.7265625" style="107" customWidth="1"/>
    <col min="7160" max="7160" width="7.7265625" style="107" customWidth="1"/>
    <col min="7161" max="7161" width="55" style="107" customWidth="1"/>
    <col min="7162" max="7167" width="16.1796875" style="107" customWidth="1"/>
    <col min="7168" max="7170" width="8.81640625" style="107"/>
    <col min="7171" max="7171" width="11.1796875" style="107" customWidth="1"/>
    <col min="7172" max="7414" width="8.81640625" style="107"/>
    <col min="7415" max="7415" width="12.7265625" style="107" customWidth="1"/>
    <col min="7416" max="7416" width="7.7265625" style="107" customWidth="1"/>
    <col min="7417" max="7417" width="55" style="107" customWidth="1"/>
    <col min="7418" max="7423" width="16.1796875" style="107" customWidth="1"/>
    <col min="7424" max="7426" width="8.81640625" style="107"/>
    <col min="7427" max="7427" width="11.1796875" style="107" customWidth="1"/>
    <col min="7428" max="7670" width="8.81640625" style="107"/>
    <col min="7671" max="7671" width="12.7265625" style="107" customWidth="1"/>
    <col min="7672" max="7672" width="7.7265625" style="107" customWidth="1"/>
    <col min="7673" max="7673" width="55" style="107" customWidth="1"/>
    <col min="7674" max="7679" width="16.1796875" style="107" customWidth="1"/>
    <col min="7680" max="7682" width="8.81640625" style="107"/>
    <col min="7683" max="7683" width="11.1796875" style="107" customWidth="1"/>
    <col min="7684" max="7926" width="8.81640625" style="107"/>
    <col min="7927" max="7927" width="12.7265625" style="107" customWidth="1"/>
    <col min="7928" max="7928" width="7.7265625" style="107" customWidth="1"/>
    <col min="7929" max="7929" width="55" style="107" customWidth="1"/>
    <col min="7930" max="7935" width="16.1796875" style="107" customWidth="1"/>
    <col min="7936" max="7938" width="8.81640625" style="107"/>
    <col min="7939" max="7939" width="11.1796875" style="107" customWidth="1"/>
    <col min="7940" max="8182" width="8.81640625" style="107"/>
    <col min="8183" max="8183" width="12.7265625" style="107" customWidth="1"/>
    <col min="8184" max="8184" width="7.7265625" style="107" customWidth="1"/>
    <col min="8185" max="8185" width="55" style="107" customWidth="1"/>
    <col min="8186" max="8191" width="16.1796875" style="107" customWidth="1"/>
    <col min="8192" max="8194" width="8.81640625" style="107"/>
    <col min="8195" max="8195" width="11.1796875" style="107" customWidth="1"/>
    <col min="8196" max="8438" width="8.81640625" style="107"/>
    <col min="8439" max="8439" width="12.7265625" style="107" customWidth="1"/>
    <col min="8440" max="8440" width="7.7265625" style="107" customWidth="1"/>
    <col min="8441" max="8441" width="55" style="107" customWidth="1"/>
    <col min="8442" max="8447" width="16.1796875" style="107" customWidth="1"/>
    <col min="8448" max="8450" width="8.81640625" style="107"/>
    <col min="8451" max="8451" width="11.1796875" style="107" customWidth="1"/>
    <col min="8452" max="8694" width="8.81640625" style="107"/>
    <col min="8695" max="8695" width="12.7265625" style="107" customWidth="1"/>
    <col min="8696" max="8696" width="7.7265625" style="107" customWidth="1"/>
    <col min="8697" max="8697" width="55" style="107" customWidth="1"/>
    <col min="8698" max="8703" width="16.1796875" style="107" customWidth="1"/>
    <col min="8704" max="8706" width="8.81640625" style="107"/>
    <col min="8707" max="8707" width="11.1796875" style="107" customWidth="1"/>
    <col min="8708" max="8950" width="8.81640625" style="107"/>
    <col min="8951" max="8951" width="12.7265625" style="107" customWidth="1"/>
    <col min="8952" max="8952" width="7.7265625" style="107" customWidth="1"/>
    <col min="8953" max="8953" width="55" style="107" customWidth="1"/>
    <col min="8954" max="8959" width="16.1796875" style="107" customWidth="1"/>
    <col min="8960" max="8962" width="8.81640625" style="107"/>
    <col min="8963" max="8963" width="11.1796875" style="107" customWidth="1"/>
    <col min="8964" max="9206" width="8.81640625" style="107"/>
    <col min="9207" max="9207" width="12.7265625" style="107" customWidth="1"/>
    <col min="9208" max="9208" width="7.7265625" style="107" customWidth="1"/>
    <col min="9209" max="9209" width="55" style="107" customWidth="1"/>
    <col min="9210" max="9215" width="16.1796875" style="107" customWidth="1"/>
    <col min="9216" max="9218" width="8.81640625" style="107"/>
    <col min="9219" max="9219" width="11.1796875" style="107" customWidth="1"/>
    <col min="9220" max="9462" width="8.81640625" style="107"/>
    <col min="9463" max="9463" width="12.7265625" style="107" customWidth="1"/>
    <col min="9464" max="9464" width="7.7265625" style="107" customWidth="1"/>
    <col min="9465" max="9465" width="55" style="107" customWidth="1"/>
    <col min="9466" max="9471" width="16.1796875" style="107" customWidth="1"/>
    <col min="9472" max="9474" width="8.81640625" style="107"/>
    <col min="9475" max="9475" width="11.1796875" style="107" customWidth="1"/>
    <col min="9476" max="9718" width="8.81640625" style="107"/>
    <col min="9719" max="9719" width="12.7265625" style="107" customWidth="1"/>
    <col min="9720" max="9720" width="7.7265625" style="107" customWidth="1"/>
    <col min="9721" max="9721" width="55" style="107" customWidth="1"/>
    <col min="9722" max="9727" width="16.1796875" style="107" customWidth="1"/>
    <col min="9728" max="9730" width="8.81640625" style="107"/>
    <col min="9731" max="9731" width="11.1796875" style="107" customWidth="1"/>
    <col min="9732" max="9974" width="8.81640625" style="107"/>
    <col min="9975" max="9975" width="12.7265625" style="107" customWidth="1"/>
    <col min="9976" max="9976" width="7.7265625" style="107" customWidth="1"/>
    <col min="9977" max="9977" width="55" style="107" customWidth="1"/>
    <col min="9978" max="9983" width="16.1796875" style="107" customWidth="1"/>
    <col min="9984" max="9986" width="8.81640625" style="107"/>
    <col min="9987" max="9987" width="11.1796875" style="107" customWidth="1"/>
    <col min="9988" max="10230" width="8.81640625" style="107"/>
    <col min="10231" max="10231" width="12.7265625" style="107" customWidth="1"/>
    <col min="10232" max="10232" width="7.7265625" style="107" customWidth="1"/>
    <col min="10233" max="10233" width="55" style="107" customWidth="1"/>
    <col min="10234" max="10239" width="16.1796875" style="107" customWidth="1"/>
    <col min="10240" max="10242" width="8.81640625" style="107"/>
    <col min="10243" max="10243" width="11.1796875" style="107" customWidth="1"/>
    <col min="10244" max="10486" width="8.81640625" style="107"/>
    <col min="10487" max="10487" width="12.7265625" style="107" customWidth="1"/>
    <col min="10488" max="10488" width="7.7265625" style="107" customWidth="1"/>
    <col min="10489" max="10489" width="55" style="107" customWidth="1"/>
    <col min="10490" max="10495" width="16.1796875" style="107" customWidth="1"/>
    <col min="10496" max="10498" width="8.81640625" style="107"/>
    <col min="10499" max="10499" width="11.1796875" style="107" customWidth="1"/>
    <col min="10500" max="10742" width="8.81640625" style="107"/>
    <col min="10743" max="10743" width="12.7265625" style="107" customWidth="1"/>
    <col min="10744" max="10744" width="7.7265625" style="107" customWidth="1"/>
    <col min="10745" max="10745" width="55" style="107" customWidth="1"/>
    <col min="10746" max="10751" width="16.1796875" style="107" customWidth="1"/>
    <col min="10752" max="10754" width="8.81640625" style="107"/>
    <col min="10755" max="10755" width="11.1796875" style="107" customWidth="1"/>
    <col min="10756" max="10998" width="8.81640625" style="107"/>
    <col min="10999" max="10999" width="12.7265625" style="107" customWidth="1"/>
    <col min="11000" max="11000" width="7.7265625" style="107" customWidth="1"/>
    <col min="11001" max="11001" width="55" style="107" customWidth="1"/>
    <col min="11002" max="11007" width="16.1796875" style="107" customWidth="1"/>
    <col min="11008" max="11010" width="8.81640625" style="107"/>
    <col min="11011" max="11011" width="11.1796875" style="107" customWidth="1"/>
    <col min="11012" max="11254" width="8.81640625" style="107"/>
    <col min="11255" max="11255" width="12.7265625" style="107" customWidth="1"/>
    <col min="11256" max="11256" width="7.7265625" style="107" customWidth="1"/>
    <col min="11257" max="11257" width="55" style="107" customWidth="1"/>
    <col min="11258" max="11263" width="16.1796875" style="107" customWidth="1"/>
    <col min="11264" max="11266" width="8.81640625" style="107"/>
    <col min="11267" max="11267" width="11.1796875" style="107" customWidth="1"/>
    <col min="11268" max="11510" width="8.81640625" style="107"/>
    <col min="11511" max="11511" width="12.7265625" style="107" customWidth="1"/>
    <col min="11512" max="11512" width="7.7265625" style="107" customWidth="1"/>
    <col min="11513" max="11513" width="55" style="107" customWidth="1"/>
    <col min="11514" max="11519" width="16.1796875" style="107" customWidth="1"/>
    <col min="11520" max="11522" width="8.81640625" style="107"/>
    <col min="11523" max="11523" width="11.1796875" style="107" customWidth="1"/>
    <col min="11524" max="11766" width="8.81640625" style="107"/>
    <col min="11767" max="11767" width="12.7265625" style="107" customWidth="1"/>
    <col min="11768" max="11768" width="7.7265625" style="107" customWidth="1"/>
    <col min="11769" max="11769" width="55" style="107" customWidth="1"/>
    <col min="11770" max="11775" width="16.1796875" style="107" customWidth="1"/>
    <col min="11776" max="11778" width="8.81640625" style="107"/>
    <col min="11779" max="11779" width="11.1796875" style="107" customWidth="1"/>
    <col min="11780" max="12022" width="8.81640625" style="107"/>
    <col min="12023" max="12023" width="12.7265625" style="107" customWidth="1"/>
    <col min="12024" max="12024" width="7.7265625" style="107" customWidth="1"/>
    <col min="12025" max="12025" width="55" style="107" customWidth="1"/>
    <col min="12026" max="12031" width="16.1796875" style="107" customWidth="1"/>
    <col min="12032" max="12034" width="8.81640625" style="107"/>
    <col min="12035" max="12035" width="11.1796875" style="107" customWidth="1"/>
    <col min="12036" max="12278" width="8.81640625" style="107"/>
    <col min="12279" max="12279" width="12.7265625" style="107" customWidth="1"/>
    <col min="12280" max="12280" width="7.7265625" style="107" customWidth="1"/>
    <col min="12281" max="12281" width="55" style="107" customWidth="1"/>
    <col min="12282" max="12287" width="16.1796875" style="107" customWidth="1"/>
    <col min="12288" max="12290" width="8.81640625" style="107"/>
    <col min="12291" max="12291" width="11.1796875" style="107" customWidth="1"/>
    <col min="12292" max="12534" width="8.81640625" style="107"/>
    <col min="12535" max="12535" width="12.7265625" style="107" customWidth="1"/>
    <col min="12536" max="12536" width="7.7265625" style="107" customWidth="1"/>
    <col min="12537" max="12537" width="55" style="107" customWidth="1"/>
    <col min="12538" max="12543" width="16.1796875" style="107" customWidth="1"/>
    <col min="12544" max="12546" width="8.81640625" style="107"/>
    <col min="12547" max="12547" width="11.1796875" style="107" customWidth="1"/>
    <col min="12548" max="12790" width="8.81640625" style="107"/>
    <col min="12791" max="12791" width="12.7265625" style="107" customWidth="1"/>
    <col min="12792" max="12792" width="7.7265625" style="107" customWidth="1"/>
    <col min="12793" max="12793" width="55" style="107" customWidth="1"/>
    <col min="12794" max="12799" width="16.1796875" style="107" customWidth="1"/>
    <col min="12800" max="12802" width="8.81640625" style="107"/>
    <col min="12803" max="12803" width="11.1796875" style="107" customWidth="1"/>
    <col min="12804" max="13046" width="8.81640625" style="107"/>
    <col min="13047" max="13047" width="12.7265625" style="107" customWidth="1"/>
    <col min="13048" max="13048" width="7.7265625" style="107" customWidth="1"/>
    <col min="13049" max="13049" width="55" style="107" customWidth="1"/>
    <col min="13050" max="13055" width="16.1796875" style="107" customWidth="1"/>
    <col min="13056" max="13058" width="8.81640625" style="107"/>
    <col min="13059" max="13059" width="11.1796875" style="107" customWidth="1"/>
    <col min="13060" max="13302" width="8.81640625" style="107"/>
    <col min="13303" max="13303" width="12.7265625" style="107" customWidth="1"/>
    <col min="13304" max="13304" width="7.7265625" style="107" customWidth="1"/>
    <col min="13305" max="13305" width="55" style="107" customWidth="1"/>
    <col min="13306" max="13311" width="16.1796875" style="107" customWidth="1"/>
    <col min="13312" max="13314" width="8.81640625" style="107"/>
    <col min="13315" max="13315" width="11.1796875" style="107" customWidth="1"/>
    <col min="13316" max="13558" width="8.81640625" style="107"/>
    <col min="13559" max="13559" width="12.7265625" style="107" customWidth="1"/>
    <col min="13560" max="13560" width="7.7265625" style="107" customWidth="1"/>
    <col min="13561" max="13561" width="55" style="107" customWidth="1"/>
    <col min="13562" max="13567" width="16.1796875" style="107" customWidth="1"/>
    <col min="13568" max="13570" width="8.81640625" style="107"/>
    <col min="13571" max="13571" width="11.1796875" style="107" customWidth="1"/>
    <col min="13572" max="13814" width="8.81640625" style="107"/>
    <col min="13815" max="13815" width="12.7265625" style="107" customWidth="1"/>
    <col min="13816" max="13816" width="7.7265625" style="107" customWidth="1"/>
    <col min="13817" max="13817" width="55" style="107" customWidth="1"/>
    <col min="13818" max="13823" width="16.1796875" style="107" customWidth="1"/>
    <col min="13824" max="13826" width="8.81640625" style="107"/>
    <col min="13827" max="13827" width="11.1796875" style="107" customWidth="1"/>
    <col min="13828" max="14070" width="8.81640625" style="107"/>
    <col min="14071" max="14071" width="12.7265625" style="107" customWidth="1"/>
    <col min="14072" max="14072" width="7.7265625" style="107" customWidth="1"/>
    <col min="14073" max="14073" width="55" style="107" customWidth="1"/>
    <col min="14074" max="14079" width="16.1796875" style="107" customWidth="1"/>
    <col min="14080" max="14082" width="8.81640625" style="107"/>
    <col min="14083" max="14083" width="11.1796875" style="107" customWidth="1"/>
    <col min="14084" max="14326" width="8.81640625" style="107"/>
    <col min="14327" max="14327" width="12.7265625" style="107" customWidth="1"/>
    <col min="14328" max="14328" width="7.7265625" style="107" customWidth="1"/>
    <col min="14329" max="14329" width="55" style="107" customWidth="1"/>
    <col min="14330" max="14335" width="16.1796875" style="107" customWidth="1"/>
    <col min="14336" max="14338" width="8.81640625" style="107"/>
    <col min="14339" max="14339" width="11.1796875" style="107" customWidth="1"/>
    <col min="14340" max="14582" width="8.81640625" style="107"/>
    <col min="14583" max="14583" width="12.7265625" style="107" customWidth="1"/>
    <col min="14584" max="14584" width="7.7265625" style="107" customWidth="1"/>
    <col min="14585" max="14585" width="55" style="107" customWidth="1"/>
    <col min="14586" max="14591" width="16.1796875" style="107" customWidth="1"/>
    <col min="14592" max="14594" width="8.81640625" style="107"/>
    <col min="14595" max="14595" width="11.1796875" style="107" customWidth="1"/>
    <col min="14596" max="14838" width="8.81640625" style="107"/>
    <col min="14839" max="14839" width="12.7265625" style="107" customWidth="1"/>
    <col min="14840" max="14840" width="7.7265625" style="107" customWidth="1"/>
    <col min="14841" max="14841" width="55" style="107" customWidth="1"/>
    <col min="14842" max="14847" width="16.1796875" style="107" customWidth="1"/>
    <col min="14848" max="14850" width="8.81640625" style="107"/>
    <col min="14851" max="14851" width="11.1796875" style="107" customWidth="1"/>
    <col min="14852" max="15094" width="8.81640625" style="107"/>
    <col min="15095" max="15095" width="12.7265625" style="107" customWidth="1"/>
    <col min="15096" max="15096" width="7.7265625" style="107" customWidth="1"/>
    <col min="15097" max="15097" width="55" style="107" customWidth="1"/>
    <col min="15098" max="15103" width="16.1796875" style="107" customWidth="1"/>
    <col min="15104" max="15106" width="8.81640625" style="107"/>
    <col min="15107" max="15107" width="11.1796875" style="107" customWidth="1"/>
    <col min="15108" max="15350" width="8.81640625" style="107"/>
    <col min="15351" max="15351" width="12.7265625" style="107" customWidth="1"/>
    <col min="15352" max="15352" width="7.7265625" style="107" customWidth="1"/>
    <col min="15353" max="15353" width="55" style="107" customWidth="1"/>
    <col min="15354" max="15359" width="16.1796875" style="107" customWidth="1"/>
    <col min="15360" max="15362" width="8.81640625" style="107"/>
    <col min="15363" max="15363" width="11.1796875" style="107" customWidth="1"/>
    <col min="15364" max="15606" width="8.81640625" style="107"/>
    <col min="15607" max="15607" width="12.7265625" style="107" customWidth="1"/>
    <col min="15608" max="15608" width="7.7265625" style="107" customWidth="1"/>
    <col min="15609" max="15609" width="55" style="107" customWidth="1"/>
    <col min="15610" max="15615" width="16.1796875" style="107" customWidth="1"/>
    <col min="15616" max="15618" width="8.81640625" style="107"/>
    <col min="15619" max="15619" width="11.1796875" style="107" customWidth="1"/>
    <col min="15620" max="15862" width="8.81640625" style="107"/>
    <col min="15863" max="15863" width="12.7265625" style="107" customWidth="1"/>
    <col min="15864" max="15864" width="7.7265625" style="107" customWidth="1"/>
    <col min="15865" max="15865" width="55" style="107" customWidth="1"/>
    <col min="15866" max="15871" width="16.1796875" style="107" customWidth="1"/>
    <col min="15872" max="15874" width="8.81640625" style="107"/>
    <col min="15875" max="15875" width="11.1796875" style="107" customWidth="1"/>
    <col min="15876" max="16118" width="8.81640625" style="107"/>
    <col min="16119" max="16119" width="12.7265625" style="107" customWidth="1"/>
    <col min="16120" max="16120" width="7.7265625" style="107" customWidth="1"/>
    <col min="16121" max="16121" width="55" style="107" customWidth="1"/>
    <col min="16122" max="16127" width="16.1796875" style="107" customWidth="1"/>
    <col min="16128" max="16130" width="8.81640625" style="107"/>
    <col min="16131" max="16131" width="11.1796875" style="107" customWidth="1"/>
    <col min="16132" max="16384" width="8.81640625" style="107"/>
  </cols>
  <sheetData>
    <row r="1" spans="1:15" s="104" customFormat="1" ht="93" customHeight="1" thickBot="1">
      <c r="A1" s="100"/>
      <c r="B1" s="100"/>
      <c r="C1" s="101"/>
      <c r="D1" s="692" t="s">
        <v>32</v>
      </c>
      <c r="E1" s="692"/>
      <c r="F1" s="692"/>
      <c r="G1" s="692"/>
      <c r="H1" s="692"/>
      <c r="I1" s="692"/>
      <c r="J1" s="102"/>
      <c r="K1" s="103"/>
      <c r="L1" s="103"/>
      <c r="M1" s="103"/>
      <c r="N1" s="103"/>
      <c r="O1" s="103"/>
    </row>
    <row r="2" spans="1:15" ht="9.25" customHeight="1">
      <c r="D2" s="106"/>
      <c r="E2" s="106"/>
      <c r="F2" s="106"/>
      <c r="G2" s="106"/>
      <c r="H2" s="106"/>
      <c r="I2" s="106"/>
      <c r="J2" s="106"/>
    </row>
    <row r="3" spans="1:15" s="127" customFormat="1" ht="39.65" customHeight="1">
      <c r="A3" s="693" t="str">
        <f>'TECH DATA ENTRY'!A31</f>
        <v>DC Voltage Accuracy</v>
      </c>
      <c r="B3" s="693"/>
      <c r="C3" s="693"/>
      <c r="D3" s="693"/>
      <c r="E3" s="693"/>
      <c r="F3" s="693"/>
      <c r="G3" s="693"/>
      <c r="H3" s="693"/>
      <c r="I3" s="693"/>
      <c r="J3" s="126"/>
      <c r="K3" s="126"/>
      <c r="L3" s="126"/>
      <c r="M3" s="126"/>
      <c r="N3" s="126"/>
    </row>
    <row r="4" spans="1:15" s="127" customFormat="1" ht="23.65" customHeight="1">
      <c r="A4" s="694" t="e">
        <f>'TECH DATA ENTRY'!#REF!</f>
        <v>#REF!</v>
      </c>
      <c r="B4" s="694"/>
      <c r="C4" s="694"/>
      <c r="D4" s="694"/>
      <c r="E4" s="694"/>
      <c r="F4" s="694"/>
      <c r="G4" s="694"/>
      <c r="H4" s="694"/>
      <c r="I4" s="694"/>
      <c r="J4" s="126"/>
      <c r="K4" s="126"/>
      <c r="L4" s="126"/>
      <c r="M4" s="126"/>
      <c r="N4" s="126"/>
    </row>
    <row r="5" spans="1:15" s="127" customFormat="1" ht="23.65" customHeight="1">
      <c r="A5" s="695" t="e">
        <f>'TECH DATA ENTRY'!#REF!</f>
        <v>#REF!</v>
      </c>
      <c r="B5" s="695"/>
      <c r="C5" s="695"/>
      <c r="D5" s="695"/>
      <c r="E5" s="695"/>
      <c r="F5" s="695"/>
      <c r="G5" s="695"/>
      <c r="H5" s="695"/>
      <c r="I5" s="695"/>
      <c r="J5" s="126"/>
      <c r="K5" s="126"/>
      <c r="L5" s="126"/>
      <c r="M5" s="126"/>
      <c r="N5" s="126"/>
    </row>
    <row r="6" spans="1:15" ht="9.25" customHeight="1">
      <c r="A6" s="108"/>
      <c r="B6" s="108"/>
      <c r="C6" s="108"/>
      <c r="D6" s="108"/>
      <c r="E6" s="108"/>
      <c r="F6" s="108"/>
      <c r="G6" s="107"/>
      <c r="H6" s="107"/>
      <c r="I6" s="107"/>
      <c r="J6" s="107"/>
    </row>
    <row r="7" spans="1:15" ht="65.5" customHeight="1">
      <c r="A7" s="128" t="s">
        <v>91</v>
      </c>
      <c r="B7" s="129" t="s">
        <v>33</v>
      </c>
      <c r="C7" s="129" t="s">
        <v>110</v>
      </c>
      <c r="D7" s="129" t="s">
        <v>34</v>
      </c>
      <c r="E7" s="129" t="s">
        <v>35</v>
      </c>
      <c r="F7" s="129" t="s">
        <v>10</v>
      </c>
      <c r="G7" s="129" t="s">
        <v>36</v>
      </c>
      <c r="H7" s="129" t="s">
        <v>52</v>
      </c>
      <c r="I7" s="130" t="s">
        <v>84</v>
      </c>
      <c r="J7" s="109"/>
      <c r="K7" s="185" t="s">
        <v>112</v>
      </c>
    </row>
    <row r="8" spans="1:15" s="117" customFormat="1" ht="39" customHeight="1">
      <c r="A8" s="110">
        <v>1</v>
      </c>
      <c r="B8" s="111" t="str">
        <f>RIGHT(UNC_CALCULATION!C6,1)</f>
        <v>A</v>
      </c>
      <c r="C8" s="112" t="s">
        <v>104</v>
      </c>
      <c r="D8" s="113" t="str">
        <f>'TECH DATA ENTRY'!O36</f>
        <v/>
      </c>
      <c r="E8" s="111" t="str">
        <f>UNC_CALCULATION!E6</f>
        <v>Normal</v>
      </c>
      <c r="F8" s="183" t="e">
        <f>SQRT('TECH DATA ENTRY'!K36)</f>
        <v>#VALUE!</v>
      </c>
      <c r="G8" s="114">
        <v>1</v>
      </c>
      <c r="H8" s="113" t="e">
        <f>D8/F8*G8+1E-22</f>
        <v>#VALUE!</v>
      </c>
      <c r="I8" s="111" t="e">
        <f>IF(B8="A", UNC_CALCULATION!AJ8-1,"∞")</f>
        <v>#VALUE!</v>
      </c>
      <c r="J8" s="115"/>
      <c r="K8" s="186" t="e">
        <f>H8/I$20</f>
        <v>#VALUE!</v>
      </c>
      <c r="L8" s="116"/>
    </row>
    <row r="9" spans="1:15" s="117" customFormat="1" ht="39" customHeight="1">
      <c r="A9" s="110">
        <v>2</v>
      </c>
      <c r="B9" s="111" t="str">
        <f>RIGHT(UNC_CALCULATION!F6,1)</f>
        <v>A</v>
      </c>
      <c r="C9" s="112" t="s">
        <v>104</v>
      </c>
      <c r="D9" s="113">
        <f>'TECH DATA ENTRY'!P$36</f>
        <v>0</v>
      </c>
      <c r="E9" s="111" t="str">
        <f>UNC_CALCULATION!H6</f>
        <v>Normal</v>
      </c>
      <c r="F9" s="183" t="e">
        <f>SQRT('TECH DATA ENTRY'!K36)</f>
        <v>#VALUE!</v>
      </c>
      <c r="G9" s="114">
        <v>1</v>
      </c>
      <c r="H9" s="113" t="e">
        <f>D9/F9*G9+1E-22</f>
        <v>#VALUE!</v>
      </c>
      <c r="I9" s="111" t="e">
        <f>IF(B9="A", UNC_CALCULATION!AJ8-1,"∞")</f>
        <v>#VALUE!</v>
      </c>
      <c r="J9" s="118"/>
      <c r="K9" s="186" t="e">
        <f t="shared" ref="K9:K17" si="0">H9/I$20</f>
        <v>#VALUE!</v>
      </c>
      <c r="L9" s="116"/>
    </row>
    <row r="10" spans="1:15" s="117" customFormat="1" ht="39" customHeight="1">
      <c r="A10" s="110">
        <v>3</v>
      </c>
      <c r="B10" s="111" t="str">
        <f>RIGHT(UNC_CALCULATION!I6,1)</f>
        <v>B</v>
      </c>
      <c r="C10" s="112" t="str">
        <f>'TECH DATA ENTRY'!Q35</f>
        <v>Resolution 1</v>
      </c>
      <c r="D10" s="113">
        <f>'TECH DATA ENTRY'!Q$36</f>
        <v>1E-4</v>
      </c>
      <c r="E10" s="111" t="str">
        <f>UNC_CALCULATION!L6</f>
        <v>Rectangular</v>
      </c>
      <c r="F10" s="183" t="str">
        <f>IF(UNC_CALCULATION!J8="Digital","2√3","5√3")</f>
        <v>2√3</v>
      </c>
      <c r="G10" s="114">
        <v>1</v>
      </c>
      <c r="H10" s="113">
        <f>D10/IF(F10="2√3", 2*SQRT(3),5*SQRT(3))*G10</f>
        <v>2.8867513459481293E-5</v>
      </c>
      <c r="I10" s="111" t="str">
        <f>IF(B10="A", UNC_CALCULATION!AJ10-1,"∞")</f>
        <v>∞</v>
      </c>
      <c r="J10" s="118"/>
      <c r="K10" s="186" t="e">
        <f t="shared" si="0"/>
        <v>#VALUE!</v>
      </c>
      <c r="L10" s="116"/>
    </row>
    <row r="11" spans="1:15" s="117" customFormat="1" ht="39" customHeight="1">
      <c r="A11" s="110">
        <v>4</v>
      </c>
      <c r="B11" s="111" t="str">
        <f>RIGHT(UNC_CALCULATION!M6,1)</f>
        <v>B</v>
      </c>
      <c r="C11" s="112" t="str">
        <f>'TECH DATA ENTRY'!R35</f>
        <v>Resolution 2</v>
      </c>
      <c r="D11" s="113">
        <f>'TECH DATA ENTRY'!R$36</f>
        <v>0</v>
      </c>
      <c r="E11" s="111" t="str">
        <f>UNC_CALCULATION!P6</f>
        <v>Rectangular</v>
      </c>
      <c r="F11" s="183" t="str">
        <f>IF(UNC_CALCULATION!J9="Digital","2√3","5√3")</f>
        <v>2√3</v>
      </c>
      <c r="G11" s="114">
        <v>1</v>
      </c>
      <c r="H11" s="113">
        <f>D11/IF(F11="2√3", 2*SQRT(3),5*SQRT(3))*G11</f>
        <v>0</v>
      </c>
      <c r="I11" s="111" t="str">
        <f>IF(B11="A", UNC_CALCULATION!AJ11-1,"∞")</f>
        <v>∞</v>
      </c>
      <c r="J11" s="118"/>
      <c r="K11" s="186" t="e">
        <f t="shared" si="0"/>
        <v>#VALUE!</v>
      </c>
      <c r="L11" s="116"/>
    </row>
    <row r="12" spans="1:15" s="117" customFormat="1" ht="39" customHeight="1">
      <c r="A12" s="110">
        <v>5</v>
      </c>
      <c r="B12" s="111" t="str">
        <f>RIGHT(UNC_CALCULATION!Q6,1)</f>
        <v>B</v>
      </c>
      <c r="C12" s="112" t="str">
        <f>'TECH DATA ENTRY'!S35</f>
        <v>Scope Uncertainty</v>
      </c>
      <c r="D12" s="113">
        <f>'TECH DATA ENTRY'!S$36</f>
        <v>4.0000000000000002E-4</v>
      </c>
      <c r="E12" s="111" t="str">
        <f>UNC_CALCULATION!S6</f>
        <v>Normal</v>
      </c>
      <c r="F12" s="183">
        <f t="shared" ref="F12:F17" si="1">IF(E12="NORMAL", 2, IF(E12="TRIANGULAR","√6",IF(E12="U-SHAPED","√2","√3")))</f>
        <v>2</v>
      </c>
      <c r="G12" s="114">
        <v>1</v>
      </c>
      <c r="H12" s="113">
        <f>D12/IF(F12="2√3", 2*SQRT(3),5*SQRT(3))*G12</f>
        <v>4.6188021535170069E-5</v>
      </c>
      <c r="I12" s="111" t="str">
        <f>IF(B12="A", UNC_CALCULATION!AJ12-1,"∞")</f>
        <v>∞</v>
      </c>
      <c r="J12" s="118"/>
      <c r="K12" s="186" t="e">
        <f t="shared" si="0"/>
        <v>#VALUE!</v>
      </c>
      <c r="L12" s="116"/>
    </row>
    <row r="13" spans="1:15" s="117" customFormat="1" ht="39" customHeight="1">
      <c r="A13" s="110">
        <v>6</v>
      </c>
      <c r="B13" s="111" t="str">
        <f>RIGHT(UNC_CALCULATION!T6,1)</f>
        <v>B</v>
      </c>
      <c r="C13" s="112" t="str">
        <f>'TECH DATA ENTRY'!T35</f>
        <v>STD 2 Cal Unc</v>
      </c>
      <c r="D13" s="113">
        <f>'TECH DATA ENTRY'!T$36</f>
        <v>0</v>
      </c>
      <c r="E13" s="111" t="str">
        <f>UNC_CALCULATION!V6</f>
        <v>Rectangular</v>
      </c>
      <c r="F13" s="183" t="str">
        <f t="shared" si="1"/>
        <v>√3</v>
      </c>
      <c r="G13" s="114">
        <v>1</v>
      </c>
      <c r="H13" s="113">
        <f>D13/IF(F13="√6", SQRT(6),IF(F13="√2",SQRT(2),IF(F13="√3",SQRT(3),2)))*G13</f>
        <v>0</v>
      </c>
      <c r="I13" s="111" t="str">
        <f>IF(B13="A", UNC_CALCULATION!AJ13-1,"∞")</f>
        <v>∞</v>
      </c>
      <c r="J13" s="118"/>
      <c r="K13" s="186" t="e">
        <f t="shared" si="0"/>
        <v>#VALUE!</v>
      </c>
      <c r="L13" s="116"/>
    </row>
    <row r="14" spans="1:15" s="117" customFormat="1" ht="39" customHeight="1">
      <c r="A14" s="110">
        <v>7</v>
      </c>
      <c r="B14" s="111" t="str">
        <f>RIGHT(UNC_CALCULATION!W6,1)</f>
        <v>B</v>
      </c>
      <c r="C14" s="112" t="str">
        <f>'TECH DATA ENTRY'!U35</f>
        <v>Others 1</v>
      </c>
      <c r="D14" s="113">
        <f>'TECH DATA ENTRY'!U$36</f>
        <v>0</v>
      </c>
      <c r="E14" s="111" t="str">
        <f>UNC_CALCULATION!Y6</f>
        <v>Rectangular</v>
      </c>
      <c r="F14" s="183" t="str">
        <f t="shared" si="1"/>
        <v>√3</v>
      </c>
      <c r="G14" s="114">
        <v>1</v>
      </c>
      <c r="H14" s="113">
        <f>D14/IF(F14="√6", SQRT(6),IF(F14="√2",SQRT(2),IF(F14="√3",SQRT(3),2)))*G14</f>
        <v>0</v>
      </c>
      <c r="I14" s="111" t="str">
        <f>IF(B14="A", UNC_CALCULATION!AJ14-1,"∞")</f>
        <v>∞</v>
      </c>
      <c r="J14" s="118"/>
      <c r="K14" s="186" t="e">
        <f t="shared" si="0"/>
        <v>#VALUE!</v>
      </c>
      <c r="L14" s="116"/>
    </row>
    <row r="15" spans="1:15" s="117" customFormat="1" ht="39" customHeight="1">
      <c r="A15" s="110">
        <v>8</v>
      </c>
      <c r="B15" s="111" t="str">
        <f>RIGHT(UNC_CALCULATION!Z6,1)</f>
        <v>B</v>
      </c>
      <c r="C15" s="112" t="str">
        <f>'TECH DATA ENTRY'!V35</f>
        <v>Others 2</v>
      </c>
      <c r="D15" s="113">
        <f>'TECH DATA ENTRY'!V$36</f>
        <v>0</v>
      </c>
      <c r="E15" s="111" t="str">
        <f>UNC_CALCULATION!AB6</f>
        <v>Rectangular</v>
      </c>
      <c r="F15" s="183" t="str">
        <f t="shared" si="1"/>
        <v>√3</v>
      </c>
      <c r="G15" s="114">
        <v>1</v>
      </c>
      <c r="H15" s="113">
        <f>D15/IF(F15="√6", SQRT(6),IF(F15="√2",SQRT(2),IF(F15="√3",SQRT(3),2)))*G15</f>
        <v>0</v>
      </c>
      <c r="I15" s="111" t="str">
        <f>IF(B15="A", UNC_CALCULATION!AJ15-1,"∞")</f>
        <v>∞</v>
      </c>
      <c r="J15" s="118"/>
      <c r="K15" s="186" t="e">
        <f t="shared" si="0"/>
        <v>#VALUE!</v>
      </c>
      <c r="L15" s="116"/>
    </row>
    <row r="16" spans="1:15" s="117" customFormat="1" ht="39" customHeight="1">
      <c r="A16" s="110">
        <v>9</v>
      </c>
      <c r="B16" s="111" t="str">
        <f>RIGHT(UNC_CALCULATION!AC6,1)</f>
        <v>B</v>
      </c>
      <c r="C16" s="112" t="str">
        <f>'TECH DATA ENTRY'!W35</f>
        <v>Others 3</v>
      </c>
      <c r="D16" s="113">
        <f>'TECH DATA ENTRY'!W$36</f>
        <v>0</v>
      </c>
      <c r="E16" s="111" t="str">
        <f>UNC_CALCULATION!AE6</f>
        <v>Rectangular</v>
      </c>
      <c r="F16" s="183" t="str">
        <f t="shared" si="1"/>
        <v>√3</v>
      </c>
      <c r="G16" s="114">
        <v>1</v>
      </c>
      <c r="H16" s="113">
        <f>D16/IF(F16="√6", SQRT(6),IF(F16="√2",SQRT(2),IF(F16="√3",SQRT(3),2)))*G16</f>
        <v>0</v>
      </c>
      <c r="I16" s="111" t="str">
        <f>IF(B16="A", UNC_CALCULATION!AJ16-1,"∞")</f>
        <v>∞</v>
      </c>
      <c r="J16" s="118"/>
      <c r="K16" s="186" t="e">
        <f t="shared" si="0"/>
        <v>#VALUE!</v>
      </c>
      <c r="L16" s="116"/>
    </row>
    <row r="17" spans="1:111" s="117" customFormat="1" ht="39" customHeight="1">
      <c r="A17" s="110">
        <v>10</v>
      </c>
      <c r="B17" s="111" t="str">
        <f>RIGHT(UNC_CALCULATION!AF6,1)</f>
        <v>B</v>
      </c>
      <c r="C17" s="112" t="str">
        <f>'TECH DATA ENTRY'!X35</f>
        <v>Others 4</v>
      </c>
      <c r="D17" s="113">
        <f>'TECH DATA ENTRY'!X$36</f>
        <v>0</v>
      </c>
      <c r="E17" s="111" t="str">
        <f>UNC_CALCULATION!AH6</f>
        <v>Rectangular</v>
      </c>
      <c r="F17" s="183" t="str">
        <f t="shared" si="1"/>
        <v>√3</v>
      </c>
      <c r="G17" s="114">
        <v>1</v>
      </c>
      <c r="H17" s="113">
        <f>D17/IF(F17="√6", SQRT(6),IF(F17="√2",SQRT(2),IF(F17="√3",SQRT(3),2)))*G17</f>
        <v>0</v>
      </c>
      <c r="I17" s="111" t="str">
        <f>IF(B17="A", UNC_CALCULATION!AJ17-1,"∞")</f>
        <v>∞</v>
      </c>
      <c r="J17" s="118"/>
      <c r="K17" s="186" t="e">
        <f t="shared" si="0"/>
        <v>#VALUE!</v>
      </c>
      <c r="L17" s="116"/>
    </row>
    <row r="18" spans="1:111" s="117" customFormat="1" ht="30" customHeight="1" thickBot="1">
      <c r="A18" s="132" t="s">
        <v>12</v>
      </c>
      <c r="B18" s="133" t="s">
        <v>12</v>
      </c>
      <c r="C18" s="134" t="s">
        <v>12</v>
      </c>
      <c r="D18" s="135" t="s">
        <v>12</v>
      </c>
      <c r="E18" s="136" t="s">
        <v>12</v>
      </c>
      <c r="F18" s="136" t="s">
        <v>12</v>
      </c>
      <c r="G18" s="137" t="s">
        <v>12</v>
      </c>
      <c r="H18" s="138" t="s">
        <v>12</v>
      </c>
      <c r="I18" s="132" t="s">
        <v>12</v>
      </c>
      <c r="J18" s="119"/>
      <c r="K18" s="116"/>
      <c r="L18" s="116"/>
    </row>
    <row r="19" spans="1:111" s="117" customFormat="1" ht="17.25" customHeight="1">
      <c r="A19" s="139"/>
      <c r="B19" s="140"/>
      <c r="C19" s="141"/>
      <c r="D19" s="142"/>
      <c r="E19" s="143"/>
      <c r="F19" s="143"/>
      <c r="G19" s="144"/>
      <c r="H19" s="145"/>
      <c r="I19" s="139"/>
      <c r="J19" s="119"/>
      <c r="K19" s="116"/>
      <c r="L19" s="116"/>
    </row>
    <row r="20" spans="1:111" s="117" customFormat="1" ht="30" customHeight="1">
      <c r="A20" s="688" t="s">
        <v>39</v>
      </c>
      <c r="B20" s="688"/>
      <c r="C20" s="688"/>
      <c r="D20" s="688"/>
      <c r="E20" s="688"/>
      <c r="F20" s="688"/>
      <c r="G20" s="689"/>
      <c r="H20" s="111" t="s">
        <v>41</v>
      </c>
      <c r="I20" s="120" t="e">
        <f>SQRT(SUM(H8^2,H9^2,H10^2,H11^2,H12^2,H13^2,H14^2,H15^2, H16^2,H17^2))</f>
        <v>#VALUE!</v>
      </c>
      <c r="J20" s="121"/>
      <c r="K20" s="116"/>
      <c r="L20" s="116"/>
    </row>
    <row r="21" spans="1:111" s="117" customFormat="1" ht="30" customHeight="1">
      <c r="A21" s="688" t="s">
        <v>40</v>
      </c>
      <c r="B21" s="688"/>
      <c r="C21" s="688"/>
      <c r="D21" s="688"/>
      <c r="E21" s="688"/>
      <c r="F21" s="688"/>
      <c r="G21" s="689"/>
      <c r="H21" s="111" t="s">
        <v>7</v>
      </c>
      <c r="I21" s="123" t="e">
        <f>IF((I20^4)/SUM((H8^4/I8),(H9^4/I9))&gt;100,200,(I20^4)/SUM((H8^4/I8),(H9^4/I9)))</f>
        <v>#VALUE!</v>
      </c>
      <c r="J21" s="122"/>
      <c r="K21" s="116"/>
      <c r="L21" s="116"/>
    </row>
    <row r="22" spans="1:111" s="117" customFormat="1" ht="30" customHeight="1">
      <c r="A22" s="688" t="s">
        <v>85</v>
      </c>
      <c r="B22" s="688"/>
      <c r="C22" s="688"/>
      <c r="D22" s="688"/>
      <c r="E22" s="688"/>
      <c r="F22" s="688"/>
      <c r="G22" s="689"/>
      <c r="H22" s="111" t="s">
        <v>86</v>
      </c>
      <c r="I22" s="123" t="e">
        <f>VLOOKUP(I21,'AUX TABLES'!A$2:B$29,2)</f>
        <v>#VALUE!</v>
      </c>
      <c r="J22" s="124"/>
      <c r="K22" s="116"/>
      <c r="L22" s="116"/>
    </row>
    <row r="23" spans="1:111" s="117" customFormat="1" ht="30" customHeight="1">
      <c r="A23" s="688" t="s">
        <v>87</v>
      </c>
      <c r="B23" s="688"/>
      <c r="C23" s="688"/>
      <c r="D23" s="688"/>
      <c r="E23" s="688"/>
      <c r="F23" s="688"/>
      <c r="G23" s="689"/>
      <c r="H23" s="111" t="s">
        <v>37</v>
      </c>
      <c r="I23" s="131" t="e">
        <f>I22*I20</f>
        <v>#VALUE!</v>
      </c>
      <c r="J23" s="125"/>
      <c r="K23" s="116"/>
      <c r="L23" s="116"/>
    </row>
    <row r="24" spans="1:111" ht="30" customHeight="1">
      <c r="A24" s="688" t="s">
        <v>6</v>
      </c>
      <c r="B24" s="688"/>
      <c r="C24" s="688"/>
      <c r="D24" s="688"/>
      <c r="E24" s="688"/>
      <c r="F24" s="688"/>
      <c r="G24" s="689"/>
      <c r="H24" s="690"/>
      <c r="I24" s="691"/>
      <c r="K24" s="116"/>
    </row>
    <row r="25" spans="1:111" ht="30" customHeight="1">
      <c r="K25" s="116"/>
    </row>
    <row r="26" spans="1:111" ht="30" customHeight="1">
      <c r="K26" s="116"/>
    </row>
    <row r="27" spans="1:111" ht="30" customHeight="1">
      <c r="K27" s="116"/>
    </row>
    <row r="28" spans="1:111" s="105" customFormat="1" ht="30" customHeight="1">
      <c r="K28" s="116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107"/>
      <c r="AI28" s="107"/>
      <c r="AJ28" s="107"/>
      <c r="AK28" s="107"/>
      <c r="AL28" s="107"/>
      <c r="AM28" s="107"/>
      <c r="AN28" s="107"/>
      <c r="AO28" s="107"/>
      <c r="AP28" s="107"/>
      <c r="AQ28" s="107"/>
      <c r="AR28" s="107"/>
      <c r="AS28" s="107"/>
      <c r="AT28" s="107"/>
      <c r="AU28" s="107"/>
      <c r="AV28" s="107"/>
      <c r="AW28" s="107"/>
      <c r="AX28" s="107"/>
      <c r="AY28" s="107"/>
      <c r="AZ28" s="107"/>
      <c r="BA28" s="107"/>
      <c r="BB28" s="107"/>
      <c r="BC28" s="107"/>
      <c r="BD28" s="107"/>
      <c r="BE28" s="107"/>
      <c r="BF28" s="107"/>
      <c r="BG28" s="107"/>
      <c r="BH28" s="107"/>
      <c r="BI28" s="107"/>
      <c r="BJ28" s="107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7"/>
      <c r="BV28" s="107"/>
      <c r="BW28" s="107"/>
      <c r="BX28" s="107"/>
      <c r="BY28" s="107"/>
      <c r="BZ28" s="107"/>
      <c r="CA28" s="107"/>
      <c r="CB28" s="107"/>
      <c r="CC28" s="107"/>
      <c r="CD28" s="107"/>
      <c r="CE28" s="107"/>
      <c r="CF28" s="107"/>
      <c r="CG28" s="107"/>
      <c r="CH28" s="107"/>
      <c r="CI28" s="107"/>
      <c r="CJ28" s="107"/>
      <c r="CK28" s="107"/>
      <c r="CL28" s="107"/>
      <c r="CM28" s="107"/>
      <c r="CN28" s="107"/>
      <c r="CO28" s="107"/>
      <c r="CP28" s="107"/>
      <c r="CQ28" s="107"/>
      <c r="CR28" s="107"/>
      <c r="CS28" s="107"/>
      <c r="CT28" s="107"/>
      <c r="CU28" s="107"/>
      <c r="CV28" s="107"/>
      <c r="CW28" s="107"/>
      <c r="CX28" s="107"/>
      <c r="CY28" s="107"/>
      <c r="CZ28" s="107"/>
      <c r="DA28" s="107"/>
      <c r="DB28" s="107"/>
      <c r="DC28" s="107"/>
      <c r="DD28" s="107"/>
      <c r="DE28" s="107"/>
      <c r="DF28" s="107"/>
      <c r="DG28" s="107"/>
    </row>
    <row r="29" spans="1:111" s="105" customFormat="1" ht="30" customHeight="1">
      <c r="K29" s="116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107"/>
      <c r="AI29" s="107"/>
      <c r="AJ29" s="107"/>
      <c r="AK29" s="107"/>
      <c r="AL29" s="107"/>
      <c r="AM29" s="107"/>
      <c r="AN29" s="107"/>
      <c r="AO29" s="107"/>
      <c r="AP29" s="107"/>
      <c r="AQ29" s="107"/>
      <c r="AR29" s="107"/>
      <c r="AS29" s="107"/>
      <c r="AT29" s="107"/>
      <c r="AU29" s="107"/>
      <c r="AV29" s="107"/>
      <c r="AW29" s="107"/>
      <c r="AX29" s="107"/>
      <c r="AY29" s="107"/>
      <c r="AZ29" s="107"/>
      <c r="BA29" s="107"/>
      <c r="BB29" s="107"/>
      <c r="BC29" s="107"/>
      <c r="BD29" s="107"/>
      <c r="BE29" s="107"/>
      <c r="BF29" s="107"/>
      <c r="BG29" s="107"/>
      <c r="BH29" s="107"/>
      <c r="BI29" s="107"/>
      <c r="BJ29" s="107"/>
      <c r="BK29" s="107"/>
      <c r="BL29" s="107"/>
      <c r="BM29" s="107"/>
      <c r="BN29" s="107"/>
      <c r="BO29" s="107"/>
      <c r="BP29" s="107"/>
      <c r="BQ29" s="107"/>
      <c r="BR29" s="107"/>
      <c r="BS29" s="107"/>
      <c r="BT29" s="107"/>
      <c r="BU29" s="107"/>
      <c r="BV29" s="107"/>
      <c r="BW29" s="107"/>
      <c r="BX29" s="107"/>
      <c r="BY29" s="107"/>
      <c r="BZ29" s="107"/>
      <c r="CA29" s="107"/>
      <c r="CB29" s="107"/>
      <c r="CC29" s="107"/>
      <c r="CD29" s="107"/>
      <c r="CE29" s="107"/>
      <c r="CF29" s="107"/>
      <c r="CG29" s="107"/>
      <c r="CH29" s="107"/>
      <c r="CI29" s="107"/>
      <c r="CJ29" s="107"/>
      <c r="CK29" s="107"/>
      <c r="CL29" s="107"/>
      <c r="CM29" s="107"/>
      <c r="CN29" s="107"/>
      <c r="CO29" s="107"/>
      <c r="CP29" s="107"/>
      <c r="CQ29" s="107"/>
      <c r="CR29" s="107"/>
      <c r="CS29" s="107"/>
      <c r="CT29" s="107"/>
      <c r="CU29" s="107"/>
      <c r="CV29" s="107"/>
      <c r="CW29" s="107"/>
      <c r="CX29" s="107"/>
      <c r="CY29" s="107"/>
      <c r="CZ29" s="107"/>
      <c r="DA29" s="107"/>
      <c r="DB29" s="107"/>
      <c r="DC29" s="107"/>
      <c r="DD29" s="107"/>
      <c r="DE29" s="107"/>
      <c r="DF29" s="107"/>
      <c r="DG29" s="107"/>
    </row>
    <row r="30" spans="1:111" s="105" customFormat="1" ht="30" customHeight="1">
      <c r="K30" s="116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107"/>
      <c r="AI30" s="107"/>
      <c r="AJ30" s="107"/>
      <c r="AK30" s="107"/>
      <c r="AL30" s="107"/>
      <c r="AM30" s="107"/>
      <c r="AN30" s="107"/>
      <c r="AO30" s="107"/>
      <c r="AP30" s="107"/>
      <c r="AQ30" s="107"/>
      <c r="AR30" s="107"/>
      <c r="AS30" s="107"/>
      <c r="AT30" s="107"/>
      <c r="AU30" s="107"/>
      <c r="AV30" s="107"/>
      <c r="AW30" s="107"/>
      <c r="AX30" s="107"/>
      <c r="AY30" s="107"/>
      <c r="AZ30" s="107"/>
      <c r="BA30" s="107"/>
      <c r="BB30" s="107"/>
      <c r="BC30" s="107"/>
      <c r="BD30" s="107"/>
      <c r="BE30" s="107"/>
      <c r="BF30" s="107"/>
      <c r="BG30" s="107"/>
      <c r="BH30" s="107"/>
      <c r="BI30" s="107"/>
      <c r="BJ30" s="107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7"/>
      <c r="BV30" s="107"/>
      <c r="BW30" s="107"/>
      <c r="BX30" s="107"/>
      <c r="BY30" s="107"/>
      <c r="BZ30" s="107"/>
      <c r="CA30" s="107"/>
      <c r="CB30" s="107"/>
      <c r="CC30" s="107"/>
      <c r="CD30" s="107"/>
      <c r="CE30" s="107"/>
      <c r="CF30" s="107"/>
      <c r="CG30" s="107"/>
      <c r="CH30" s="107"/>
      <c r="CI30" s="107"/>
      <c r="CJ30" s="107"/>
      <c r="CK30" s="107"/>
      <c r="CL30" s="107"/>
      <c r="CM30" s="107"/>
      <c r="CN30" s="107"/>
      <c r="CO30" s="107"/>
      <c r="CP30" s="107"/>
      <c r="CQ30" s="107"/>
      <c r="CR30" s="107"/>
      <c r="CS30" s="107"/>
      <c r="CT30" s="107"/>
      <c r="CU30" s="107"/>
      <c r="CV30" s="107"/>
      <c r="CW30" s="107"/>
      <c r="CX30" s="107"/>
      <c r="CY30" s="107"/>
      <c r="CZ30" s="107"/>
      <c r="DA30" s="107"/>
      <c r="DB30" s="107"/>
      <c r="DC30" s="107"/>
      <c r="DD30" s="107"/>
      <c r="DE30" s="107"/>
      <c r="DF30" s="107"/>
      <c r="DG30" s="107"/>
    </row>
    <row r="31" spans="1:111" s="105" customFormat="1" ht="30" customHeight="1">
      <c r="K31" s="116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107"/>
      <c r="AI31" s="107"/>
      <c r="AJ31" s="107"/>
      <c r="AK31" s="107"/>
      <c r="AL31" s="107"/>
      <c r="AM31" s="107"/>
      <c r="AN31" s="107"/>
      <c r="AO31" s="107"/>
      <c r="AP31" s="107"/>
      <c r="AQ31" s="107"/>
      <c r="AR31" s="107"/>
      <c r="AS31" s="107"/>
      <c r="AT31" s="107"/>
      <c r="AU31" s="107"/>
      <c r="AV31" s="107"/>
      <c r="AW31" s="107"/>
      <c r="AX31" s="107"/>
      <c r="AY31" s="107"/>
      <c r="AZ31" s="107"/>
      <c r="BA31" s="107"/>
      <c r="BB31" s="107"/>
      <c r="BC31" s="107"/>
      <c r="BD31" s="107"/>
      <c r="BE31" s="107"/>
      <c r="BF31" s="107"/>
      <c r="BG31" s="107"/>
      <c r="BH31" s="107"/>
      <c r="BI31" s="107"/>
      <c r="BJ31" s="107"/>
      <c r="BK31" s="107"/>
      <c r="BL31" s="107"/>
      <c r="BM31" s="107"/>
      <c r="BN31" s="107"/>
      <c r="BO31" s="107"/>
      <c r="BP31" s="107"/>
      <c r="BQ31" s="107"/>
      <c r="BR31" s="107"/>
      <c r="BS31" s="107"/>
      <c r="BT31" s="107"/>
      <c r="BU31" s="107"/>
      <c r="BV31" s="107"/>
      <c r="BW31" s="107"/>
      <c r="BX31" s="107"/>
      <c r="BY31" s="107"/>
      <c r="BZ31" s="107"/>
      <c r="CA31" s="107"/>
      <c r="CB31" s="107"/>
      <c r="CC31" s="107"/>
      <c r="CD31" s="107"/>
      <c r="CE31" s="107"/>
      <c r="CF31" s="107"/>
      <c r="CG31" s="107"/>
      <c r="CH31" s="107"/>
      <c r="CI31" s="107"/>
      <c r="CJ31" s="107"/>
      <c r="CK31" s="107"/>
      <c r="CL31" s="107"/>
      <c r="CM31" s="107"/>
      <c r="CN31" s="107"/>
      <c r="CO31" s="107"/>
      <c r="CP31" s="107"/>
      <c r="CQ31" s="107"/>
      <c r="CR31" s="107"/>
      <c r="CS31" s="107"/>
      <c r="CT31" s="107"/>
      <c r="CU31" s="107"/>
      <c r="CV31" s="107"/>
      <c r="CW31" s="107"/>
      <c r="CX31" s="107"/>
      <c r="CY31" s="107"/>
      <c r="CZ31" s="107"/>
      <c r="DA31" s="107"/>
      <c r="DB31" s="107"/>
      <c r="DC31" s="107"/>
      <c r="DD31" s="107"/>
      <c r="DE31" s="107"/>
      <c r="DF31" s="107"/>
      <c r="DG31" s="107"/>
    </row>
    <row r="32" spans="1:111" s="105" customFormat="1" ht="30" customHeight="1">
      <c r="K32" s="116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7"/>
      <c r="AJ32" s="107"/>
      <c r="AK32" s="107"/>
      <c r="AL32" s="107"/>
      <c r="AM32" s="107"/>
      <c r="AN32" s="107"/>
      <c r="AO32" s="107"/>
      <c r="AP32" s="107"/>
      <c r="AQ32" s="107"/>
      <c r="AR32" s="107"/>
      <c r="AS32" s="107"/>
      <c r="AT32" s="107"/>
      <c r="AU32" s="107"/>
      <c r="AV32" s="107"/>
      <c r="AW32" s="107"/>
      <c r="AX32" s="107"/>
      <c r="AY32" s="107"/>
      <c r="AZ32" s="107"/>
      <c r="BA32" s="107"/>
      <c r="BB32" s="107"/>
      <c r="BC32" s="107"/>
      <c r="BD32" s="107"/>
      <c r="BE32" s="107"/>
      <c r="BF32" s="107"/>
      <c r="BG32" s="107"/>
      <c r="BH32" s="107"/>
      <c r="BI32" s="107"/>
      <c r="BJ32" s="107"/>
      <c r="BK32" s="107"/>
      <c r="BL32" s="107"/>
      <c r="BM32" s="107"/>
      <c r="BN32" s="107"/>
      <c r="BO32" s="107"/>
      <c r="BP32" s="107"/>
      <c r="BQ32" s="107"/>
      <c r="BR32" s="107"/>
      <c r="BS32" s="107"/>
      <c r="BT32" s="107"/>
      <c r="BU32" s="107"/>
      <c r="BV32" s="107"/>
      <c r="BW32" s="107"/>
      <c r="BX32" s="107"/>
      <c r="BY32" s="107"/>
      <c r="BZ32" s="107"/>
      <c r="CA32" s="107"/>
      <c r="CB32" s="107"/>
      <c r="CC32" s="107"/>
      <c r="CD32" s="107"/>
      <c r="CE32" s="107"/>
      <c r="CF32" s="107"/>
      <c r="CG32" s="107"/>
      <c r="CH32" s="107"/>
      <c r="CI32" s="107"/>
      <c r="CJ32" s="107"/>
      <c r="CK32" s="107"/>
      <c r="CL32" s="107"/>
      <c r="CM32" s="107"/>
      <c r="CN32" s="107"/>
      <c r="CO32" s="107"/>
      <c r="CP32" s="107"/>
      <c r="CQ32" s="107"/>
      <c r="CR32" s="107"/>
      <c r="CS32" s="107"/>
      <c r="CT32" s="107"/>
      <c r="CU32" s="107"/>
      <c r="CV32" s="107"/>
      <c r="CW32" s="107"/>
      <c r="CX32" s="107"/>
      <c r="CY32" s="107"/>
      <c r="CZ32" s="107"/>
      <c r="DA32" s="107"/>
      <c r="DB32" s="107"/>
      <c r="DC32" s="107"/>
      <c r="DD32" s="107"/>
      <c r="DE32" s="107"/>
      <c r="DF32" s="107"/>
      <c r="DG32" s="107"/>
    </row>
    <row r="33" spans="11:111" s="105" customFormat="1" ht="30" customHeight="1"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107"/>
      <c r="AI33" s="107"/>
      <c r="AJ33" s="107"/>
      <c r="AK33" s="107"/>
      <c r="AL33" s="107"/>
      <c r="AM33" s="107"/>
      <c r="AN33" s="107"/>
      <c r="AO33" s="107"/>
      <c r="AP33" s="107"/>
      <c r="AQ33" s="107"/>
      <c r="AR33" s="107"/>
      <c r="AS33" s="107"/>
      <c r="AT33" s="107"/>
      <c r="AU33" s="107"/>
      <c r="AV33" s="107"/>
      <c r="AW33" s="107"/>
      <c r="AX33" s="107"/>
      <c r="AY33" s="107"/>
      <c r="AZ33" s="107"/>
      <c r="BA33" s="107"/>
      <c r="BB33" s="107"/>
      <c r="BC33" s="107"/>
      <c r="BD33" s="107"/>
      <c r="BE33" s="107"/>
      <c r="BF33" s="107"/>
      <c r="BG33" s="107"/>
      <c r="BH33" s="107"/>
      <c r="BI33" s="107"/>
      <c r="BJ33" s="107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7"/>
      <c r="BV33" s="107"/>
      <c r="BW33" s="107"/>
      <c r="BX33" s="107"/>
      <c r="BY33" s="107"/>
      <c r="BZ33" s="107"/>
      <c r="CA33" s="107"/>
      <c r="CB33" s="107"/>
      <c r="CC33" s="107"/>
      <c r="CD33" s="107"/>
      <c r="CE33" s="107"/>
      <c r="CF33" s="107"/>
      <c r="CG33" s="107"/>
      <c r="CH33" s="107"/>
      <c r="CI33" s="107"/>
      <c r="CJ33" s="107"/>
      <c r="CK33" s="107"/>
      <c r="CL33" s="107"/>
      <c r="CM33" s="107"/>
      <c r="CN33" s="107"/>
      <c r="CO33" s="107"/>
      <c r="CP33" s="107"/>
      <c r="CQ33" s="107"/>
      <c r="CR33" s="107"/>
      <c r="CS33" s="107"/>
      <c r="CT33" s="107"/>
      <c r="CU33" s="107"/>
      <c r="CV33" s="107"/>
      <c r="CW33" s="107"/>
      <c r="CX33" s="107"/>
      <c r="CY33" s="107"/>
      <c r="CZ33" s="107"/>
      <c r="DA33" s="107"/>
      <c r="DB33" s="107"/>
      <c r="DC33" s="107"/>
      <c r="DD33" s="107"/>
      <c r="DE33" s="107"/>
      <c r="DF33" s="107"/>
      <c r="DG33" s="107"/>
    </row>
    <row r="34" spans="11:111" s="105" customFormat="1" ht="30" customHeight="1"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107"/>
      <c r="AI34" s="107"/>
      <c r="AJ34" s="107"/>
      <c r="AK34" s="107"/>
      <c r="AL34" s="107"/>
      <c r="AM34" s="107"/>
      <c r="AN34" s="107"/>
      <c r="AO34" s="107"/>
      <c r="AP34" s="107"/>
      <c r="AQ34" s="107"/>
      <c r="AR34" s="107"/>
      <c r="AS34" s="107"/>
      <c r="AT34" s="107"/>
      <c r="AU34" s="107"/>
      <c r="AV34" s="107"/>
      <c r="AW34" s="107"/>
      <c r="AX34" s="107"/>
      <c r="AY34" s="107"/>
      <c r="AZ34" s="107"/>
      <c r="BA34" s="107"/>
      <c r="BB34" s="107"/>
      <c r="BC34" s="107"/>
      <c r="BD34" s="107"/>
      <c r="BE34" s="107"/>
      <c r="BF34" s="107"/>
      <c r="BG34" s="107"/>
      <c r="BH34" s="107"/>
      <c r="BI34" s="107"/>
      <c r="BJ34" s="107"/>
      <c r="BK34" s="107"/>
      <c r="BL34" s="107"/>
      <c r="BM34" s="107"/>
      <c r="BN34" s="107"/>
      <c r="BO34" s="107"/>
      <c r="BP34" s="107"/>
      <c r="BQ34" s="107"/>
      <c r="BR34" s="107"/>
      <c r="BS34" s="107"/>
      <c r="BT34" s="107"/>
      <c r="BU34" s="107"/>
      <c r="BV34" s="107"/>
      <c r="BW34" s="107"/>
      <c r="BX34" s="107"/>
      <c r="BY34" s="107"/>
      <c r="BZ34" s="107"/>
      <c r="CA34" s="107"/>
      <c r="CB34" s="107"/>
      <c r="CC34" s="107"/>
      <c r="CD34" s="107"/>
      <c r="CE34" s="107"/>
      <c r="CF34" s="107"/>
      <c r="CG34" s="107"/>
      <c r="CH34" s="107"/>
      <c r="CI34" s="107"/>
      <c r="CJ34" s="107"/>
      <c r="CK34" s="107"/>
      <c r="CL34" s="107"/>
      <c r="CM34" s="107"/>
      <c r="CN34" s="107"/>
      <c r="CO34" s="107"/>
      <c r="CP34" s="107"/>
      <c r="CQ34" s="107"/>
      <c r="CR34" s="107"/>
      <c r="CS34" s="107"/>
      <c r="CT34" s="107"/>
      <c r="CU34" s="107"/>
      <c r="CV34" s="107"/>
      <c r="CW34" s="107"/>
      <c r="CX34" s="107"/>
      <c r="CY34" s="107"/>
      <c r="CZ34" s="107"/>
      <c r="DA34" s="107"/>
      <c r="DB34" s="107"/>
      <c r="DC34" s="107"/>
      <c r="DD34" s="107"/>
      <c r="DE34" s="107"/>
      <c r="DF34" s="107"/>
      <c r="DG34" s="107"/>
    </row>
    <row r="35" spans="11:111" s="105" customFormat="1" ht="30" customHeight="1"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107"/>
      <c r="AI35" s="107"/>
      <c r="AJ35" s="107"/>
      <c r="AK35" s="107"/>
      <c r="AL35" s="107"/>
      <c r="AM35" s="107"/>
      <c r="AN35" s="107"/>
      <c r="AO35" s="107"/>
      <c r="AP35" s="107"/>
      <c r="AQ35" s="107"/>
      <c r="AR35" s="107"/>
      <c r="AS35" s="107"/>
      <c r="AT35" s="107"/>
      <c r="AU35" s="107"/>
      <c r="AV35" s="107"/>
      <c r="AW35" s="107"/>
      <c r="AX35" s="107"/>
      <c r="AY35" s="107"/>
      <c r="AZ35" s="107"/>
      <c r="BA35" s="107"/>
      <c r="BB35" s="107"/>
      <c r="BC35" s="107"/>
      <c r="BD35" s="107"/>
      <c r="BE35" s="107"/>
      <c r="BF35" s="107"/>
      <c r="BG35" s="107"/>
      <c r="BH35" s="107"/>
      <c r="BI35" s="107"/>
      <c r="BJ35" s="107"/>
      <c r="BK35" s="107"/>
      <c r="BL35" s="107"/>
      <c r="BM35" s="107"/>
      <c r="BN35" s="107"/>
      <c r="BO35" s="107"/>
      <c r="BP35" s="107"/>
      <c r="BQ35" s="107"/>
      <c r="BR35" s="107"/>
      <c r="BS35" s="107"/>
      <c r="BT35" s="107"/>
      <c r="BU35" s="107"/>
      <c r="BV35" s="107"/>
      <c r="BW35" s="107"/>
      <c r="BX35" s="107"/>
      <c r="BY35" s="107"/>
      <c r="BZ35" s="107"/>
      <c r="CA35" s="107"/>
      <c r="CB35" s="107"/>
      <c r="CC35" s="107"/>
      <c r="CD35" s="107"/>
      <c r="CE35" s="107"/>
      <c r="CF35" s="107"/>
      <c r="CG35" s="107"/>
      <c r="CH35" s="107"/>
      <c r="CI35" s="107"/>
      <c r="CJ35" s="107"/>
      <c r="CK35" s="107"/>
      <c r="CL35" s="107"/>
      <c r="CM35" s="107"/>
      <c r="CN35" s="107"/>
      <c r="CO35" s="107"/>
      <c r="CP35" s="107"/>
      <c r="CQ35" s="107"/>
      <c r="CR35" s="107"/>
      <c r="CS35" s="107"/>
      <c r="CT35" s="107"/>
      <c r="CU35" s="107"/>
      <c r="CV35" s="107"/>
      <c r="CW35" s="107"/>
      <c r="CX35" s="107"/>
      <c r="CY35" s="107"/>
      <c r="CZ35" s="107"/>
      <c r="DA35" s="107"/>
      <c r="DB35" s="107"/>
      <c r="DC35" s="107"/>
      <c r="DD35" s="107"/>
      <c r="DE35" s="107"/>
      <c r="DF35" s="107"/>
      <c r="DG35" s="107"/>
    </row>
    <row r="36" spans="11:111" s="105" customFormat="1" ht="30" customHeight="1"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  <c r="AK36" s="107"/>
      <c r="AL36" s="107"/>
      <c r="AM36" s="107"/>
      <c r="AN36" s="107"/>
      <c r="AO36" s="107"/>
      <c r="AP36" s="107"/>
      <c r="AQ36" s="107"/>
      <c r="AR36" s="107"/>
      <c r="AS36" s="107"/>
      <c r="AT36" s="107"/>
      <c r="AU36" s="107"/>
      <c r="AV36" s="107"/>
      <c r="AW36" s="107"/>
      <c r="AX36" s="107"/>
      <c r="AY36" s="107"/>
      <c r="AZ36" s="107"/>
      <c r="BA36" s="107"/>
      <c r="BB36" s="107"/>
      <c r="BC36" s="107"/>
      <c r="BD36" s="107"/>
      <c r="BE36" s="107"/>
      <c r="BF36" s="107"/>
      <c r="BG36" s="107"/>
      <c r="BH36" s="107"/>
      <c r="BI36" s="107"/>
      <c r="BJ36" s="107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7"/>
      <c r="BV36" s="107"/>
      <c r="BW36" s="107"/>
      <c r="BX36" s="107"/>
      <c r="BY36" s="107"/>
      <c r="BZ36" s="107"/>
      <c r="CA36" s="107"/>
      <c r="CB36" s="107"/>
      <c r="CC36" s="107"/>
      <c r="CD36" s="107"/>
      <c r="CE36" s="107"/>
      <c r="CF36" s="107"/>
      <c r="CG36" s="107"/>
      <c r="CH36" s="107"/>
      <c r="CI36" s="107"/>
      <c r="CJ36" s="107"/>
      <c r="CK36" s="107"/>
      <c r="CL36" s="107"/>
      <c r="CM36" s="107"/>
      <c r="CN36" s="107"/>
      <c r="CO36" s="107"/>
      <c r="CP36" s="107"/>
      <c r="CQ36" s="107"/>
      <c r="CR36" s="107"/>
      <c r="CS36" s="107"/>
      <c r="CT36" s="107"/>
      <c r="CU36" s="107"/>
      <c r="CV36" s="107"/>
      <c r="CW36" s="107"/>
      <c r="CX36" s="107"/>
      <c r="CY36" s="107"/>
      <c r="CZ36" s="107"/>
      <c r="DA36" s="107"/>
      <c r="DB36" s="107"/>
      <c r="DC36" s="107"/>
      <c r="DD36" s="107"/>
      <c r="DE36" s="107"/>
      <c r="DF36" s="107"/>
      <c r="DG36" s="107"/>
    </row>
    <row r="37" spans="11:111" s="105" customFormat="1" ht="30" customHeight="1"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107"/>
      <c r="AI37" s="107"/>
      <c r="AJ37" s="107"/>
      <c r="AK37" s="107"/>
      <c r="AL37" s="107"/>
      <c r="AM37" s="107"/>
      <c r="AN37" s="107"/>
      <c r="AO37" s="107"/>
      <c r="AP37" s="107"/>
      <c r="AQ37" s="107"/>
      <c r="AR37" s="107"/>
      <c r="AS37" s="107"/>
      <c r="AT37" s="107"/>
      <c r="AU37" s="107"/>
      <c r="AV37" s="107"/>
      <c r="AW37" s="107"/>
      <c r="AX37" s="107"/>
      <c r="AY37" s="107"/>
      <c r="AZ37" s="107"/>
      <c r="BA37" s="107"/>
      <c r="BB37" s="107"/>
      <c r="BC37" s="107"/>
      <c r="BD37" s="107"/>
      <c r="BE37" s="107"/>
      <c r="BF37" s="107"/>
      <c r="BG37" s="107"/>
      <c r="BH37" s="107"/>
      <c r="BI37" s="107"/>
      <c r="BJ37" s="107"/>
      <c r="BK37" s="107"/>
      <c r="BL37" s="107"/>
      <c r="BM37" s="107"/>
      <c r="BN37" s="107"/>
      <c r="BO37" s="107"/>
      <c r="BP37" s="107"/>
      <c r="BQ37" s="107"/>
      <c r="BR37" s="107"/>
      <c r="BS37" s="107"/>
      <c r="BT37" s="107"/>
      <c r="BU37" s="107"/>
      <c r="BV37" s="107"/>
      <c r="BW37" s="107"/>
      <c r="BX37" s="107"/>
      <c r="BY37" s="107"/>
      <c r="BZ37" s="107"/>
      <c r="CA37" s="107"/>
      <c r="CB37" s="107"/>
      <c r="CC37" s="107"/>
      <c r="CD37" s="107"/>
      <c r="CE37" s="107"/>
      <c r="CF37" s="107"/>
      <c r="CG37" s="107"/>
      <c r="CH37" s="107"/>
      <c r="CI37" s="107"/>
      <c r="CJ37" s="107"/>
      <c r="CK37" s="107"/>
      <c r="CL37" s="107"/>
      <c r="CM37" s="107"/>
      <c r="CN37" s="107"/>
      <c r="CO37" s="107"/>
      <c r="CP37" s="107"/>
      <c r="CQ37" s="107"/>
      <c r="CR37" s="107"/>
      <c r="CS37" s="107"/>
      <c r="CT37" s="107"/>
      <c r="CU37" s="107"/>
      <c r="CV37" s="107"/>
      <c r="CW37" s="107"/>
      <c r="CX37" s="107"/>
      <c r="CY37" s="107"/>
      <c r="CZ37" s="107"/>
      <c r="DA37" s="107"/>
      <c r="DB37" s="107"/>
      <c r="DC37" s="107"/>
      <c r="DD37" s="107"/>
      <c r="DE37" s="107"/>
      <c r="DF37" s="107"/>
      <c r="DG37" s="107"/>
    </row>
    <row r="38" spans="11:111" s="105" customFormat="1" ht="30" customHeight="1"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107"/>
      <c r="AI38" s="107"/>
      <c r="AJ38" s="107"/>
      <c r="AK38" s="107"/>
      <c r="AL38" s="107"/>
      <c r="AM38" s="107"/>
      <c r="AN38" s="107"/>
      <c r="AO38" s="107"/>
      <c r="AP38" s="107"/>
      <c r="AQ38" s="107"/>
      <c r="AR38" s="107"/>
      <c r="AS38" s="107"/>
      <c r="AT38" s="107"/>
      <c r="AU38" s="107"/>
      <c r="AV38" s="107"/>
      <c r="AW38" s="107"/>
      <c r="AX38" s="107"/>
      <c r="AY38" s="107"/>
      <c r="AZ38" s="107"/>
      <c r="BA38" s="107"/>
      <c r="BB38" s="107"/>
      <c r="BC38" s="107"/>
      <c r="BD38" s="107"/>
      <c r="BE38" s="107"/>
      <c r="BF38" s="107"/>
      <c r="BG38" s="107"/>
      <c r="BH38" s="107"/>
      <c r="BI38" s="107"/>
      <c r="BJ38" s="107"/>
      <c r="BK38" s="107"/>
      <c r="BL38" s="107"/>
      <c r="BM38" s="107"/>
      <c r="BN38" s="107"/>
      <c r="BO38" s="107"/>
      <c r="BP38" s="107"/>
      <c r="BQ38" s="107"/>
      <c r="BR38" s="107"/>
      <c r="BS38" s="107"/>
      <c r="BT38" s="107"/>
      <c r="BU38" s="107"/>
      <c r="BV38" s="107"/>
      <c r="BW38" s="107"/>
      <c r="BX38" s="107"/>
      <c r="BY38" s="107"/>
      <c r="BZ38" s="107"/>
      <c r="CA38" s="107"/>
      <c r="CB38" s="107"/>
      <c r="CC38" s="107"/>
      <c r="CD38" s="107"/>
      <c r="CE38" s="107"/>
      <c r="CF38" s="107"/>
      <c r="CG38" s="107"/>
      <c r="CH38" s="107"/>
      <c r="CI38" s="107"/>
      <c r="CJ38" s="107"/>
      <c r="CK38" s="107"/>
      <c r="CL38" s="107"/>
      <c r="CM38" s="107"/>
      <c r="CN38" s="107"/>
      <c r="CO38" s="107"/>
      <c r="CP38" s="107"/>
      <c r="CQ38" s="107"/>
      <c r="CR38" s="107"/>
      <c r="CS38" s="107"/>
      <c r="CT38" s="107"/>
      <c r="CU38" s="107"/>
      <c r="CV38" s="107"/>
      <c r="CW38" s="107"/>
      <c r="CX38" s="107"/>
      <c r="CY38" s="107"/>
      <c r="CZ38" s="107"/>
      <c r="DA38" s="107"/>
      <c r="DB38" s="107"/>
      <c r="DC38" s="107"/>
      <c r="DD38" s="107"/>
      <c r="DE38" s="107"/>
      <c r="DF38" s="107"/>
      <c r="DG38" s="107"/>
    </row>
    <row r="39" spans="11:111" s="105" customFormat="1" ht="30" customHeight="1"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107"/>
      <c r="AI39" s="107"/>
      <c r="AJ39" s="107"/>
      <c r="AK39" s="107"/>
      <c r="AL39" s="107"/>
      <c r="AM39" s="107"/>
      <c r="AN39" s="107"/>
      <c r="AO39" s="107"/>
      <c r="AP39" s="107"/>
      <c r="AQ39" s="107"/>
      <c r="AR39" s="107"/>
      <c r="AS39" s="107"/>
      <c r="AT39" s="107"/>
      <c r="AU39" s="107"/>
      <c r="AV39" s="107"/>
      <c r="AW39" s="107"/>
      <c r="AX39" s="107"/>
      <c r="AY39" s="107"/>
      <c r="AZ39" s="107"/>
      <c r="BA39" s="107"/>
      <c r="BB39" s="107"/>
      <c r="BC39" s="107"/>
      <c r="BD39" s="107"/>
      <c r="BE39" s="107"/>
      <c r="BF39" s="107"/>
      <c r="BG39" s="107"/>
      <c r="BH39" s="107"/>
      <c r="BI39" s="107"/>
      <c r="BJ39" s="107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7"/>
      <c r="BV39" s="107"/>
      <c r="BW39" s="107"/>
      <c r="BX39" s="107"/>
      <c r="BY39" s="107"/>
      <c r="BZ39" s="107"/>
      <c r="CA39" s="107"/>
      <c r="CB39" s="107"/>
      <c r="CC39" s="107"/>
      <c r="CD39" s="107"/>
      <c r="CE39" s="107"/>
      <c r="CF39" s="107"/>
      <c r="CG39" s="107"/>
      <c r="CH39" s="107"/>
      <c r="CI39" s="107"/>
      <c r="CJ39" s="107"/>
      <c r="CK39" s="107"/>
      <c r="CL39" s="107"/>
      <c r="CM39" s="107"/>
      <c r="CN39" s="107"/>
      <c r="CO39" s="107"/>
      <c r="CP39" s="107"/>
      <c r="CQ39" s="107"/>
      <c r="CR39" s="107"/>
      <c r="CS39" s="107"/>
      <c r="CT39" s="107"/>
      <c r="CU39" s="107"/>
      <c r="CV39" s="107"/>
      <c r="CW39" s="107"/>
      <c r="CX39" s="107"/>
      <c r="CY39" s="107"/>
      <c r="CZ39" s="107"/>
      <c r="DA39" s="107"/>
      <c r="DB39" s="107"/>
      <c r="DC39" s="107"/>
      <c r="DD39" s="107"/>
      <c r="DE39" s="107"/>
      <c r="DF39" s="107"/>
      <c r="DG39" s="107"/>
    </row>
    <row r="40" spans="11:111" s="105" customFormat="1" ht="30" customHeight="1"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  <c r="AM40" s="107"/>
      <c r="AN40" s="107"/>
      <c r="AO40" s="107"/>
      <c r="AP40" s="107"/>
      <c r="AQ40" s="107"/>
      <c r="AR40" s="107"/>
      <c r="AS40" s="107"/>
      <c r="AT40" s="107"/>
      <c r="AU40" s="107"/>
      <c r="AV40" s="107"/>
      <c r="AW40" s="107"/>
      <c r="AX40" s="107"/>
      <c r="AY40" s="107"/>
      <c r="AZ40" s="107"/>
      <c r="BA40" s="107"/>
      <c r="BB40" s="107"/>
      <c r="BC40" s="107"/>
      <c r="BD40" s="107"/>
      <c r="BE40" s="107"/>
      <c r="BF40" s="107"/>
      <c r="BG40" s="107"/>
      <c r="BH40" s="107"/>
      <c r="BI40" s="107"/>
      <c r="BJ40" s="107"/>
      <c r="BK40" s="107"/>
      <c r="BL40" s="107"/>
      <c r="BM40" s="107"/>
      <c r="BN40" s="107"/>
      <c r="BO40" s="107"/>
      <c r="BP40" s="107"/>
      <c r="BQ40" s="107"/>
      <c r="BR40" s="107"/>
      <c r="BS40" s="107"/>
      <c r="BT40" s="107"/>
      <c r="BU40" s="107"/>
      <c r="BV40" s="107"/>
      <c r="BW40" s="107"/>
      <c r="BX40" s="107"/>
      <c r="BY40" s="107"/>
      <c r="BZ40" s="107"/>
      <c r="CA40" s="107"/>
      <c r="CB40" s="107"/>
      <c r="CC40" s="107"/>
      <c r="CD40" s="107"/>
      <c r="CE40" s="107"/>
      <c r="CF40" s="107"/>
      <c r="CG40" s="107"/>
      <c r="CH40" s="107"/>
      <c r="CI40" s="107"/>
      <c r="CJ40" s="107"/>
      <c r="CK40" s="107"/>
      <c r="CL40" s="107"/>
      <c r="CM40" s="107"/>
      <c r="CN40" s="107"/>
      <c r="CO40" s="107"/>
      <c r="CP40" s="107"/>
      <c r="CQ40" s="107"/>
      <c r="CR40" s="107"/>
      <c r="CS40" s="107"/>
      <c r="CT40" s="107"/>
      <c r="CU40" s="107"/>
      <c r="CV40" s="107"/>
      <c r="CW40" s="107"/>
      <c r="CX40" s="107"/>
      <c r="CY40" s="107"/>
      <c r="CZ40" s="107"/>
      <c r="DA40" s="107"/>
      <c r="DB40" s="107"/>
      <c r="DC40" s="107"/>
      <c r="DD40" s="107"/>
      <c r="DE40" s="107"/>
      <c r="DF40" s="107"/>
      <c r="DG40" s="107"/>
    </row>
    <row r="41" spans="11:111" s="105" customFormat="1" ht="30" customHeight="1"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  <c r="AM41" s="107"/>
      <c r="AN41" s="107"/>
      <c r="AO41" s="107"/>
      <c r="AP41" s="107"/>
      <c r="AQ41" s="107"/>
      <c r="AR41" s="107"/>
      <c r="AS41" s="107"/>
      <c r="AT41" s="107"/>
      <c r="AU41" s="107"/>
      <c r="AV41" s="107"/>
      <c r="AW41" s="107"/>
      <c r="AX41" s="107"/>
      <c r="AY41" s="107"/>
      <c r="AZ41" s="107"/>
      <c r="BA41" s="107"/>
      <c r="BB41" s="107"/>
      <c r="BC41" s="107"/>
      <c r="BD41" s="107"/>
      <c r="BE41" s="107"/>
      <c r="BF41" s="107"/>
      <c r="BG41" s="107"/>
      <c r="BH41" s="107"/>
      <c r="BI41" s="107"/>
      <c r="BJ41" s="107"/>
      <c r="BK41" s="107"/>
      <c r="BL41" s="107"/>
      <c r="BM41" s="107"/>
      <c r="BN41" s="107"/>
      <c r="BO41" s="107"/>
      <c r="BP41" s="107"/>
      <c r="BQ41" s="107"/>
      <c r="BR41" s="107"/>
      <c r="BS41" s="107"/>
      <c r="BT41" s="107"/>
      <c r="BU41" s="107"/>
      <c r="BV41" s="107"/>
      <c r="BW41" s="107"/>
      <c r="BX41" s="107"/>
      <c r="BY41" s="107"/>
      <c r="BZ41" s="107"/>
      <c r="CA41" s="107"/>
      <c r="CB41" s="107"/>
      <c r="CC41" s="107"/>
      <c r="CD41" s="107"/>
      <c r="CE41" s="107"/>
      <c r="CF41" s="107"/>
      <c r="CG41" s="107"/>
      <c r="CH41" s="107"/>
      <c r="CI41" s="107"/>
      <c r="CJ41" s="107"/>
      <c r="CK41" s="107"/>
      <c r="CL41" s="107"/>
      <c r="CM41" s="107"/>
      <c r="CN41" s="107"/>
      <c r="CO41" s="107"/>
      <c r="CP41" s="107"/>
      <c r="CQ41" s="107"/>
      <c r="CR41" s="107"/>
      <c r="CS41" s="107"/>
      <c r="CT41" s="107"/>
      <c r="CU41" s="107"/>
      <c r="CV41" s="107"/>
      <c r="CW41" s="107"/>
      <c r="CX41" s="107"/>
      <c r="CY41" s="107"/>
      <c r="CZ41" s="107"/>
      <c r="DA41" s="107"/>
      <c r="DB41" s="107"/>
      <c r="DC41" s="107"/>
      <c r="DD41" s="107"/>
      <c r="DE41" s="107"/>
      <c r="DF41" s="107"/>
      <c r="DG41" s="107"/>
    </row>
    <row r="42" spans="11:111" s="105" customFormat="1" ht="30" customHeight="1"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  <c r="AM42" s="107"/>
      <c r="AN42" s="107"/>
      <c r="AO42" s="107"/>
      <c r="AP42" s="107"/>
      <c r="AQ42" s="107"/>
      <c r="AR42" s="107"/>
      <c r="AS42" s="107"/>
      <c r="AT42" s="107"/>
      <c r="AU42" s="107"/>
      <c r="AV42" s="107"/>
      <c r="AW42" s="107"/>
      <c r="AX42" s="107"/>
      <c r="AY42" s="107"/>
      <c r="AZ42" s="107"/>
      <c r="BA42" s="107"/>
      <c r="BB42" s="107"/>
      <c r="BC42" s="107"/>
      <c r="BD42" s="107"/>
      <c r="BE42" s="107"/>
      <c r="BF42" s="107"/>
      <c r="BG42" s="107"/>
      <c r="BH42" s="107"/>
      <c r="BI42" s="107"/>
      <c r="BJ42" s="107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7"/>
      <c r="BV42" s="107"/>
      <c r="BW42" s="107"/>
      <c r="BX42" s="107"/>
      <c r="BY42" s="107"/>
      <c r="BZ42" s="107"/>
      <c r="CA42" s="107"/>
      <c r="CB42" s="107"/>
      <c r="CC42" s="107"/>
      <c r="CD42" s="107"/>
      <c r="CE42" s="107"/>
      <c r="CF42" s="107"/>
      <c r="CG42" s="107"/>
      <c r="CH42" s="107"/>
      <c r="CI42" s="107"/>
      <c r="CJ42" s="107"/>
      <c r="CK42" s="107"/>
      <c r="CL42" s="107"/>
      <c r="CM42" s="107"/>
      <c r="CN42" s="107"/>
      <c r="CO42" s="107"/>
      <c r="CP42" s="107"/>
      <c r="CQ42" s="107"/>
      <c r="CR42" s="107"/>
      <c r="CS42" s="107"/>
      <c r="CT42" s="107"/>
      <c r="CU42" s="107"/>
      <c r="CV42" s="107"/>
      <c r="CW42" s="107"/>
      <c r="CX42" s="107"/>
      <c r="CY42" s="107"/>
      <c r="CZ42" s="107"/>
      <c r="DA42" s="107"/>
      <c r="DB42" s="107"/>
      <c r="DC42" s="107"/>
      <c r="DD42" s="107"/>
      <c r="DE42" s="107"/>
      <c r="DF42" s="107"/>
      <c r="DG42" s="107"/>
    </row>
    <row r="43" spans="11:111" s="105" customFormat="1" ht="30" customHeight="1"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  <c r="AM43" s="107"/>
      <c r="AN43" s="107"/>
      <c r="AO43" s="107"/>
      <c r="AP43" s="107"/>
      <c r="AQ43" s="107"/>
      <c r="AR43" s="107"/>
      <c r="AS43" s="107"/>
      <c r="AT43" s="107"/>
      <c r="AU43" s="107"/>
      <c r="AV43" s="107"/>
      <c r="AW43" s="107"/>
      <c r="AX43" s="107"/>
      <c r="AY43" s="107"/>
      <c r="AZ43" s="107"/>
      <c r="BA43" s="107"/>
      <c r="BB43" s="107"/>
      <c r="BC43" s="107"/>
      <c r="BD43" s="107"/>
      <c r="BE43" s="107"/>
      <c r="BF43" s="107"/>
      <c r="BG43" s="107"/>
      <c r="BH43" s="107"/>
      <c r="BI43" s="107"/>
      <c r="BJ43" s="107"/>
      <c r="BK43" s="107"/>
      <c r="BL43" s="107"/>
      <c r="BM43" s="107"/>
      <c r="BN43" s="107"/>
      <c r="BO43" s="107"/>
      <c r="BP43" s="107"/>
      <c r="BQ43" s="107"/>
      <c r="BR43" s="107"/>
      <c r="BS43" s="107"/>
      <c r="BT43" s="107"/>
      <c r="BU43" s="107"/>
      <c r="BV43" s="107"/>
      <c r="BW43" s="107"/>
      <c r="BX43" s="107"/>
      <c r="BY43" s="107"/>
      <c r="BZ43" s="107"/>
      <c r="CA43" s="107"/>
      <c r="CB43" s="107"/>
      <c r="CC43" s="107"/>
      <c r="CD43" s="107"/>
      <c r="CE43" s="107"/>
      <c r="CF43" s="107"/>
      <c r="CG43" s="107"/>
      <c r="CH43" s="107"/>
      <c r="CI43" s="107"/>
      <c r="CJ43" s="107"/>
      <c r="CK43" s="107"/>
      <c r="CL43" s="107"/>
      <c r="CM43" s="107"/>
      <c r="CN43" s="107"/>
      <c r="CO43" s="107"/>
      <c r="CP43" s="107"/>
      <c r="CQ43" s="107"/>
      <c r="CR43" s="107"/>
      <c r="CS43" s="107"/>
      <c r="CT43" s="107"/>
      <c r="CU43" s="107"/>
      <c r="CV43" s="107"/>
      <c r="CW43" s="107"/>
      <c r="CX43" s="107"/>
      <c r="CY43" s="107"/>
      <c r="CZ43" s="107"/>
      <c r="DA43" s="107"/>
      <c r="DB43" s="107"/>
      <c r="DC43" s="107"/>
      <c r="DD43" s="107"/>
      <c r="DE43" s="107"/>
      <c r="DF43" s="107"/>
      <c r="DG43" s="107"/>
    </row>
    <row r="44" spans="11:111" s="105" customFormat="1" ht="30" customHeight="1"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7"/>
      <c r="AU44" s="107"/>
      <c r="AV44" s="107"/>
      <c r="AW44" s="107"/>
      <c r="AX44" s="107"/>
      <c r="AY44" s="107"/>
      <c r="AZ44" s="107"/>
      <c r="BA44" s="107"/>
      <c r="BB44" s="107"/>
      <c r="BC44" s="107"/>
      <c r="BD44" s="107"/>
      <c r="BE44" s="107"/>
      <c r="BF44" s="107"/>
      <c r="BG44" s="107"/>
      <c r="BH44" s="107"/>
      <c r="BI44" s="107"/>
      <c r="BJ44" s="107"/>
      <c r="BK44" s="107"/>
      <c r="BL44" s="107"/>
      <c r="BM44" s="107"/>
      <c r="BN44" s="107"/>
      <c r="BO44" s="107"/>
      <c r="BP44" s="107"/>
      <c r="BQ44" s="107"/>
      <c r="BR44" s="107"/>
      <c r="BS44" s="107"/>
      <c r="BT44" s="107"/>
      <c r="BU44" s="107"/>
      <c r="BV44" s="107"/>
      <c r="BW44" s="107"/>
      <c r="BX44" s="107"/>
      <c r="BY44" s="107"/>
      <c r="BZ44" s="107"/>
      <c r="CA44" s="107"/>
      <c r="CB44" s="107"/>
      <c r="CC44" s="107"/>
      <c r="CD44" s="107"/>
      <c r="CE44" s="107"/>
      <c r="CF44" s="107"/>
      <c r="CG44" s="107"/>
      <c r="CH44" s="107"/>
      <c r="CI44" s="107"/>
      <c r="CJ44" s="107"/>
      <c r="CK44" s="107"/>
      <c r="CL44" s="107"/>
      <c r="CM44" s="107"/>
      <c r="CN44" s="107"/>
      <c r="CO44" s="107"/>
      <c r="CP44" s="107"/>
      <c r="CQ44" s="107"/>
      <c r="CR44" s="107"/>
      <c r="CS44" s="107"/>
      <c r="CT44" s="107"/>
      <c r="CU44" s="107"/>
      <c r="CV44" s="107"/>
      <c r="CW44" s="107"/>
      <c r="CX44" s="107"/>
      <c r="CY44" s="107"/>
      <c r="CZ44" s="107"/>
      <c r="DA44" s="107"/>
      <c r="DB44" s="107"/>
      <c r="DC44" s="107"/>
      <c r="DD44" s="107"/>
      <c r="DE44" s="107"/>
      <c r="DF44" s="107"/>
      <c r="DG44" s="107"/>
    </row>
    <row r="45" spans="11:111" s="105" customFormat="1" ht="30" customHeight="1"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7"/>
      <c r="AU45" s="107"/>
      <c r="AV45" s="107"/>
      <c r="AW45" s="107"/>
      <c r="AX45" s="107"/>
      <c r="AY45" s="107"/>
      <c r="AZ45" s="107"/>
      <c r="BA45" s="107"/>
      <c r="BB45" s="107"/>
      <c r="BC45" s="107"/>
      <c r="BD45" s="107"/>
      <c r="BE45" s="107"/>
      <c r="BF45" s="107"/>
      <c r="BG45" s="107"/>
      <c r="BH45" s="107"/>
      <c r="BI45" s="107"/>
      <c r="BJ45" s="107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7"/>
      <c r="BV45" s="107"/>
      <c r="BW45" s="107"/>
      <c r="BX45" s="107"/>
      <c r="BY45" s="107"/>
      <c r="BZ45" s="107"/>
      <c r="CA45" s="107"/>
      <c r="CB45" s="107"/>
      <c r="CC45" s="107"/>
      <c r="CD45" s="107"/>
      <c r="CE45" s="107"/>
      <c r="CF45" s="107"/>
      <c r="CG45" s="107"/>
      <c r="CH45" s="107"/>
      <c r="CI45" s="107"/>
      <c r="CJ45" s="107"/>
      <c r="CK45" s="107"/>
      <c r="CL45" s="107"/>
      <c r="CM45" s="107"/>
      <c r="CN45" s="107"/>
      <c r="CO45" s="107"/>
      <c r="CP45" s="107"/>
      <c r="CQ45" s="107"/>
      <c r="CR45" s="107"/>
      <c r="CS45" s="107"/>
      <c r="CT45" s="107"/>
      <c r="CU45" s="107"/>
      <c r="CV45" s="107"/>
      <c r="CW45" s="107"/>
      <c r="CX45" s="107"/>
      <c r="CY45" s="107"/>
      <c r="CZ45" s="107"/>
      <c r="DA45" s="107"/>
      <c r="DB45" s="107"/>
      <c r="DC45" s="107"/>
      <c r="DD45" s="107"/>
      <c r="DE45" s="107"/>
      <c r="DF45" s="107"/>
      <c r="DG45" s="107"/>
    </row>
  </sheetData>
  <mergeCells count="10">
    <mergeCell ref="A24:G24"/>
    <mergeCell ref="H24:I24"/>
    <mergeCell ref="D1:I1"/>
    <mergeCell ref="A3:I3"/>
    <mergeCell ref="A20:G20"/>
    <mergeCell ref="A21:G21"/>
    <mergeCell ref="A22:G22"/>
    <mergeCell ref="A23:G23"/>
    <mergeCell ref="A4:I4"/>
    <mergeCell ref="A5:I5"/>
  </mergeCells>
  <conditionalFormatting sqref="A8:I8">
    <cfRule type="expression" dxfId="13" priority="43">
      <formula>$H8&lt;=0</formula>
    </cfRule>
  </conditionalFormatting>
  <conditionalFormatting sqref="A13:E13 G13 I13">
    <cfRule type="expression" dxfId="12" priority="18">
      <formula>$H13&lt;=0</formula>
    </cfRule>
  </conditionalFormatting>
  <conditionalFormatting sqref="A9:I9">
    <cfRule type="expression" dxfId="11" priority="22">
      <formula>$H9&lt;=0</formula>
    </cfRule>
  </conditionalFormatting>
  <conditionalFormatting sqref="A10:I10">
    <cfRule type="expression" dxfId="10" priority="21">
      <formula>$H10&lt;=0</formula>
    </cfRule>
  </conditionalFormatting>
  <conditionalFormatting sqref="A11:I11">
    <cfRule type="expression" dxfId="9" priority="20">
      <formula>$H11&lt;=0</formula>
    </cfRule>
  </conditionalFormatting>
  <conditionalFormatting sqref="A12:E12 G12:I12">
    <cfRule type="expression" dxfId="8" priority="19">
      <formula>$H12&lt;=0</formula>
    </cfRule>
  </conditionalFormatting>
  <conditionalFormatting sqref="A14:I14 F15:F17 H15:H17 F13 H13">
    <cfRule type="expression" dxfId="7" priority="17">
      <formula>$H13&lt;=0</formula>
    </cfRule>
  </conditionalFormatting>
  <conditionalFormatting sqref="A15:E15 G15 I15">
    <cfRule type="expression" dxfId="6" priority="16">
      <formula>$H15&lt;=0</formula>
    </cfRule>
  </conditionalFormatting>
  <conditionalFormatting sqref="A16:E16 G16 I16">
    <cfRule type="expression" dxfId="5" priority="15">
      <formula>$H16&lt;=0</formula>
    </cfRule>
  </conditionalFormatting>
  <conditionalFormatting sqref="A17:E17 G17 I17">
    <cfRule type="expression" dxfId="4" priority="14">
      <formula>$H17&lt;=0</formula>
    </cfRule>
  </conditionalFormatting>
  <conditionalFormatting sqref="K8:K17">
    <cfRule type="colorScale" priority="2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5A8AC6"/>
      </colorScale>
    </cfRule>
    <cfRule type="expression" dxfId="3" priority="13">
      <formula>$H8&lt;=0</formula>
    </cfRule>
  </conditionalFormatting>
  <conditionalFormatting sqref="F12">
    <cfRule type="expression" dxfId="2" priority="1">
      <formula>$H12&lt;=0</formula>
    </cfRule>
  </conditionalFormatting>
  <printOptions horizontalCentered="1"/>
  <pageMargins left="0.45" right="0.45" top="0.45" bottom="0" header="0.2" footer="0.17"/>
  <pageSetup paperSize="9" scale="63" orientation="landscape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C00000"/>
  </sheetPr>
  <dimension ref="A1:AM47"/>
  <sheetViews>
    <sheetView showGridLines="0" topLeftCell="M1" zoomScale="85" zoomScaleNormal="85" workbookViewId="0">
      <selection activeCell="S1" sqref="S1:S9"/>
    </sheetView>
  </sheetViews>
  <sheetFormatPr defaultColWidth="8.81640625" defaultRowHeight="14"/>
  <cols>
    <col min="1" max="3" width="20.7265625" style="156" customWidth="1"/>
    <col min="4" max="4" width="20.7265625" style="152" customWidth="1"/>
    <col min="5" max="10" width="8.1796875" style="152" customWidth="1"/>
    <col min="11" max="11" width="8.1796875" style="149" customWidth="1"/>
    <col min="12" max="18" width="5.7265625" style="149" customWidth="1"/>
    <col min="19" max="19" width="25.26953125" style="149" customWidth="1"/>
    <col min="20" max="22" width="8.81640625" style="149"/>
    <col min="23" max="16384" width="8.81640625" style="152"/>
  </cols>
  <sheetData>
    <row r="1" spans="1:27" s="155" customFormat="1" ht="36.65" customHeight="1" thickBot="1">
      <c r="A1" s="180" t="s">
        <v>7</v>
      </c>
      <c r="B1" s="181" t="s">
        <v>13</v>
      </c>
      <c r="C1" s="181" t="s">
        <v>11</v>
      </c>
      <c r="D1" s="165"/>
      <c r="E1" s="306" t="s">
        <v>111</v>
      </c>
      <c r="F1" s="305"/>
      <c r="G1" s="305"/>
      <c r="H1" s="305"/>
      <c r="I1" s="305"/>
      <c r="J1" s="305"/>
      <c r="K1" s="305"/>
      <c r="L1" s="154"/>
      <c r="M1" s="154"/>
      <c r="N1" s="303" t="s">
        <v>135</v>
      </c>
      <c r="O1" s="304"/>
      <c r="P1" s="304"/>
      <c r="Q1" s="304"/>
      <c r="R1" s="154"/>
      <c r="S1" s="315"/>
      <c r="T1" s="304"/>
      <c r="U1" s="311"/>
      <c r="V1" s="304"/>
      <c r="W1" s="312"/>
    </row>
    <row r="2" spans="1:27" ht="14.5" customHeight="1" thickTop="1">
      <c r="A2" s="166">
        <v>1</v>
      </c>
      <c r="B2" s="167">
        <v>12.71</v>
      </c>
      <c r="C2" s="167">
        <v>13.97</v>
      </c>
      <c r="D2" s="168"/>
      <c r="E2" s="174"/>
      <c r="F2" s="174"/>
      <c r="G2" s="182">
        <v>1</v>
      </c>
      <c r="H2" s="182">
        <v>2</v>
      </c>
      <c r="I2" s="182">
        <v>3</v>
      </c>
      <c r="J2" s="182">
        <v>4</v>
      </c>
      <c r="K2" s="182">
        <v>5</v>
      </c>
      <c r="S2" s="316"/>
      <c r="V2" s="301"/>
      <c r="W2" s="302"/>
      <c r="X2" s="302"/>
      <c r="Y2" s="302"/>
      <c r="Z2" s="302"/>
      <c r="AA2" s="302"/>
    </row>
    <row r="3" spans="1:27" ht="14.5" customHeight="1">
      <c r="A3" s="169">
        <v>2</v>
      </c>
      <c r="B3" s="170">
        <v>4.3</v>
      </c>
      <c r="C3" s="170">
        <v>4.53</v>
      </c>
      <c r="D3" s="168"/>
      <c r="E3" s="174"/>
      <c r="F3" s="174"/>
      <c r="G3" s="174" t="s">
        <v>74</v>
      </c>
      <c r="H3" s="174" t="s">
        <v>76</v>
      </c>
      <c r="I3" s="178" t="s">
        <v>77</v>
      </c>
      <c r="J3" s="179" t="s">
        <v>73</v>
      </c>
      <c r="K3" s="174" t="s">
        <v>62</v>
      </c>
      <c r="N3" s="1" t="s">
        <v>123</v>
      </c>
      <c r="R3" s="147"/>
      <c r="S3" s="317"/>
      <c r="V3" s="147"/>
    </row>
    <row r="4" spans="1:27" ht="14.5" customHeight="1">
      <c r="A4" s="169">
        <v>3</v>
      </c>
      <c r="B4" s="170">
        <v>3.18</v>
      </c>
      <c r="C4" s="170">
        <v>3.31</v>
      </c>
      <c r="D4" s="168"/>
      <c r="E4" s="182">
        <v>1</v>
      </c>
      <c r="F4" s="174" t="s">
        <v>74</v>
      </c>
      <c r="G4" s="175" t="s">
        <v>74</v>
      </c>
      <c r="H4" s="175" t="s">
        <v>76</v>
      </c>
      <c r="I4" s="177" t="s">
        <v>77</v>
      </c>
      <c r="J4" s="176" t="s">
        <v>73</v>
      </c>
      <c r="K4" s="175" t="s">
        <v>74</v>
      </c>
      <c r="N4" s="1" t="s">
        <v>124</v>
      </c>
      <c r="R4" s="147"/>
      <c r="S4" s="317"/>
      <c r="V4" s="147"/>
    </row>
    <row r="5" spans="1:27" ht="14.5" customHeight="1">
      <c r="A5" s="169">
        <v>4</v>
      </c>
      <c r="B5" s="170">
        <v>2.78</v>
      </c>
      <c r="C5" s="170">
        <v>2.87</v>
      </c>
      <c r="D5" s="168"/>
      <c r="E5" s="182">
        <v>2</v>
      </c>
      <c r="F5" s="174" t="s">
        <v>76</v>
      </c>
      <c r="G5" s="175" t="s">
        <v>76</v>
      </c>
      <c r="H5" s="175" t="s">
        <v>76</v>
      </c>
      <c r="I5" s="177" t="s">
        <v>77</v>
      </c>
      <c r="J5" s="176" t="s">
        <v>73</v>
      </c>
      <c r="K5" s="175" t="s">
        <v>76</v>
      </c>
      <c r="N5" s="235" t="s">
        <v>126</v>
      </c>
      <c r="R5" s="147"/>
      <c r="S5" s="317"/>
      <c r="V5" s="147"/>
    </row>
    <row r="6" spans="1:27" ht="14.5" customHeight="1">
      <c r="A6" s="169">
        <v>5</v>
      </c>
      <c r="B6" s="170">
        <v>2.57</v>
      </c>
      <c r="C6" s="170">
        <v>2.65</v>
      </c>
      <c r="D6" s="168"/>
      <c r="E6" s="182">
        <v>3</v>
      </c>
      <c r="F6" s="178" t="s">
        <v>77</v>
      </c>
      <c r="G6" s="177" t="s">
        <v>77</v>
      </c>
      <c r="H6" s="177" t="s">
        <v>77</v>
      </c>
      <c r="I6" s="177" t="s">
        <v>77</v>
      </c>
      <c r="J6" s="176" t="s">
        <v>73</v>
      </c>
      <c r="K6" s="177" t="s">
        <v>77</v>
      </c>
      <c r="N6" s="1" t="s">
        <v>125</v>
      </c>
      <c r="R6" s="147"/>
      <c r="S6" s="317"/>
      <c r="V6" s="147"/>
    </row>
    <row r="7" spans="1:27" ht="14.5" customHeight="1">
      <c r="A7" s="169">
        <v>6</v>
      </c>
      <c r="B7" s="170">
        <v>2.4500000000000002</v>
      </c>
      <c r="C7" s="170">
        <v>2.52</v>
      </c>
      <c r="D7" s="168"/>
      <c r="E7" s="182">
        <v>4</v>
      </c>
      <c r="F7" s="179" t="s">
        <v>73</v>
      </c>
      <c r="G7" s="176" t="s">
        <v>73</v>
      </c>
      <c r="H7" s="176" t="s">
        <v>73</v>
      </c>
      <c r="I7" s="176" t="s">
        <v>73</v>
      </c>
      <c r="J7" s="176" t="s">
        <v>73</v>
      </c>
      <c r="K7" s="176" t="s">
        <v>73</v>
      </c>
      <c r="N7" s="1" t="s">
        <v>133</v>
      </c>
      <c r="R7" s="147"/>
      <c r="S7" s="317"/>
      <c r="V7" s="147"/>
    </row>
    <row r="8" spans="1:27" ht="14.5" customHeight="1">
      <c r="A8" s="169">
        <v>7</v>
      </c>
      <c r="B8" s="170">
        <v>2.36</v>
      </c>
      <c r="C8" s="170">
        <v>2.4300000000000002</v>
      </c>
      <c r="D8" s="168"/>
      <c r="E8" s="182">
        <v>5</v>
      </c>
      <c r="F8" s="174" t="s">
        <v>62</v>
      </c>
      <c r="G8" s="175" t="s">
        <v>74</v>
      </c>
      <c r="H8" s="175" t="s">
        <v>76</v>
      </c>
      <c r="I8" s="177" t="s">
        <v>77</v>
      </c>
      <c r="J8" s="176" t="s">
        <v>73</v>
      </c>
      <c r="K8" s="175" t="s">
        <v>62</v>
      </c>
      <c r="N8" s="1" t="s">
        <v>134</v>
      </c>
      <c r="R8" s="147"/>
      <c r="S8" s="317"/>
      <c r="V8" s="147"/>
    </row>
    <row r="9" spans="1:27" ht="14.5" customHeight="1">
      <c r="A9" s="169">
        <v>8</v>
      </c>
      <c r="B9" s="170">
        <v>2.31</v>
      </c>
      <c r="C9" s="170">
        <v>2.37</v>
      </c>
      <c r="D9" s="168"/>
      <c r="N9" s="1"/>
      <c r="R9" s="147"/>
      <c r="S9" s="317"/>
      <c r="V9" s="147"/>
    </row>
    <row r="10" spans="1:27" ht="14.5" customHeight="1">
      <c r="A10" s="169">
        <v>9</v>
      </c>
      <c r="B10" s="170">
        <v>2.2599999999999998</v>
      </c>
      <c r="C10" s="170">
        <v>2.3199999999999998</v>
      </c>
      <c r="D10" s="168"/>
      <c r="N10" s="1"/>
      <c r="R10" s="147"/>
      <c r="S10" s="147"/>
      <c r="V10" s="147"/>
    </row>
    <row r="11" spans="1:27" ht="14.5" customHeight="1">
      <c r="A11" s="169">
        <v>10</v>
      </c>
      <c r="B11" s="170">
        <v>2.23</v>
      </c>
      <c r="C11" s="170">
        <v>2.2799999999999998</v>
      </c>
      <c r="D11" s="168"/>
    </row>
    <row r="12" spans="1:27" ht="14.5" customHeight="1">
      <c r="A12" s="169">
        <v>11</v>
      </c>
      <c r="B12" s="170">
        <v>2.2000000000000002</v>
      </c>
      <c r="C12" s="170">
        <v>2.25</v>
      </c>
      <c r="D12" s="168"/>
    </row>
    <row r="13" spans="1:27" ht="14.5" customHeight="1">
      <c r="A13" s="169">
        <v>12</v>
      </c>
      <c r="B13" s="170">
        <v>2.1800000000000002</v>
      </c>
      <c r="C13" s="170">
        <v>2.23</v>
      </c>
      <c r="D13" s="168"/>
    </row>
    <row r="14" spans="1:27" ht="14.5" customHeight="1">
      <c r="A14" s="169">
        <v>13</v>
      </c>
      <c r="B14" s="170">
        <v>2.16</v>
      </c>
      <c r="C14" s="170">
        <v>2.21</v>
      </c>
      <c r="D14" s="168"/>
    </row>
    <row r="15" spans="1:27" ht="14.5" customHeight="1">
      <c r="A15" s="169">
        <v>14</v>
      </c>
      <c r="B15" s="170">
        <v>2.14</v>
      </c>
      <c r="C15" s="170">
        <v>2.2000000000000002</v>
      </c>
      <c r="D15" s="168"/>
    </row>
    <row r="16" spans="1:27" ht="14.5" customHeight="1">
      <c r="A16" s="169">
        <v>15</v>
      </c>
      <c r="B16" s="170">
        <v>2.13</v>
      </c>
      <c r="C16" s="170">
        <v>2.1800000000000002</v>
      </c>
      <c r="D16" s="168"/>
    </row>
    <row r="17" spans="1:5" ht="14.5" customHeight="1">
      <c r="A17" s="169">
        <v>16</v>
      </c>
      <c r="B17" s="170">
        <v>2.12</v>
      </c>
      <c r="C17" s="170">
        <v>2.17</v>
      </c>
      <c r="D17" s="168"/>
    </row>
    <row r="18" spans="1:5" ht="14.5" customHeight="1">
      <c r="A18" s="169">
        <v>17</v>
      </c>
      <c r="B18" s="170">
        <v>2.11</v>
      </c>
      <c r="C18" s="170">
        <v>2.16</v>
      </c>
      <c r="D18" s="168"/>
    </row>
    <row r="19" spans="1:5" ht="14.5" customHeight="1">
      <c r="A19" s="169">
        <v>18</v>
      </c>
      <c r="B19" s="170">
        <v>2.1</v>
      </c>
      <c r="C19" s="170">
        <v>2.15</v>
      </c>
      <c r="D19" s="168"/>
    </row>
    <row r="20" spans="1:5" ht="14.5" customHeight="1">
      <c r="A20" s="169">
        <v>19</v>
      </c>
      <c r="B20" s="170">
        <v>2.09</v>
      </c>
      <c r="C20" s="170">
        <v>2.14</v>
      </c>
      <c r="D20" s="168"/>
    </row>
    <row r="21" spans="1:5" ht="14.5" customHeight="1">
      <c r="A21" s="169">
        <v>20</v>
      </c>
      <c r="B21" s="170">
        <v>2.09</v>
      </c>
      <c r="C21" s="170">
        <v>2.13</v>
      </c>
      <c r="D21" s="168"/>
    </row>
    <row r="22" spans="1:5" ht="14.5" customHeight="1">
      <c r="A22" s="169">
        <v>25</v>
      </c>
      <c r="B22" s="170">
        <v>2.06</v>
      </c>
      <c r="C22" s="170">
        <v>2.11</v>
      </c>
      <c r="D22" s="168"/>
    </row>
    <row r="23" spans="1:5" ht="14.5" customHeight="1">
      <c r="A23" s="169">
        <v>30</v>
      </c>
      <c r="B23" s="170">
        <v>2.04</v>
      </c>
      <c r="C23" s="170">
        <v>2.09</v>
      </c>
      <c r="D23" s="168"/>
    </row>
    <row r="24" spans="1:5" ht="14.5" customHeight="1">
      <c r="A24" s="169">
        <v>35</v>
      </c>
      <c r="B24" s="170">
        <v>2.0299999999999998</v>
      </c>
      <c r="C24" s="170">
        <v>2.0699999999999998</v>
      </c>
      <c r="D24" s="168"/>
    </row>
    <row r="25" spans="1:5" ht="14.5" customHeight="1">
      <c r="A25" s="169">
        <v>40</v>
      </c>
      <c r="B25" s="170">
        <v>2.02</v>
      </c>
      <c r="C25" s="170">
        <v>2.06</v>
      </c>
      <c r="D25" s="168"/>
    </row>
    <row r="26" spans="1:5" ht="14.5" customHeight="1">
      <c r="A26" s="169">
        <v>45</v>
      </c>
      <c r="B26" s="170">
        <v>2.0099999999999998</v>
      </c>
      <c r="C26" s="170">
        <v>2.06</v>
      </c>
      <c r="D26" s="168"/>
    </row>
    <row r="27" spans="1:5" ht="14.5" customHeight="1">
      <c r="A27" s="169">
        <v>50</v>
      </c>
      <c r="B27" s="170">
        <v>2.0099999999999998</v>
      </c>
      <c r="C27" s="170">
        <v>2.0499999999999998</v>
      </c>
      <c r="D27" s="168"/>
    </row>
    <row r="28" spans="1:5" ht="14.5" customHeight="1">
      <c r="A28" s="169">
        <v>100</v>
      </c>
      <c r="B28" s="171">
        <v>1.984</v>
      </c>
      <c r="C28" s="171">
        <v>2.0249999999999999</v>
      </c>
      <c r="D28" s="168"/>
    </row>
    <row r="29" spans="1:5" ht="19" thickBot="1">
      <c r="A29" s="172">
        <v>200</v>
      </c>
      <c r="B29" s="173">
        <v>1.96</v>
      </c>
      <c r="C29" s="173">
        <v>2</v>
      </c>
      <c r="D29" s="190" t="s">
        <v>114</v>
      </c>
      <c r="E29" s="153" t="s">
        <v>15</v>
      </c>
    </row>
    <row r="47" spans="1:39" s="1" customFormat="1" ht="14.5" customHeight="1">
      <c r="A47" s="643"/>
      <c r="B47" s="643"/>
      <c r="C47" s="643"/>
      <c r="D47" s="643"/>
      <c r="E47" s="643"/>
      <c r="F47" s="643"/>
      <c r="G47" s="643"/>
      <c r="L47" s="58"/>
      <c r="M47" s="58"/>
      <c r="AH47" s="152"/>
      <c r="AI47" s="152"/>
      <c r="AJ47" s="152"/>
      <c r="AK47" s="152"/>
      <c r="AL47" s="152"/>
      <c r="AM47" s="152"/>
    </row>
  </sheetData>
  <mergeCells count="1">
    <mergeCell ref="A47:G4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>
    <tabColor theme="1"/>
  </sheetPr>
  <dimension ref="A3:BA20"/>
  <sheetViews>
    <sheetView showGridLines="0" zoomScaleNormal="100" workbookViewId="0">
      <selection activeCell="B3" sqref="B3:C3"/>
    </sheetView>
  </sheetViews>
  <sheetFormatPr defaultColWidth="9.1796875" defaultRowHeight="14.5"/>
  <cols>
    <col min="1" max="9" width="20.7265625" style="47" customWidth="1"/>
    <col min="10" max="10" width="14.26953125" style="47" customWidth="1"/>
    <col min="11" max="11" width="9.1796875" style="47"/>
    <col min="12" max="12" width="18" style="47" hidden="1" customWidth="1"/>
    <col min="13" max="13" width="21.26953125" style="47" hidden="1" customWidth="1"/>
    <col min="14" max="14" width="4" style="47" hidden="1" customWidth="1"/>
    <col min="15" max="18" width="21.26953125" style="47" hidden="1" customWidth="1"/>
    <col min="19" max="19" width="18.453125" style="47" customWidth="1"/>
    <col min="20" max="16384" width="9.1796875" style="47"/>
  </cols>
  <sheetData>
    <row r="3" spans="1:53" s="1" customFormat="1" ht="22.15" customHeight="1">
      <c r="A3" s="236" t="s">
        <v>54</v>
      </c>
      <c r="B3" s="696" t="str">
        <f>IF('TECH DATA ENTRY'!B20="","",'TECH DATA ENTRY'!B20)</f>
        <v/>
      </c>
      <c r="C3" s="696"/>
      <c r="D3" s="236"/>
      <c r="E3" s="236" t="s">
        <v>0</v>
      </c>
      <c r="F3" s="696" t="str">
        <f>IF('TECH DATA ENTRY'!B22="","",'TECH DATA ENTRY'!B22)</f>
        <v/>
      </c>
      <c r="G3" s="696"/>
      <c r="J3" s="58"/>
      <c r="K3" s="58"/>
      <c r="L3" s="58"/>
      <c r="M3" s="58"/>
      <c r="P3" s="72"/>
      <c r="S3" s="72"/>
      <c r="AH3" s="152"/>
      <c r="AI3" s="152"/>
      <c r="AJ3" s="152"/>
      <c r="AK3" s="152"/>
      <c r="AL3" s="152"/>
      <c r="AM3" s="152"/>
      <c r="AP3" s="267"/>
      <c r="AQ3" s="267"/>
      <c r="AR3" s="267"/>
      <c r="AS3" s="267"/>
      <c r="AT3" s="267"/>
      <c r="AU3" s="267"/>
      <c r="AV3" s="267"/>
      <c r="AW3" s="267"/>
      <c r="AX3" s="267"/>
      <c r="AY3" s="267"/>
      <c r="AZ3" s="267"/>
      <c r="BA3" s="266"/>
    </row>
    <row r="4" spans="1:53" s="1" customFormat="1" ht="10.15" customHeight="1">
      <c r="A4" s="236"/>
      <c r="B4" s="237"/>
      <c r="C4" s="238"/>
      <c r="D4" s="236"/>
      <c r="E4" s="236"/>
      <c r="J4" s="58"/>
      <c r="K4" s="58"/>
      <c r="L4" s="58"/>
      <c r="M4" s="58"/>
      <c r="AH4" s="152"/>
      <c r="AI4" s="152"/>
      <c r="AJ4" s="152"/>
      <c r="AK4" s="152"/>
      <c r="AL4" s="152"/>
      <c r="AM4" s="152"/>
      <c r="AP4" s="267"/>
      <c r="AQ4" s="267"/>
      <c r="AR4" s="267"/>
      <c r="AS4" s="267"/>
      <c r="AT4" s="267"/>
      <c r="AU4" s="267"/>
      <c r="AV4" s="267"/>
      <c r="AW4" s="267"/>
      <c r="AX4" s="267"/>
      <c r="AY4" s="267"/>
      <c r="AZ4" s="267"/>
      <c r="BA4" s="266"/>
    </row>
    <row r="5" spans="1:53" s="1" customFormat="1" ht="22.15" customHeight="1">
      <c r="A5" s="236" t="s">
        <v>54</v>
      </c>
      <c r="B5" s="696" t="str">
        <f>IF('TECH DATA ENTRY'!B22="","",'TECH DATA ENTRY'!B22)</f>
        <v/>
      </c>
      <c r="C5" s="696"/>
      <c r="D5" s="236"/>
      <c r="E5" s="236" t="s">
        <v>0</v>
      </c>
      <c r="F5" s="696" t="str">
        <f>IF('TECH DATA ENTRY'!B24="","",'TECH DATA ENTRY'!B24)</f>
        <v/>
      </c>
      <c r="G5" s="696"/>
      <c r="J5" s="58"/>
      <c r="K5" s="58"/>
      <c r="L5" s="58"/>
      <c r="M5" s="58"/>
      <c r="P5" s="72"/>
      <c r="S5" s="72"/>
      <c r="AH5" s="152"/>
      <c r="AI5" s="152"/>
      <c r="AJ5" s="152"/>
      <c r="AK5" s="152"/>
      <c r="AL5" s="152"/>
      <c r="AM5" s="152"/>
      <c r="AP5" s="267"/>
      <c r="AQ5" s="267"/>
      <c r="AR5" s="267"/>
      <c r="AS5" s="267"/>
      <c r="AT5" s="267"/>
      <c r="AU5" s="267"/>
      <c r="AV5" s="267"/>
      <c r="AW5" s="267"/>
      <c r="AX5" s="267"/>
      <c r="AY5" s="267"/>
      <c r="AZ5" s="267"/>
      <c r="BA5" s="266"/>
    </row>
    <row r="6" spans="1:53" s="1" customFormat="1" ht="10.15" customHeight="1">
      <c r="A6" s="236"/>
      <c r="B6" s="237"/>
      <c r="C6" s="238"/>
      <c r="D6" s="236"/>
      <c r="E6" s="236"/>
      <c r="J6" s="58"/>
      <c r="K6" s="58"/>
      <c r="L6" s="58"/>
      <c r="M6" s="58"/>
      <c r="AH6" s="152"/>
      <c r="AI6" s="152"/>
      <c r="AJ6" s="152"/>
      <c r="AK6" s="152"/>
      <c r="AL6" s="152"/>
      <c r="AM6" s="152"/>
      <c r="AP6" s="267"/>
      <c r="AQ6" s="267"/>
      <c r="AR6" s="267"/>
      <c r="AS6" s="267"/>
      <c r="AT6" s="267"/>
      <c r="AU6" s="267"/>
      <c r="AV6" s="267"/>
      <c r="AW6" s="267"/>
      <c r="AX6" s="267"/>
      <c r="AY6" s="267"/>
      <c r="AZ6" s="267"/>
      <c r="BA6" s="266"/>
    </row>
    <row r="7" spans="1:53" s="1" customFormat="1" ht="22.15" customHeight="1">
      <c r="A7" s="236" t="s">
        <v>55</v>
      </c>
      <c r="B7" s="696" t="str">
        <f>IF('TECH DATA ENTRY'!B26="","",'TECH DATA ENTRY'!B26)</f>
        <v/>
      </c>
      <c r="C7" s="696"/>
      <c r="D7" s="236"/>
      <c r="E7" s="236" t="s">
        <v>1</v>
      </c>
      <c r="F7" s="697" t="str">
        <f>IF('TECH DATA ENTRY'!G10="","",'TECH DATA ENTRY'!G10)</f>
        <v/>
      </c>
      <c r="G7" s="697"/>
      <c r="J7" s="251"/>
      <c r="K7" s="251"/>
      <c r="L7" s="251"/>
      <c r="M7" s="251"/>
      <c r="P7" s="276"/>
      <c r="Q7" s="276"/>
      <c r="S7" s="277"/>
      <c r="T7" s="277"/>
      <c r="U7" s="277"/>
      <c r="AH7" s="152"/>
      <c r="AI7" s="152"/>
      <c r="AJ7" s="152"/>
      <c r="AK7" s="152"/>
      <c r="AL7" s="152"/>
      <c r="AM7" s="152"/>
      <c r="AP7" s="267"/>
      <c r="AQ7" s="267"/>
      <c r="AR7" s="267"/>
      <c r="AS7" s="267"/>
      <c r="AT7" s="267"/>
      <c r="AU7" s="267"/>
      <c r="AV7" s="267"/>
      <c r="AW7" s="267"/>
      <c r="AX7" s="267"/>
      <c r="AY7" s="267"/>
      <c r="AZ7" s="267"/>
      <c r="BA7" s="266"/>
    </row>
    <row r="9" spans="1:53" ht="34.4" customHeight="1"/>
    <row r="10" spans="1:53" ht="33" customHeight="1"/>
    <row r="11" spans="1:53" ht="33" customHeight="1"/>
    <row r="12" spans="1:53" ht="33" customHeight="1"/>
    <row r="13" spans="1:53" ht="33" customHeight="1"/>
    <row r="14" spans="1:53" ht="33" customHeight="1"/>
    <row r="15" spans="1:53" ht="33" customHeight="1">
      <c r="P15" s="47" t="s">
        <v>123</v>
      </c>
    </row>
    <row r="16" spans="1:53" ht="33" customHeight="1"/>
    <row r="17" ht="33" customHeight="1"/>
    <row r="18" ht="33" customHeight="1"/>
    <row r="19" ht="33" customHeight="1"/>
    <row r="20" ht="33" customHeight="1"/>
  </sheetData>
  <mergeCells count="6">
    <mergeCell ref="B3:C3"/>
    <mergeCell ref="F3:G3"/>
    <mergeCell ref="B5:C5"/>
    <mergeCell ref="F5:G5"/>
    <mergeCell ref="B7:C7"/>
    <mergeCell ref="F7:G7"/>
  </mergeCells>
  <conditionalFormatting sqref="B5:C5 F5:G5 F7:G7 B7:C7">
    <cfRule type="containsBlanks" dxfId="1" priority="3">
      <formula>LEN(TRIM(B5))=0</formula>
    </cfRule>
  </conditionalFormatting>
  <conditionalFormatting sqref="B3:C3 F3:G3">
    <cfRule type="containsBlanks" dxfId="0" priority="1">
      <formula>LEN(TRIM(B3))=0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92D050"/>
  </sheetPr>
  <dimension ref="A1:S52"/>
  <sheetViews>
    <sheetView topLeftCell="A6" workbookViewId="0">
      <selection activeCell="C15" sqref="C15:G15"/>
    </sheetView>
  </sheetViews>
  <sheetFormatPr defaultRowHeight="13"/>
  <cols>
    <col min="1" max="1" width="10.26953125" style="35" customWidth="1"/>
    <col min="2" max="2" width="12.54296875" style="35" customWidth="1"/>
    <col min="3" max="9" width="10.26953125" style="35" customWidth="1"/>
    <col min="10" max="12" width="10.1796875" style="35" customWidth="1"/>
    <col min="13" max="257" width="9.1796875" style="35"/>
    <col min="258" max="258" width="15.453125" style="35" customWidth="1"/>
    <col min="259" max="259" width="47.1796875" style="35" customWidth="1"/>
    <col min="260" max="260" width="27.453125" style="35" customWidth="1"/>
    <col min="261" max="261" width="26.81640625" style="35" customWidth="1"/>
    <col min="262" max="513" width="9.1796875" style="35"/>
    <col min="514" max="514" width="15.453125" style="35" customWidth="1"/>
    <col min="515" max="515" width="47.1796875" style="35" customWidth="1"/>
    <col min="516" max="516" width="27.453125" style="35" customWidth="1"/>
    <col min="517" max="517" width="26.81640625" style="35" customWidth="1"/>
    <col min="518" max="769" width="9.1796875" style="35"/>
    <col min="770" max="770" width="15.453125" style="35" customWidth="1"/>
    <col min="771" max="771" width="47.1796875" style="35" customWidth="1"/>
    <col min="772" max="772" width="27.453125" style="35" customWidth="1"/>
    <col min="773" max="773" width="26.81640625" style="35" customWidth="1"/>
    <col min="774" max="1025" width="9.1796875" style="35"/>
    <col min="1026" max="1026" width="15.453125" style="35" customWidth="1"/>
    <col min="1027" max="1027" width="47.1796875" style="35" customWidth="1"/>
    <col min="1028" max="1028" width="27.453125" style="35" customWidth="1"/>
    <col min="1029" max="1029" width="26.81640625" style="35" customWidth="1"/>
    <col min="1030" max="1281" width="9.1796875" style="35"/>
    <col min="1282" max="1282" width="15.453125" style="35" customWidth="1"/>
    <col min="1283" max="1283" width="47.1796875" style="35" customWidth="1"/>
    <col min="1284" max="1284" width="27.453125" style="35" customWidth="1"/>
    <col min="1285" max="1285" width="26.81640625" style="35" customWidth="1"/>
    <col min="1286" max="1537" width="9.1796875" style="35"/>
    <col min="1538" max="1538" width="15.453125" style="35" customWidth="1"/>
    <col min="1539" max="1539" width="47.1796875" style="35" customWidth="1"/>
    <col min="1540" max="1540" width="27.453125" style="35" customWidth="1"/>
    <col min="1541" max="1541" width="26.81640625" style="35" customWidth="1"/>
    <col min="1542" max="1793" width="9.1796875" style="35"/>
    <col min="1794" max="1794" width="15.453125" style="35" customWidth="1"/>
    <col min="1795" max="1795" width="47.1796875" style="35" customWidth="1"/>
    <col min="1796" max="1796" width="27.453125" style="35" customWidth="1"/>
    <col min="1797" max="1797" width="26.81640625" style="35" customWidth="1"/>
    <col min="1798" max="2049" width="9.1796875" style="35"/>
    <col min="2050" max="2050" width="15.453125" style="35" customWidth="1"/>
    <col min="2051" max="2051" width="47.1796875" style="35" customWidth="1"/>
    <col min="2052" max="2052" width="27.453125" style="35" customWidth="1"/>
    <col min="2053" max="2053" width="26.81640625" style="35" customWidth="1"/>
    <col min="2054" max="2305" width="9.1796875" style="35"/>
    <col min="2306" max="2306" width="15.453125" style="35" customWidth="1"/>
    <col min="2307" max="2307" width="47.1796875" style="35" customWidth="1"/>
    <col min="2308" max="2308" width="27.453125" style="35" customWidth="1"/>
    <col min="2309" max="2309" width="26.81640625" style="35" customWidth="1"/>
    <col min="2310" max="2561" width="9.1796875" style="35"/>
    <col min="2562" max="2562" width="15.453125" style="35" customWidth="1"/>
    <col min="2563" max="2563" width="47.1796875" style="35" customWidth="1"/>
    <col min="2564" max="2564" width="27.453125" style="35" customWidth="1"/>
    <col min="2565" max="2565" width="26.81640625" style="35" customWidth="1"/>
    <col min="2566" max="2817" width="9.1796875" style="35"/>
    <col min="2818" max="2818" width="15.453125" style="35" customWidth="1"/>
    <col min="2819" max="2819" width="47.1796875" style="35" customWidth="1"/>
    <col min="2820" max="2820" width="27.453125" style="35" customWidth="1"/>
    <col min="2821" max="2821" width="26.81640625" style="35" customWidth="1"/>
    <col min="2822" max="3073" width="9.1796875" style="35"/>
    <col min="3074" max="3074" width="15.453125" style="35" customWidth="1"/>
    <col min="3075" max="3075" width="47.1796875" style="35" customWidth="1"/>
    <col min="3076" max="3076" width="27.453125" style="35" customWidth="1"/>
    <col min="3077" max="3077" width="26.81640625" style="35" customWidth="1"/>
    <col min="3078" max="3329" width="9.1796875" style="35"/>
    <col min="3330" max="3330" width="15.453125" style="35" customWidth="1"/>
    <col min="3331" max="3331" width="47.1796875" style="35" customWidth="1"/>
    <col min="3332" max="3332" width="27.453125" style="35" customWidth="1"/>
    <col min="3333" max="3333" width="26.81640625" style="35" customWidth="1"/>
    <col min="3334" max="3585" width="9.1796875" style="35"/>
    <col min="3586" max="3586" width="15.453125" style="35" customWidth="1"/>
    <col min="3587" max="3587" width="47.1796875" style="35" customWidth="1"/>
    <col min="3588" max="3588" width="27.453125" style="35" customWidth="1"/>
    <col min="3589" max="3589" width="26.81640625" style="35" customWidth="1"/>
    <col min="3590" max="3841" width="9.1796875" style="35"/>
    <col min="3842" max="3842" width="15.453125" style="35" customWidth="1"/>
    <col min="3843" max="3843" width="47.1796875" style="35" customWidth="1"/>
    <col min="3844" max="3844" width="27.453125" style="35" customWidth="1"/>
    <col min="3845" max="3845" width="26.81640625" style="35" customWidth="1"/>
    <col min="3846" max="4097" width="9.1796875" style="35"/>
    <col min="4098" max="4098" width="15.453125" style="35" customWidth="1"/>
    <col min="4099" max="4099" width="47.1796875" style="35" customWidth="1"/>
    <col min="4100" max="4100" width="27.453125" style="35" customWidth="1"/>
    <col min="4101" max="4101" width="26.81640625" style="35" customWidth="1"/>
    <col min="4102" max="4353" width="9.1796875" style="35"/>
    <col min="4354" max="4354" width="15.453125" style="35" customWidth="1"/>
    <col min="4355" max="4355" width="47.1796875" style="35" customWidth="1"/>
    <col min="4356" max="4356" width="27.453125" style="35" customWidth="1"/>
    <col min="4357" max="4357" width="26.81640625" style="35" customWidth="1"/>
    <col min="4358" max="4609" width="9.1796875" style="35"/>
    <col min="4610" max="4610" width="15.453125" style="35" customWidth="1"/>
    <col min="4611" max="4611" width="47.1796875" style="35" customWidth="1"/>
    <col min="4612" max="4612" width="27.453125" style="35" customWidth="1"/>
    <col min="4613" max="4613" width="26.81640625" style="35" customWidth="1"/>
    <col min="4614" max="4865" width="9.1796875" style="35"/>
    <col min="4866" max="4866" width="15.453125" style="35" customWidth="1"/>
    <col min="4867" max="4867" width="47.1796875" style="35" customWidth="1"/>
    <col min="4868" max="4868" width="27.453125" style="35" customWidth="1"/>
    <col min="4869" max="4869" width="26.81640625" style="35" customWidth="1"/>
    <col min="4870" max="5121" width="9.1796875" style="35"/>
    <col min="5122" max="5122" width="15.453125" style="35" customWidth="1"/>
    <col min="5123" max="5123" width="47.1796875" style="35" customWidth="1"/>
    <col min="5124" max="5124" width="27.453125" style="35" customWidth="1"/>
    <col min="5125" max="5125" width="26.81640625" style="35" customWidth="1"/>
    <col min="5126" max="5377" width="9.1796875" style="35"/>
    <col min="5378" max="5378" width="15.453125" style="35" customWidth="1"/>
    <col min="5379" max="5379" width="47.1796875" style="35" customWidth="1"/>
    <col min="5380" max="5380" width="27.453125" style="35" customWidth="1"/>
    <col min="5381" max="5381" width="26.81640625" style="35" customWidth="1"/>
    <col min="5382" max="5633" width="9.1796875" style="35"/>
    <col min="5634" max="5634" width="15.453125" style="35" customWidth="1"/>
    <col min="5635" max="5635" width="47.1796875" style="35" customWidth="1"/>
    <col min="5636" max="5636" width="27.453125" style="35" customWidth="1"/>
    <col min="5637" max="5637" width="26.81640625" style="35" customWidth="1"/>
    <col min="5638" max="5889" width="9.1796875" style="35"/>
    <col min="5890" max="5890" width="15.453125" style="35" customWidth="1"/>
    <col min="5891" max="5891" width="47.1796875" style="35" customWidth="1"/>
    <col min="5892" max="5892" width="27.453125" style="35" customWidth="1"/>
    <col min="5893" max="5893" width="26.81640625" style="35" customWidth="1"/>
    <col min="5894" max="6145" width="9.1796875" style="35"/>
    <col min="6146" max="6146" width="15.453125" style="35" customWidth="1"/>
    <col min="6147" max="6147" width="47.1796875" style="35" customWidth="1"/>
    <col min="6148" max="6148" width="27.453125" style="35" customWidth="1"/>
    <col min="6149" max="6149" width="26.81640625" style="35" customWidth="1"/>
    <col min="6150" max="6401" width="9.1796875" style="35"/>
    <col min="6402" max="6402" width="15.453125" style="35" customWidth="1"/>
    <col min="6403" max="6403" width="47.1796875" style="35" customWidth="1"/>
    <col min="6404" max="6404" width="27.453125" style="35" customWidth="1"/>
    <col min="6405" max="6405" width="26.81640625" style="35" customWidth="1"/>
    <col min="6406" max="6657" width="9.1796875" style="35"/>
    <col min="6658" max="6658" width="15.453125" style="35" customWidth="1"/>
    <col min="6659" max="6659" width="47.1796875" style="35" customWidth="1"/>
    <col min="6660" max="6660" width="27.453125" style="35" customWidth="1"/>
    <col min="6661" max="6661" width="26.81640625" style="35" customWidth="1"/>
    <col min="6662" max="6913" width="9.1796875" style="35"/>
    <col min="6914" max="6914" width="15.453125" style="35" customWidth="1"/>
    <col min="6915" max="6915" width="47.1796875" style="35" customWidth="1"/>
    <col min="6916" max="6916" width="27.453125" style="35" customWidth="1"/>
    <col min="6917" max="6917" width="26.81640625" style="35" customWidth="1"/>
    <col min="6918" max="7169" width="9.1796875" style="35"/>
    <col min="7170" max="7170" width="15.453125" style="35" customWidth="1"/>
    <col min="7171" max="7171" width="47.1796875" style="35" customWidth="1"/>
    <col min="7172" max="7172" width="27.453125" style="35" customWidth="1"/>
    <col min="7173" max="7173" width="26.81640625" style="35" customWidth="1"/>
    <col min="7174" max="7425" width="9.1796875" style="35"/>
    <col min="7426" max="7426" width="15.453125" style="35" customWidth="1"/>
    <col min="7427" max="7427" width="47.1796875" style="35" customWidth="1"/>
    <col min="7428" max="7428" width="27.453125" style="35" customWidth="1"/>
    <col min="7429" max="7429" width="26.81640625" style="35" customWidth="1"/>
    <col min="7430" max="7681" width="9.1796875" style="35"/>
    <col min="7682" max="7682" width="15.453125" style="35" customWidth="1"/>
    <col min="7683" max="7683" width="47.1796875" style="35" customWidth="1"/>
    <col min="7684" max="7684" width="27.453125" style="35" customWidth="1"/>
    <col min="7685" max="7685" width="26.81640625" style="35" customWidth="1"/>
    <col min="7686" max="7937" width="9.1796875" style="35"/>
    <col min="7938" max="7938" width="15.453125" style="35" customWidth="1"/>
    <col min="7939" max="7939" width="47.1796875" style="35" customWidth="1"/>
    <col min="7940" max="7940" width="27.453125" style="35" customWidth="1"/>
    <col min="7941" max="7941" width="26.81640625" style="35" customWidth="1"/>
    <col min="7942" max="8193" width="9.1796875" style="35"/>
    <col min="8194" max="8194" width="15.453125" style="35" customWidth="1"/>
    <col min="8195" max="8195" width="47.1796875" style="35" customWidth="1"/>
    <col min="8196" max="8196" width="27.453125" style="35" customWidth="1"/>
    <col min="8197" max="8197" width="26.81640625" style="35" customWidth="1"/>
    <col min="8198" max="8449" width="9.1796875" style="35"/>
    <col min="8450" max="8450" width="15.453125" style="35" customWidth="1"/>
    <col min="8451" max="8451" width="47.1796875" style="35" customWidth="1"/>
    <col min="8452" max="8452" width="27.453125" style="35" customWidth="1"/>
    <col min="8453" max="8453" width="26.81640625" style="35" customWidth="1"/>
    <col min="8454" max="8705" width="9.1796875" style="35"/>
    <col min="8706" max="8706" width="15.453125" style="35" customWidth="1"/>
    <col min="8707" max="8707" width="47.1796875" style="35" customWidth="1"/>
    <col min="8708" max="8708" width="27.453125" style="35" customWidth="1"/>
    <col min="8709" max="8709" width="26.81640625" style="35" customWidth="1"/>
    <col min="8710" max="8961" width="9.1796875" style="35"/>
    <col min="8962" max="8962" width="15.453125" style="35" customWidth="1"/>
    <col min="8963" max="8963" width="47.1796875" style="35" customWidth="1"/>
    <col min="8964" max="8964" width="27.453125" style="35" customWidth="1"/>
    <col min="8965" max="8965" width="26.81640625" style="35" customWidth="1"/>
    <col min="8966" max="9217" width="9.1796875" style="35"/>
    <col min="9218" max="9218" width="15.453125" style="35" customWidth="1"/>
    <col min="9219" max="9219" width="47.1796875" style="35" customWidth="1"/>
    <col min="9220" max="9220" width="27.453125" style="35" customWidth="1"/>
    <col min="9221" max="9221" width="26.81640625" style="35" customWidth="1"/>
    <col min="9222" max="9473" width="9.1796875" style="35"/>
    <col min="9474" max="9474" width="15.453125" style="35" customWidth="1"/>
    <col min="9475" max="9475" width="47.1796875" style="35" customWidth="1"/>
    <col min="9476" max="9476" width="27.453125" style="35" customWidth="1"/>
    <col min="9477" max="9477" width="26.81640625" style="35" customWidth="1"/>
    <col min="9478" max="9729" width="9.1796875" style="35"/>
    <col min="9730" max="9730" width="15.453125" style="35" customWidth="1"/>
    <col min="9731" max="9731" width="47.1796875" style="35" customWidth="1"/>
    <col min="9732" max="9732" width="27.453125" style="35" customWidth="1"/>
    <col min="9733" max="9733" width="26.81640625" style="35" customWidth="1"/>
    <col min="9734" max="9985" width="9.1796875" style="35"/>
    <col min="9986" max="9986" width="15.453125" style="35" customWidth="1"/>
    <col min="9987" max="9987" width="47.1796875" style="35" customWidth="1"/>
    <col min="9988" max="9988" width="27.453125" style="35" customWidth="1"/>
    <col min="9989" max="9989" width="26.81640625" style="35" customWidth="1"/>
    <col min="9990" max="10241" width="9.1796875" style="35"/>
    <col min="10242" max="10242" width="15.453125" style="35" customWidth="1"/>
    <col min="10243" max="10243" width="47.1796875" style="35" customWidth="1"/>
    <col min="10244" max="10244" width="27.453125" style="35" customWidth="1"/>
    <col min="10245" max="10245" width="26.81640625" style="35" customWidth="1"/>
    <col min="10246" max="10497" width="9.1796875" style="35"/>
    <col min="10498" max="10498" width="15.453125" style="35" customWidth="1"/>
    <col min="10499" max="10499" width="47.1796875" style="35" customWidth="1"/>
    <col min="10500" max="10500" width="27.453125" style="35" customWidth="1"/>
    <col min="10501" max="10501" width="26.81640625" style="35" customWidth="1"/>
    <col min="10502" max="10753" width="9.1796875" style="35"/>
    <col min="10754" max="10754" width="15.453125" style="35" customWidth="1"/>
    <col min="10755" max="10755" width="47.1796875" style="35" customWidth="1"/>
    <col min="10756" max="10756" width="27.453125" style="35" customWidth="1"/>
    <col min="10757" max="10757" width="26.81640625" style="35" customWidth="1"/>
    <col min="10758" max="11009" width="9.1796875" style="35"/>
    <col min="11010" max="11010" width="15.453125" style="35" customWidth="1"/>
    <col min="11011" max="11011" width="47.1796875" style="35" customWidth="1"/>
    <col min="11012" max="11012" width="27.453125" style="35" customWidth="1"/>
    <col min="11013" max="11013" width="26.81640625" style="35" customWidth="1"/>
    <col min="11014" max="11265" width="9.1796875" style="35"/>
    <col min="11266" max="11266" width="15.453125" style="35" customWidth="1"/>
    <col min="11267" max="11267" width="47.1796875" style="35" customWidth="1"/>
    <col min="11268" max="11268" width="27.453125" style="35" customWidth="1"/>
    <col min="11269" max="11269" width="26.81640625" style="35" customWidth="1"/>
    <col min="11270" max="11521" width="9.1796875" style="35"/>
    <col min="11522" max="11522" width="15.453125" style="35" customWidth="1"/>
    <col min="11523" max="11523" width="47.1796875" style="35" customWidth="1"/>
    <col min="11524" max="11524" width="27.453125" style="35" customWidth="1"/>
    <col min="11525" max="11525" width="26.81640625" style="35" customWidth="1"/>
    <col min="11526" max="11777" width="9.1796875" style="35"/>
    <col min="11778" max="11778" width="15.453125" style="35" customWidth="1"/>
    <col min="11779" max="11779" width="47.1796875" style="35" customWidth="1"/>
    <col min="11780" max="11780" width="27.453125" style="35" customWidth="1"/>
    <col min="11781" max="11781" width="26.81640625" style="35" customWidth="1"/>
    <col min="11782" max="12033" width="9.1796875" style="35"/>
    <col min="12034" max="12034" width="15.453125" style="35" customWidth="1"/>
    <col min="12035" max="12035" width="47.1796875" style="35" customWidth="1"/>
    <col min="12036" max="12036" width="27.453125" style="35" customWidth="1"/>
    <col min="12037" max="12037" width="26.81640625" style="35" customWidth="1"/>
    <col min="12038" max="12289" width="9.1796875" style="35"/>
    <col min="12290" max="12290" width="15.453125" style="35" customWidth="1"/>
    <col min="12291" max="12291" width="47.1796875" style="35" customWidth="1"/>
    <col min="12292" max="12292" width="27.453125" style="35" customWidth="1"/>
    <col min="12293" max="12293" width="26.81640625" style="35" customWidth="1"/>
    <col min="12294" max="12545" width="9.1796875" style="35"/>
    <col min="12546" max="12546" width="15.453125" style="35" customWidth="1"/>
    <col min="12547" max="12547" width="47.1796875" style="35" customWidth="1"/>
    <col min="12548" max="12548" width="27.453125" style="35" customWidth="1"/>
    <col min="12549" max="12549" width="26.81640625" style="35" customWidth="1"/>
    <col min="12550" max="12801" width="9.1796875" style="35"/>
    <col min="12802" max="12802" width="15.453125" style="35" customWidth="1"/>
    <col min="12803" max="12803" width="47.1796875" style="35" customWidth="1"/>
    <col min="12804" max="12804" width="27.453125" style="35" customWidth="1"/>
    <col min="12805" max="12805" width="26.81640625" style="35" customWidth="1"/>
    <col min="12806" max="13057" width="9.1796875" style="35"/>
    <col min="13058" max="13058" width="15.453125" style="35" customWidth="1"/>
    <col min="13059" max="13059" width="47.1796875" style="35" customWidth="1"/>
    <col min="13060" max="13060" width="27.453125" style="35" customWidth="1"/>
    <col min="13061" max="13061" width="26.81640625" style="35" customWidth="1"/>
    <col min="13062" max="13313" width="9.1796875" style="35"/>
    <col min="13314" max="13314" width="15.453125" style="35" customWidth="1"/>
    <col min="13315" max="13315" width="47.1796875" style="35" customWidth="1"/>
    <col min="13316" max="13316" width="27.453125" style="35" customWidth="1"/>
    <col min="13317" max="13317" width="26.81640625" style="35" customWidth="1"/>
    <col min="13318" max="13569" width="9.1796875" style="35"/>
    <col min="13570" max="13570" width="15.453125" style="35" customWidth="1"/>
    <col min="13571" max="13571" width="47.1796875" style="35" customWidth="1"/>
    <col min="13572" max="13572" width="27.453125" style="35" customWidth="1"/>
    <col min="13573" max="13573" width="26.81640625" style="35" customWidth="1"/>
    <col min="13574" max="13825" width="9.1796875" style="35"/>
    <col min="13826" max="13826" width="15.453125" style="35" customWidth="1"/>
    <col min="13827" max="13827" width="47.1796875" style="35" customWidth="1"/>
    <col min="13828" max="13828" width="27.453125" style="35" customWidth="1"/>
    <col min="13829" max="13829" width="26.81640625" style="35" customWidth="1"/>
    <col min="13830" max="14081" width="9.1796875" style="35"/>
    <col min="14082" max="14082" width="15.453125" style="35" customWidth="1"/>
    <col min="14083" max="14083" width="47.1796875" style="35" customWidth="1"/>
    <col min="14084" max="14084" width="27.453125" style="35" customWidth="1"/>
    <col min="14085" max="14085" width="26.81640625" style="35" customWidth="1"/>
    <col min="14086" max="14337" width="9.1796875" style="35"/>
    <col min="14338" max="14338" width="15.453125" style="35" customWidth="1"/>
    <col min="14339" max="14339" width="47.1796875" style="35" customWidth="1"/>
    <col min="14340" max="14340" width="27.453125" style="35" customWidth="1"/>
    <col min="14341" max="14341" width="26.81640625" style="35" customWidth="1"/>
    <col min="14342" max="14593" width="9.1796875" style="35"/>
    <col min="14594" max="14594" width="15.453125" style="35" customWidth="1"/>
    <col min="14595" max="14595" width="47.1796875" style="35" customWidth="1"/>
    <col min="14596" max="14596" width="27.453125" style="35" customWidth="1"/>
    <col min="14597" max="14597" width="26.81640625" style="35" customWidth="1"/>
    <col min="14598" max="14849" width="9.1796875" style="35"/>
    <col min="14850" max="14850" width="15.453125" style="35" customWidth="1"/>
    <col min="14851" max="14851" width="47.1796875" style="35" customWidth="1"/>
    <col min="14852" max="14852" width="27.453125" style="35" customWidth="1"/>
    <col min="14853" max="14853" width="26.81640625" style="35" customWidth="1"/>
    <col min="14854" max="15105" width="9.1796875" style="35"/>
    <col min="15106" max="15106" width="15.453125" style="35" customWidth="1"/>
    <col min="15107" max="15107" width="47.1796875" style="35" customWidth="1"/>
    <col min="15108" max="15108" width="27.453125" style="35" customWidth="1"/>
    <col min="15109" max="15109" width="26.81640625" style="35" customWidth="1"/>
    <col min="15110" max="15361" width="9.1796875" style="35"/>
    <col min="15362" max="15362" width="15.453125" style="35" customWidth="1"/>
    <col min="15363" max="15363" width="47.1796875" style="35" customWidth="1"/>
    <col min="15364" max="15364" width="27.453125" style="35" customWidth="1"/>
    <col min="15365" max="15365" width="26.81640625" style="35" customWidth="1"/>
    <col min="15366" max="15617" width="9.1796875" style="35"/>
    <col min="15618" max="15618" width="15.453125" style="35" customWidth="1"/>
    <col min="15619" max="15619" width="47.1796875" style="35" customWidth="1"/>
    <col min="15620" max="15620" width="27.453125" style="35" customWidth="1"/>
    <col min="15621" max="15621" width="26.81640625" style="35" customWidth="1"/>
    <col min="15622" max="15873" width="9.1796875" style="35"/>
    <col min="15874" max="15874" width="15.453125" style="35" customWidth="1"/>
    <col min="15875" max="15875" width="47.1796875" style="35" customWidth="1"/>
    <col min="15876" max="15876" width="27.453125" style="35" customWidth="1"/>
    <col min="15877" max="15877" width="26.81640625" style="35" customWidth="1"/>
    <col min="15878" max="16129" width="9.1796875" style="35"/>
    <col min="16130" max="16130" width="15.453125" style="35" customWidth="1"/>
    <col min="16131" max="16131" width="47.1796875" style="35" customWidth="1"/>
    <col min="16132" max="16132" width="27.453125" style="35" customWidth="1"/>
    <col min="16133" max="16133" width="26.81640625" style="35" customWidth="1"/>
    <col min="16134" max="16384" width="9.1796875" style="35"/>
  </cols>
  <sheetData>
    <row r="1" spans="1:11" ht="15" customHeight="1">
      <c r="A1" s="716"/>
      <c r="B1" s="716"/>
      <c r="C1" s="716"/>
      <c r="D1" s="716"/>
      <c r="E1" s="716"/>
      <c r="F1" s="709" t="s">
        <v>56</v>
      </c>
      <c r="G1" s="709"/>
      <c r="H1" s="709"/>
      <c r="I1" s="709"/>
      <c r="J1" s="709"/>
      <c r="K1" s="709"/>
    </row>
    <row r="2" spans="1:11" ht="15" customHeight="1">
      <c r="A2" s="716"/>
      <c r="B2" s="716"/>
      <c r="C2" s="716"/>
      <c r="D2" s="716"/>
      <c r="E2" s="716"/>
      <c r="F2" s="709"/>
      <c r="G2" s="709"/>
      <c r="H2" s="709"/>
      <c r="I2" s="709"/>
      <c r="J2" s="709"/>
      <c r="K2" s="709"/>
    </row>
    <row r="3" spans="1:11" ht="15" customHeight="1">
      <c r="A3" s="716"/>
      <c r="B3" s="716"/>
      <c r="C3" s="716"/>
      <c r="D3" s="716"/>
      <c r="E3" s="716"/>
      <c r="F3" s="708" t="str">
        <f>CONCATENATE('TECH DATA ENTRY'!B12," ",'TECH DATA ENTRY'!B14)</f>
        <v>Fluke 8846A</v>
      </c>
      <c r="G3" s="708"/>
      <c r="H3" s="708"/>
      <c r="I3" s="708"/>
      <c r="J3" s="708"/>
      <c r="K3" s="708"/>
    </row>
    <row r="4" spans="1:11" ht="15" customHeight="1">
      <c r="A4" s="716"/>
      <c r="B4" s="716"/>
      <c r="C4" s="716"/>
      <c r="D4" s="716"/>
      <c r="E4" s="716"/>
      <c r="F4" s="708"/>
      <c r="G4" s="708"/>
      <c r="H4" s="708"/>
      <c r="I4" s="708"/>
      <c r="J4" s="708"/>
      <c r="K4" s="708"/>
    </row>
    <row r="5" spans="1:11" ht="12.75" customHeight="1">
      <c r="A5" s="710" t="s">
        <v>92</v>
      </c>
      <c r="B5" s="711"/>
      <c r="C5" s="711"/>
      <c r="D5" s="711"/>
      <c r="E5" s="712"/>
      <c r="F5" s="717" t="s">
        <v>59</v>
      </c>
      <c r="G5" s="719" t="str">
        <f>CONCATENATE('TECH DATA ENTRY'!B28,"-DS00")</f>
        <v>FLUKE 8845A/8846A -DS00</v>
      </c>
      <c r="H5" s="720"/>
      <c r="I5" s="725" t="s">
        <v>58</v>
      </c>
      <c r="J5" s="726"/>
      <c r="K5" s="729">
        <f>MAX(A11:A1048576)</f>
        <v>4</v>
      </c>
    </row>
    <row r="6" spans="1:11" ht="12.75" customHeight="1">
      <c r="A6" s="713"/>
      <c r="B6" s="714"/>
      <c r="C6" s="714"/>
      <c r="D6" s="714"/>
      <c r="E6" s="715"/>
      <c r="F6" s="718"/>
      <c r="G6" s="721"/>
      <c r="H6" s="722"/>
      <c r="I6" s="727"/>
      <c r="J6" s="728"/>
      <c r="K6" s="730"/>
    </row>
    <row r="8" spans="1:11" ht="38.25" customHeight="1">
      <c r="A8" s="723" t="s">
        <v>57</v>
      </c>
      <c r="B8" s="723"/>
      <c r="C8" s="723"/>
      <c r="D8" s="723"/>
      <c r="E8" s="723"/>
      <c r="F8" s="723"/>
      <c r="G8" s="723"/>
      <c r="H8" s="723"/>
      <c r="I8" s="723"/>
      <c r="J8" s="723"/>
      <c r="K8" s="723"/>
    </row>
    <row r="9" spans="1:11" ht="13.5" thickBot="1"/>
    <row r="10" spans="1:11" s="37" customFormat="1" ht="30.75" customHeight="1" thickBot="1">
      <c r="A10" s="36" t="s">
        <v>46</v>
      </c>
      <c r="B10" s="279" t="s">
        <v>47</v>
      </c>
      <c r="C10" s="724" t="s">
        <v>48</v>
      </c>
      <c r="D10" s="724"/>
      <c r="E10" s="724"/>
      <c r="F10" s="724"/>
      <c r="G10" s="724"/>
      <c r="H10" s="724" t="s">
        <v>49</v>
      </c>
      <c r="I10" s="724"/>
      <c r="J10" s="724" t="s">
        <v>50</v>
      </c>
      <c r="K10" s="731"/>
    </row>
    <row r="11" spans="1:11" s="37" customFormat="1" ht="28.5" customHeight="1" thickTop="1">
      <c r="A11" s="44">
        <v>0</v>
      </c>
      <c r="B11" s="48"/>
      <c r="C11" s="733" t="s">
        <v>51</v>
      </c>
      <c r="D11" s="733"/>
      <c r="E11" s="733"/>
      <c r="F11" s="733"/>
      <c r="G11" s="733"/>
      <c r="H11" s="736"/>
      <c r="I11" s="736"/>
      <c r="J11" s="736"/>
      <c r="K11" s="737"/>
    </row>
    <row r="12" spans="1:11" s="37" customFormat="1" ht="28.5" customHeight="1">
      <c r="A12" s="45">
        <v>1</v>
      </c>
      <c r="B12" s="49" t="s">
        <v>139</v>
      </c>
      <c r="C12" s="701" t="s">
        <v>137</v>
      </c>
      <c r="D12" s="701"/>
      <c r="E12" s="701"/>
      <c r="F12" s="701"/>
      <c r="G12" s="701"/>
      <c r="H12" s="734" t="s">
        <v>138</v>
      </c>
      <c r="I12" s="734"/>
      <c r="J12" s="734"/>
      <c r="K12" s="735"/>
    </row>
    <row r="13" spans="1:11" s="37" customFormat="1" ht="28.5" customHeight="1">
      <c r="A13" s="45">
        <v>2</v>
      </c>
      <c r="B13" s="49">
        <v>44042</v>
      </c>
      <c r="C13" s="701" t="s">
        <v>217</v>
      </c>
      <c r="D13" s="701"/>
      <c r="E13" s="701"/>
      <c r="F13" s="701"/>
      <c r="G13" s="701"/>
      <c r="H13" s="734" t="s">
        <v>218</v>
      </c>
      <c r="I13" s="734"/>
      <c r="J13" s="734"/>
      <c r="K13" s="735"/>
    </row>
    <row r="14" spans="1:11" s="37" customFormat="1" ht="28.5" customHeight="1">
      <c r="A14" s="45">
        <v>3</v>
      </c>
      <c r="B14" s="49">
        <v>44126</v>
      </c>
      <c r="C14" s="701" t="s">
        <v>220</v>
      </c>
      <c r="D14" s="701"/>
      <c r="E14" s="701"/>
      <c r="F14" s="701"/>
      <c r="G14" s="701"/>
      <c r="H14" s="734" t="s">
        <v>221</v>
      </c>
      <c r="I14" s="734"/>
      <c r="J14" s="734"/>
      <c r="K14" s="735"/>
    </row>
    <row r="15" spans="1:11" ht="49.5" customHeight="1">
      <c r="A15" s="45">
        <v>4</v>
      </c>
      <c r="B15" s="49">
        <v>44879</v>
      </c>
      <c r="C15" s="701" t="s">
        <v>224</v>
      </c>
      <c r="D15" s="701"/>
      <c r="E15" s="701"/>
      <c r="F15" s="701"/>
      <c r="G15" s="701"/>
      <c r="H15" s="734" t="s">
        <v>223</v>
      </c>
      <c r="I15" s="734"/>
      <c r="J15" s="734"/>
      <c r="K15" s="735"/>
    </row>
    <row r="16" spans="1:11" ht="28.5" customHeight="1">
      <c r="A16" s="740"/>
      <c r="B16" s="738"/>
      <c r="C16" s="701"/>
      <c r="D16" s="701"/>
      <c r="E16" s="701"/>
      <c r="F16" s="701"/>
      <c r="G16" s="701"/>
      <c r="H16" s="702"/>
      <c r="I16" s="706"/>
      <c r="J16" s="702"/>
      <c r="K16" s="703"/>
    </row>
    <row r="17" spans="1:19" ht="28.5" customHeight="1">
      <c r="A17" s="741"/>
      <c r="B17" s="739"/>
      <c r="C17" s="701"/>
      <c r="D17" s="701"/>
      <c r="E17" s="701"/>
      <c r="F17" s="701"/>
      <c r="G17" s="701"/>
      <c r="H17" s="704"/>
      <c r="I17" s="707"/>
      <c r="J17" s="704"/>
      <c r="K17" s="705"/>
    </row>
    <row r="18" spans="1:19" s="37" customFormat="1" ht="28.5" customHeight="1">
      <c r="A18" s="45"/>
      <c r="B18" s="49"/>
      <c r="C18" s="701"/>
      <c r="D18" s="701"/>
      <c r="E18" s="701"/>
      <c r="F18" s="701"/>
      <c r="G18" s="701"/>
      <c r="H18" s="734"/>
      <c r="I18" s="734"/>
      <c r="J18" s="734"/>
      <c r="K18" s="735"/>
    </row>
    <row r="19" spans="1:19" ht="28.5" customHeight="1" thickBot="1">
      <c r="A19" s="46"/>
      <c r="B19" s="50"/>
      <c r="C19" s="698"/>
      <c r="D19" s="698"/>
      <c r="E19" s="698"/>
      <c r="F19" s="698"/>
      <c r="G19" s="698"/>
      <c r="H19" s="699"/>
      <c r="I19" s="699"/>
      <c r="J19" s="699"/>
      <c r="K19" s="700"/>
    </row>
    <row r="20" spans="1:19" ht="28.5" customHeight="1"/>
    <row r="21" spans="1:19" ht="28.5" customHeight="1"/>
    <row r="22" spans="1:19" ht="28.5" customHeight="1"/>
    <row r="23" spans="1:19" ht="28.5" customHeight="1">
      <c r="A23" s="38"/>
      <c r="B23" s="39"/>
      <c r="C23" s="40"/>
      <c r="D23" s="38"/>
      <c r="E23" s="38"/>
      <c r="O23" s="732"/>
      <c r="P23" s="732"/>
      <c r="Q23" s="732"/>
      <c r="R23" s="732"/>
      <c r="S23" s="732"/>
    </row>
    <row r="24" spans="1:19" ht="28.5" customHeight="1">
      <c r="A24" s="38"/>
      <c r="B24" s="39"/>
      <c r="C24" s="40"/>
      <c r="D24" s="38"/>
      <c r="E24" s="38"/>
    </row>
    <row r="25" spans="1:19" ht="28.5" customHeight="1">
      <c r="A25" s="38"/>
      <c r="B25" s="39"/>
      <c r="C25" s="40"/>
      <c r="D25" s="38"/>
      <c r="E25" s="38"/>
    </row>
    <row r="26" spans="1:19" ht="28.5" customHeight="1"/>
    <row r="27" spans="1:19" ht="28.5" customHeight="1"/>
    <row r="28" spans="1:19" ht="28.5" customHeight="1"/>
    <row r="29" spans="1:19" ht="28.5" customHeight="1"/>
    <row r="30" spans="1:19" ht="28.5" customHeight="1"/>
    <row r="31" spans="1:19" ht="28.5" customHeight="1"/>
    <row r="32" spans="1:19" ht="28.5" customHeight="1"/>
    <row r="33" spans="3:3" ht="28.5" customHeight="1"/>
    <row r="34" spans="3:3" ht="28.5" customHeight="1">
      <c r="C34" s="41"/>
    </row>
    <row r="35" spans="3:3" ht="28.5" customHeight="1">
      <c r="C35" s="42"/>
    </row>
    <row r="36" spans="3:3" ht="28.5" customHeight="1">
      <c r="C36" s="42"/>
    </row>
    <row r="37" spans="3:3" ht="28.5" customHeight="1">
      <c r="C37" s="42"/>
    </row>
    <row r="38" spans="3:3" ht="28.5" customHeight="1">
      <c r="C38" s="43"/>
    </row>
    <row r="39" spans="3:3" ht="28.5" customHeight="1"/>
    <row r="40" spans="3:3" ht="28.5" customHeight="1"/>
    <row r="41" spans="3:3" ht="28.5" customHeight="1"/>
    <row r="42" spans="3:3" ht="28.5" customHeight="1"/>
    <row r="43" spans="3:3" ht="28.5" customHeight="1"/>
    <row r="44" spans="3:3" ht="28.5" customHeight="1"/>
    <row r="45" spans="3:3" ht="28.5" customHeight="1"/>
    <row r="46" spans="3:3" ht="28.5" customHeight="1"/>
    <row r="47" spans="3:3" ht="28.5" customHeight="1"/>
    <row r="48" spans="3:3" ht="28.5" customHeight="1"/>
    <row r="49" ht="28.5" customHeight="1"/>
    <row r="50" ht="28.5" customHeight="1"/>
    <row r="51" ht="28.5" customHeight="1"/>
    <row r="52" ht="28.5" customHeight="1"/>
  </sheetData>
  <mergeCells count="40">
    <mergeCell ref="B16:B17"/>
    <mergeCell ref="A16:A17"/>
    <mergeCell ref="C18:G18"/>
    <mergeCell ref="H18:I18"/>
    <mergeCell ref="J18:K18"/>
    <mergeCell ref="O23:S23"/>
    <mergeCell ref="C12:G12"/>
    <mergeCell ref="C14:G14"/>
    <mergeCell ref="C11:G11"/>
    <mergeCell ref="J14:K14"/>
    <mergeCell ref="H14:I14"/>
    <mergeCell ref="J12:K12"/>
    <mergeCell ref="H12:I12"/>
    <mergeCell ref="J11:K11"/>
    <mergeCell ref="H11:I11"/>
    <mergeCell ref="C13:G13"/>
    <mergeCell ref="H13:I13"/>
    <mergeCell ref="J13:K13"/>
    <mergeCell ref="C15:G15"/>
    <mergeCell ref="H15:I15"/>
    <mergeCell ref="J15:K15"/>
    <mergeCell ref="A8:K8"/>
    <mergeCell ref="C10:G10"/>
    <mergeCell ref="H10:I10"/>
    <mergeCell ref="I5:J6"/>
    <mergeCell ref="K5:K6"/>
    <mergeCell ref="J10:K10"/>
    <mergeCell ref="F3:K4"/>
    <mergeCell ref="F1:K2"/>
    <mergeCell ref="A5:E6"/>
    <mergeCell ref="A1:E4"/>
    <mergeCell ref="F5:F6"/>
    <mergeCell ref="G5:H6"/>
    <mergeCell ref="C19:G19"/>
    <mergeCell ref="H19:I19"/>
    <mergeCell ref="J19:K19"/>
    <mergeCell ref="C16:G16"/>
    <mergeCell ref="C17:G17"/>
    <mergeCell ref="J16:K17"/>
    <mergeCell ref="H16:I17"/>
  </mergeCells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TECH DATA ENTRY</vt:lpstr>
      <vt:lpstr>ACC CAL WITH GB - Method 6</vt:lpstr>
      <vt:lpstr>UNC_CALCULATION</vt:lpstr>
      <vt:lpstr>UNC BDGT</vt:lpstr>
      <vt:lpstr>AUX TABLES</vt:lpstr>
      <vt:lpstr>TOL</vt:lpstr>
      <vt:lpstr>AMENDMENT</vt:lpstr>
      <vt:lpstr>'ACC CAL WITH GB - Method 6'!Print_Area</vt:lpstr>
      <vt:lpstr>'UNC BDGT'!Print_Area</vt:lpstr>
      <vt:lpstr>'ACC CAL WITH GB - Method 6'!Print_Titles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Bobby A</dc:creator>
  <cp:lastModifiedBy>MPC autocal</cp:lastModifiedBy>
  <cp:lastPrinted>2020-04-20T10:48:16Z</cp:lastPrinted>
  <dcterms:created xsi:type="dcterms:W3CDTF">2011-08-28T11:11:44Z</dcterms:created>
  <dcterms:modified xsi:type="dcterms:W3CDTF">2023-01-31T09:01:20Z</dcterms:modified>
</cp:coreProperties>
</file>